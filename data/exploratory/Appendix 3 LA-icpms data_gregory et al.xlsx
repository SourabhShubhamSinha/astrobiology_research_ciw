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n Gregory\Documents\Documents\Papers\Nodule S isotope and TE zoning\GCA revisions\Appendices\"/>
    </mc:Choice>
  </mc:AlternateContent>
  <bookViews>
    <workbookView xWindow="0" yWindow="0" windowWidth="19150" windowHeight="7020" tabRatio="861" firstSheet="8" activeTab="8"/>
  </bookViews>
  <sheets>
    <sheet name="HP8-319.8" sheetId="28" r:id="rId1"/>
    <sheet name="R009680A" sheetId="31" r:id="rId2"/>
    <sheet name="fort-1-5-4009" sheetId="26" r:id="rId3"/>
    <sheet name="DLR7-146.5m" sheetId="27" r:id="rId4"/>
    <sheet name="DGDD353-10223" sheetId="25" r:id="rId5"/>
    <sheet name="MXB76.1" sheetId="21" r:id="rId6"/>
    <sheet name="Mt Young 77" sheetId="20" r:id="rId7"/>
    <sheet name="MDDH7-26" sheetId="17" r:id="rId8"/>
    <sheet name="Data" sheetId="1" r:id="rId9"/>
    <sheet name="Sheet2" sheetId="2" r:id="rId10"/>
    <sheet name="Sheet3" sheetId="3" r:id="rId11"/>
  </sheets>
  <calcPr calcId="162913"/>
</workbook>
</file>

<file path=xl/calcChain.xml><?xml version="1.0" encoding="utf-8"?>
<calcChain xmlns="http://schemas.openxmlformats.org/spreadsheetml/2006/main">
  <c r="E84" i="1" l="1"/>
  <c r="E74" i="1"/>
  <c r="E64" i="1"/>
  <c r="E54" i="1"/>
  <c r="E43" i="1"/>
  <c r="E33" i="1"/>
  <c r="E28" i="1"/>
  <c r="E20" i="1"/>
  <c r="E11" i="1"/>
  <c r="E2" i="1"/>
  <c r="AA96" i="1" l="1"/>
  <c r="V96" i="1"/>
  <c r="U96" i="1"/>
  <c r="AA95" i="1"/>
  <c r="U95" i="1"/>
  <c r="T95" i="1"/>
  <c r="AA94" i="1"/>
  <c r="U94" i="1"/>
  <c r="T94" i="1"/>
  <c r="AA93" i="1"/>
  <c r="U93" i="1"/>
  <c r="AA92" i="1"/>
  <c r="U92" i="1"/>
  <c r="AA91" i="1"/>
  <c r="U91" i="1"/>
  <c r="AA90" i="1"/>
  <c r="U90" i="1"/>
  <c r="AA89" i="1"/>
  <c r="U89" i="1"/>
  <c r="AA88" i="1"/>
  <c r="U88" i="1"/>
  <c r="AA87" i="1"/>
  <c r="U87" i="1"/>
  <c r="T87" i="1"/>
  <c r="AA86" i="1"/>
  <c r="U86" i="1"/>
  <c r="AA85" i="1"/>
  <c r="U85" i="1"/>
  <c r="AA84" i="1"/>
  <c r="U84" i="1"/>
  <c r="AA83" i="1"/>
  <c r="U83" i="1"/>
  <c r="T83" i="1"/>
  <c r="U82" i="1"/>
  <c r="T82" i="1"/>
  <c r="R82" i="1"/>
  <c r="Q82" i="1"/>
  <c r="P82" i="1"/>
  <c r="U81" i="1"/>
  <c r="T81" i="1"/>
  <c r="R81" i="1"/>
  <c r="O81" i="1"/>
  <c r="AA80" i="1"/>
  <c r="U80" i="1"/>
  <c r="R80" i="1"/>
  <c r="P80" i="1"/>
  <c r="H80" i="1"/>
  <c r="AA79" i="1"/>
  <c r="V79" i="1"/>
  <c r="U79" i="1"/>
  <c r="T79" i="1"/>
  <c r="R79" i="1"/>
  <c r="Q79" i="1"/>
  <c r="P79" i="1"/>
  <c r="N79" i="1"/>
  <c r="U78" i="1"/>
  <c r="T78" i="1"/>
  <c r="P78" i="1"/>
  <c r="AA77" i="1"/>
  <c r="U77" i="1"/>
  <c r="T77" i="1"/>
  <c r="U76" i="1"/>
  <c r="T76" i="1"/>
  <c r="AA75" i="1"/>
  <c r="U75" i="1"/>
  <c r="T75" i="1"/>
  <c r="P75" i="1"/>
  <c r="O75" i="1"/>
  <c r="U74" i="1"/>
  <c r="T74" i="1"/>
  <c r="P74" i="1"/>
  <c r="U73" i="1"/>
  <c r="U72" i="1"/>
  <c r="T72" i="1"/>
  <c r="U71" i="1"/>
  <c r="U70" i="1"/>
  <c r="U69" i="1"/>
  <c r="U68" i="1"/>
  <c r="U67" i="1"/>
  <c r="U66" i="1"/>
  <c r="U65" i="1"/>
  <c r="U64" i="1"/>
  <c r="T64" i="1"/>
  <c r="U63" i="1"/>
  <c r="H63" i="1"/>
  <c r="U62" i="1"/>
  <c r="U61" i="1"/>
  <c r="T61" i="1"/>
  <c r="U60" i="1"/>
  <c r="U59" i="1"/>
  <c r="U58" i="1"/>
  <c r="U57" i="1"/>
  <c r="T57" i="1"/>
  <c r="U55" i="1"/>
  <c r="U54" i="1"/>
  <c r="U53" i="1"/>
  <c r="U52" i="1"/>
  <c r="U51" i="1"/>
  <c r="T51" i="1"/>
  <c r="U50" i="1"/>
  <c r="U49" i="1"/>
  <c r="U48" i="1"/>
  <c r="U47" i="1"/>
  <c r="U46" i="1"/>
  <c r="U45" i="1"/>
  <c r="U44" i="1"/>
  <c r="U43" i="1"/>
  <c r="U42" i="1"/>
  <c r="U41" i="1"/>
  <c r="R41" i="1"/>
  <c r="U40" i="1"/>
  <c r="U39" i="1"/>
  <c r="U38" i="1"/>
  <c r="R38" i="1"/>
  <c r="U37" i="1"/>
  <c r="U36" i="1"/>
  <c r="U35" i="1"/>
  <c r="U34" i="1"/>
  <c r="U33" i="1"/>
  <c r="U32" i="1"/>
  <c r="R32" i="1"/>
  <c r="U31" i="1"/>
  <c r="R31" i="1"/>
  <c r="U30" i="1"/>
  <c r="U29" i="1"/>
  <c r="U28" i="1"/>
  <c r="U27" i="1"/>
  <c r="U26" i="1"/>
  <c r="U25" i="1"/>
  <c r="V24" i="1"/>
  <c r="U24" i="1"/>
  <c r="R24" i="1"/>
  <c r="U23" i="1"/>
  <c r="U22" i="1"/>
  <c r="U21" i="1"/>
  <c r="U20" i="1"/>
  <c r="U19" i="1"/>
  <c r="U18" i="1"/>
  <c r="U17" i="1"/>
  <c r="R17" i="1"/>
  <c r="U16" i="1"/>
  <c r="R16" i="1"/>
  <c r="U15" i="1"/>
  <c r="U14" i="1"/>
  <c r="R14" i="1"/>
  <c r="U13" i="1"/>
  <c r="T13" i="1"/>
  <c r="R13" i="1"/>
  <c r="P13" i="1"/>
  <c r="U12" i="1"/>
  <c r="R12" i="1"/>
  <c r="U11" i="1"/>
  <c r="V10" i="1"/>
  <c r="U10" i="1"/>
  <c r="T10" i="1"/>
  <c r="R10" i="1"/>
  <c r="U9" i="1"/>
  <c r="R9" i="1"/>
  <c r="W8" i="1"/>
  <c r="U8" i="1"/>
  <c r="U7" i="1"/>
  <c r="U6" i="1"/>
  <c r="T6" i="1"/>
  <c r="R6" i="1"/>
  <c r="P6" i="1"/>
  <c r="U5" i="1"/>
  <c r="T5" i="1"/>
  <c r="R5" i="1"/>
  <c r="U4" i="1"/>
  <c r="T4" i="1"/>
  <c r="R4" i="1"/>
  <c r="U3" i="1"/>
  <c r="T3" i="1"/>
  <c r="R3" i="1"/>
  <c r="U2" i="1"/>
  <c r="R2" i="1"/>
</calcChain>
</file>

<file path=xl/sharedStrings.xml><?xml version="1.0" encoding="utf-8"?>
<sst xmlns="http://schemas.openxmlformats.org/spreadsheetml/2006/main" count="313" uniqueCount="145">
  <si>
    <t>Spot size (micron)</t>
  </si>
  <si>
    <t>Depth (m, but some are in feet/inches)</t>
  </si>
  <si>
    <t xml:space="preserve">Analysis </t>
  </si>
  <si>
    <t>S3_Py</t>
  </si>
  <si>
    <t>Mn_Py</t>
  </si>
  <si>
    <t>Fe_Py</t>
  </si>
  <si>
    <t>Co_Py</t>
  </si>
  <si>
    <t>Ni_Py</t>
  </si>
  <si>
    <t>Cu_Py</t>
  </si>
  <si>
    <t>Zn_Py</t>
  </si>
  <si>
    <t>As_Py</t>
  </si>
  <si>
    <t>Se_Py</t>
  </si>
  <si>
    <t>Mo_Py</t>
  </si>
  <si>
    <t>Ag_Py</t>
  </si>
  <si>
    <t>Cd_Py</t>
  </si>
  <si>
    <t>Sb_Py</t>
  </si>
  <si>
    <t>Te_Py</t>
  </si>
  <si>
    <t>Pt_Py</t>
  </si>
  <si>
    <t>Au_Py</t>
  </si>
  <si>
    <t>Tl_Py</t>
  </si>
  <si>
    <t>Pb_Py</t>
  </si>
  <si>
    <t>Bi_Py</t>
  </si>
  <si>
    <t>30µm</t>
  </si>
  <si>
    <t>DG12_x5_A_10</t>
  </si>
  <si>
    <t>Trip1_B_10</t>
  </si>
  <si>
    <t>n.d.</t>
  </si>
  <si>
    <t>DG13_A_10</t>
  </si>
  <si>
    <t>DG13_A_11</t>
  </si>
  <si>
    <t>DG15_A_10</t>
  </si>
  <si>
    <t>DG15_B_10</t>
  </si>
  <si>
    <t>SM3/15_8_DLR7_14_6.5m_10</t>
  </si>
  <si>
    <t>SM3/15_8_HP8-319.8_10</t>
  </si>
  <si>
    <t>SM3/15_8_HP8-319.8_11</t>
  </si>
  <si>
    <t>SM3/15_8_HP8-319.8_12</t>
  </si>
  <si>
    <t>SM3/15_8_HP8-319.8_13</t>
  </si>
  <si>
    <t>DG12_x5_A_01</t>
  </si>
  <si>
    <t>DG12_x5_A_02</t>
  </si>
  <si>
    <t>DG12_x5_A_03</t>
  </si>
  <si>
    <t>DG12_x5_A_04</t>
  </si>
  <si>
    <t>DG12_x5_A_05</t>
  </si>
  <si>
    <t>DG12_x5_A_06</t>
  </si>
  <si>
    <t>DG12_x5_A_08</t>
  </si>
  <si>
    <t>DG12_x5_A_09</t>
  </si>
  <si>
    <t>176898_01</t>
  </si>
  <si>
    <t>176898_02</t>
  </si>
  <si>
    <t>176898_03</t>
  </si>
  <si>
    <t>176898_04</t>
  </si>
  <si>
    <t>176898_05</t>
  </si>
  <si>
    <t>176898_06</t>
  </si>
  <si>
    <t>176898_07</t>
  </si>
  <si>
    <t>176898_08</t>
  </si>
  <si>
    <t>176898_09</t>
  </si>
  <si>
    <t>Trip2_A_01</t>
  </si>
  <si>
    <t>Trip2_A_02</t>
  </si>
  <si>
    <t>Trip2_A_03</t>
  </si>
  <si>
    <t>Trip2_A_04</t>
  </si>
  <si>
    <t>Trip2_A_05</t>
  </si>
  <si>
    <t>Trip2_A_06</t>
  </si>
  <si>
    <t>Trip2_A_07</t>
  </si>
  <si>
    <t>Trip2_A_08</t>
  </si>
  <si>
    <t>Trip1_A_01</t>
  </si>
  <si>
    <t>Trip1_A_02</t>
  </si>
  <si>
    <t>Trip1_A_03</t>
  </si>
  <si>
    <t>Trip1_A_04</t>
  </si>
  <si>
    <t>Trip1_A_05</t>
  </si>
  <si>
    <t>Trip1_B_01</t>
  </si>
  <si>
    <t>Trip1_B_02</t>
  </si>
  <si>
    <t>Trip1_B_03</t>
  </si>
  <si>
    <t>Trip1_B_04</t>
  </si>
  <si>
    <t>Trip1_B_05</t>
  </si>
  <si>
    <t>Trip1_B_06</t>
  </si>
  <si>
    <t>Trip1_B_07</t>
  </si>
  <si>
    <t>Trip1_B_08</t>
  </si>
  <si>
    <t>Trip1_B_09</t>
  </si>
  <si>
    <t>DG13_A_01</t>
  </si>
  <si>
    <t>DG13_A_02</t>
  </si>
  <si>
    <t>DG13_A_03</t>
  </si>
  <si>
    <t>DG13_A_04</t>
  </si>
  <si>
    <t>DG13_A_05</t>
  </si>
  <si>
    <t>DG13_A_06</t>
  </si>
  <si>
    <t>DG13_A_07</t>
  </si>
  <si>
    <t>DG13_A_08</t>
  </si>
  <si>
    <t>DG13_A_09</t>
  </si>
  <si>
    <t>DG15_A_01</t>
  </si>
  <si>
    <t>DG15_A_02</t>
  </si>
  <si>
    <t>DG15_A_03</t>
  </si>
  <si>
    <t>DG15_A_04</t>
  </si>
  <si>
    <t>DG15_A_05</t>
  </si>
  <si>
    <t>DG15_A_06</t>
  </si>
  <si>
    <t>DG15_A_07</t>
  </si>
  <si>
    <t>DG15_A_08</t>
  </si>
  <si>
    <t>DG15_A_09</t>
  </si>
  <si>
    <t>DG15_B_01</t>
  </si>
  <si>
    <t>DG15_B_02</t>
  </si>
  <si>
    <t>DG15_B_03</t>
  </si>
  <si>
    <t>DG15_B_04</t>
  </si>
  <si>
    <t>DG15_B_05</t>
  </si>
  <si>
    <t>DG15_B_06</t>
  </si>
  <si>
    <t>DG15_B_07</t>
  </si>
  <si>
    <t>DG15_B_08</t>
  </si>
  <si>
    <t>DG15_B_09</t>
  </si>
  <si>
    <t>SM3/15_8_DLR7_14_6.5m_01</t>
  </si>
  <si>
    <t>SM3/15_8_DLR7_14_6.5m_02</t>
  </si>
  <si>
    <t>SM3/15_8_DLR7_14_6.5m_03</t>
  </si>
  <si>
    <t>SM3/15_8_DLR7_14_6.5m_04</t>
  </si>
  <si>
    <t>SM3/15_8_DLR7_14_6.5m_05</t>
  </si>
  <si>
    <t>SM3/15_8_DLR7_14_6.5m_06</t>
  </si>
  <si>
    <t>SM3/15_8_DLR7_14_6.5m_07</t>
  </si>
  <si>
    <t>SM3/15_8_DLR7_14_6.5m_08</t>
  </si>
  <si>
    <t>SM3/15_8_DLR7_14_6.5m_09</t>
  </si>
  <si>
    <t>SM3/15_8_HP8-319.8_01</t>
  </si>
  <si>
    <t>SM3/15_8_HP8-319.8_02</t>
  </si>
  <si>
    <t>SM3/15_8_HP8-319.8_03</t>
  </si>
  <si>
    <t>SM3/15_8_HP8-319.8_04</t>
  </si>
  <si>
    <t>SM3/15_8_HP8-319.8_05</t>
  </si>
  <si>
    <t>SM3/15_8_HP8-319.8_06</t>
  </si>
  <si>
    <t>SM3/15_8_HP8-319.8_07</t>
  </si>
  <si>
    <t>SM3/15_8_HP8-319.8_08</t>
  </si>
  <si>
    <t>SM3/15_8_HP8-319.8_09</t>
  </si>
  <si>
    <t>PETR14</t>
  </si>
  <si>
    <t>DD86WRL1-729.91</t>
  </si>
  <si>
    <t>DD86WRL1-681</t>
  </si>
  <si>
    <t>CD13829</t>
  </si>
  <si>
    <t>V3-651</t>
  </si>
  <si>
    <t>RI08-24-477.67</t>
  </si>
  <si>
    <t>DLR7_146.5m</t>
  </si>
  <si>
    <t>HP8-319.8</t>
  </si>
  <si>
    <t>Py±Mn55</t>
  </si>
  <si>
    <t>Py±Co59</t>
  </si>
  <si>
    <t>Py±Ni60</t>
  </si>
  <si>
    <t>Py±Cu65</t>
  </si>
  <si>
    <t>Py±Zn66</t>
  </si>
  <si>
    <t>Py±As75</t>
  </si>
  <si>
    <t>Py±Se77</t>
  </si>
  <si>
    <t>Py±Mo95</t>
  </si>
  <si>
    <t>Py±Ag107</t>
  </si>
  <si>
    <t>Py±Cd111</t>
  </si>
  <si>
    <t>Py±Sb121</t>
  </si>
  <si>
    <t>Py±Te125</t>
  </si>
  <si>
    <t>Py±Pt195</t>
  </si>
  <si>
    <t>Py±Au197</t>
  </si>
  <si>
    <t>Py±Tl205</t>
  </si>
  <si>
    <t>Py±Pb208</t>
  </si>
  <si>
    <t>Py±Bi209</t>
  </si>
  <si>
    <t>median (Ni)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</si>
</sst>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4" formatCode="0.000"/>
  </numFmts>
  <fonts count="33">
    <font>
      <sz val="10"/>
      <name val="Arial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2"/>
      <name val="Times New Roman"/>
      <family val="1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2"/>
      <name val="Times New Roman"/>
      <family val="1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4"/>
      <color indexed="8"/>
      <name val="Arial Narrow"/>
      <family val="2"/>
    </font>
    <font>
      <b/>
      <sz val="14"/>
      <name val="Arial Narrow"/>
      <family val="2"/>
    </font>
    <font>
      <b/>
      <sz val="11"/>
      <name val="Arial Narrow"/>
      <family val="2"/>
    </font>
    <font>
      <sz val="11"/>
      <name val="Arial Narrow"/>
      <family val="2"/>
    </font>
    <font>
      <sz val="8"/>
      <name val="Arial"/>
      <family val="2"/>
    </font>
    <font>
      <sz val="10"/>
      <name val="Times New Roman"/>
      <family val="1"/>
    </font>
    <font>
      <sz val="11"/>
      <color indexed="8"/>
      <name val="Helvetica Neue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11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81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9" borderId="0" applyNumberFormat="0" applyBorder="0" applyAlignment="0" applyProtection="0"/>
    <xf numFmtId="0" fontId="4" fillId="3" borderId="0" applyNumberFormat="0" applyBorder="0" applyAlignment="0" applyProtection="0"/>
    <xf numFmtId="0" fontId="5" fillId="20" borderId="1" applyNumberFormat="0" applyAlignment="0" applyProtection="0"/>
    <xf numFmtId="0" fontId="6" fillId="21" borderId="2" applyNumberFormat="0" applyAlignment="0" applyProtection="0"/>
    <xf numFmtId="43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9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9" fillId="4" borderId="0" applyNumberFormat="0" applyBorder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2" fillId="0" borderId="0" applyNumberFormat="0" applyFill="0" applyBorder="0" applyAlignment="0" applyProtection="0"/>
    <xf numFmtId="0" fontId="13" fillId="7" borderId="1" applyNumberFormat="0" applyAlignment="0" applyProtection="0"/>
    <xf numFmtId="0" fontId="14" fillId="0" borderId="6" applyNumberFormat="0" applyFill="0" applyAlignment="0" applyProtection="0"/>
    <xf numFmtId="0" fontId="15" fillId="22" borderId="0" applyNumberFormat="0" applyBorder="0" applyAlignment="0" applyProtection="0"/>
    <xf numFmtId="0" fontId="7" fillId="0" borderId="0"/>
    <xf numFmtId="0" fontId="17" fillId="0" borderId="0"/>
    <xf numFmtId="0" fontId="30" fillId="0" borderId="0"/>
    <xf numFmtId="0" fontId="30" fillId="0" borderId="0"/>
    <xf numFmtId="0" fontId="30" fillId="0" borderId="0"/>
    <xf numFmtId="0" fontId="17" fillId="0" borderId="0"/>
    <xf numFmtId="0" fontId="30" fillId="0" borderId="0"/>
    <xf numFmtId="0" fontId="30" fillId="0" borderId="0"/>
    <xf numFmtId="0" fontId="30" fillId="0" borderId="0"/>
    <xf numFmtId="0" fontId="17" fillId="0" borderId="0"/>
    <xf numFmtId="0" fontId="30" fillId="0" borderId="0"/>
    <xf numFmtId="0" fontId="31" fillId="0" borderId="0"/>
    <xf numFmtId="0" fontId="28" fillId="0" borderId="0" applyNumberFormat="0" applyFill="0" applyBorder="0" applyProtection="0">
      <alignment vertical="top"/>
    </xf>
    <xf numFmtId="0" fontId="30" fillId="0" borderId="0"/>
    <xf numFmtId="0" fontId="17" fillId="0" borderId="0"/>
    <xf numFmtId="0" fontId="2" fillId="0" borderId="0"/>
    <xf numFmtId="0" fontId="17" fillId="0" borderId="0"/>
    <xf numFmtId="0" fontId="7" fillId="0" borderId="0"/>
    <xf numFmtId="0" fontId="7" fillId="0" borderId="0"/>
    <xf numFmtId="0" fontId="2" fillId="0" borderId="0"/>
    <xf numFmtId="0" fontId="17" fillId="0" borderId="0"/>
    <xf numFmtId="0" fontId="17" fillId="0" borderId="0"/>
    <xf numFmtId="0" fontId="30" fillId="0" borderId="0"/>
    <xf numFmtId="0" fontId="30" fillId="0" borderId="0"/>
    <xf numFmtId="0" fontId="2" fillId="0" borderId="0"/>
    <xf numFmtId="0" fontId="17" fillId="0" borderId="0"/>
    <xf numFmtId="0" fontId="1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17" fillId="0" borderId="0"/>
    <xf numFmtId="0" fontId="30" fillId="0" borderId="0"/>
    <xf numFmtId="0" fontId="16" fillId="0" borderId="0"/>
    <xf numFmtId="0" fontId="7" fillId="23" borderId="7" applyNumberFormat="0" applyFont="0" applyAlignment="0" applyProtection="0"/>
    <xf numFmtId="0" fontId="18" fillId="20" borderId="8" applyNumberFormat="0" applyAlignment="0" applyProtection="0"/>
    <xf numFmtId="0" fontId="19" fillId="0" borderId="0" applyNumberFormat="0" applyFill="0" applyBorder="0" applyAlignment="0" applyProtection="0"/>
    <xf numFmtId="0" fontId="20" fillId="0" borderId="9" applyNumberFormat="0" applyFill="0" applyAlignment="0" applyProtection="0"/>
    <xf numFmtId="0" fontId="21" fillId="0" borderId="0" applyNumberFormat="0" applyFill="0" applyBorder="0" applyAlignment="0" applyProtection="0"/>
  </cellStyleXfs>
  <cellXfs count="22">
    <xf numFmtId="0" fontId="0" fillId="0" borderId="0" xfId="0"/>
    <xf numFmtId="0" fontId="22" fillId="0" borderId="0" xfId="75" applyNumberFormat="1" applyFont="1" applyFill="1" applyBorder="1" applyAlignment="1"/>
    <xf numFmtId="0" fontId="23" fillId="0" borderId="0" xfId="75" applyNumberFormat="1" applyFont="1" applyFill="1" applyBorder="1" applyAlignment="1"/>
    <xf numFmtId="0" fontId="24" fillId="24" borderId="0" xfId="75" applyNumberFormat="1" applyFont="1" applyFill="1" applyBorder="1" applyAlignment="1"/>
    <xf numFmtId="0" fontId="22" fillId="26" borderId="0" xfId="75" applyNumberFormat="1" applyFont="1" applyFill="1" applyBorder="1" applyAlignment="1"/>
    <xf numFmtId="0" fontId="22" fillId="26" borderId="0" xfId="28" applyNumberFormat="1" applyFont="1" applyFill="1" applyBorder="1" applyAlignment="1"/>
    <xf numFmtId="0" fontId="23" fillId="26" borderId="0" xfId="28" applyNumberFormat="1" applyFont="1" applyFill="1" applyBorder="1" applyAlignment="1"/>
    <xf numFmtId="0" fontId="25" fillId="25" borderId="0" xfId="75" applyNumberFormat="1" applyFont="1" applyFill="1" applyBorder="1" applyAlignment="1"/>
    <xf numFmtId="0" fontId="25" fillId="27" borderId="0" xfId="75" applyNumberFormat="1" applyFont="1" applyFill="1" applyBorder="1" applyAlignment="1"/>
    <xf numFmtId="0" fontId="16" fillId="26" borderId="0" xfId="75" applyFill="1"/>
    <xf numFmtId="0" fontId="16" fillId="28" borderId="0" xfId="75" applyFill="1"/>
    <xf numFmtId="0" fontId="16" fillId="29" borderId="0" xfId="75" applyFill="1"/>
    <xf numFmtId="0" fontId="16" fillId="30" borderId="0" xfId="75" applyFill="1"/>
    <xf numFmtId="0" fontId="16" fillId="24" borderId="0" xfId="75" applyFill="1"/>
    <xf numFmtId="0" fontId="16" fillId="31" borderId="0" xfId="75" applyFill="1"/>
    <xf numFmtId="1" fontId="27" fillId="0" borderId="0" xfId="59" applyNumberFormat="1" applyFont="1" applyFill="1" applyBorder="1" applyAlignment="1">
      <alignment horizontal="left"/>
    </xf>
    <xf numFmtId="0" fontId="32" fillId="0" borderId="0" xfId="75" applyFont="1" applyAlignment="1"/>
    <xf numFmtId="0" fontId="16" fillId="32" borderId="0" xfId="75" applyFill="1"/>
    <xf numFmtId="0" fontId="16" fillId="0" borderId="0" xfId="75"/>
    <xf numFmtId="164" fontId="16" fillId="0" borderId="0" xfId="75" applyNumberFormat="1"/>
    <xf numFmtId="0" fontId="24" fillId="0" borderId="0" xfId="75" applyNumberFormat="1" applyFont="1" applyFill="1" applyBorder="1" applyAlignment="1"/>
    <xf numFmtId="0" fontId="0" fillId="0" borderId="0" xfId="0" applyFill="1"/>
  </cellXfs>
  <cellStyles count="81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28" builtinId="3"/>
    <cellStyle name="Comma 2" xfId="29"/>
    <cellStyle name="Comma 2 2" xfId="30"/>
    <cellStyle name="Comma 3" xfId="31"/>
    <cellStyle name="Comma 4" xfId="32"/>
    <cellStyle name="Explanatory Text" xfId="33" builtinId="53" customBuiltin="1"/>
    <cellStyle name="Good" xfId="34" builtinId="26" customBuiltin="1"/>
    <cellStyle name="Heading 1" xfId="35" builtinId="16" customBuiltin="1"/>
    <cellStyle name="Heading 2" xfId="36" builtinId="17" customBuiltin="1"/>
    <cellStyle name="Heading 3" xfId="37" builtinId="18" customBuiltin="1"/>
    <cellStyle name="Heading 4" xfId="38" builtinId="19" customBuiltin="1"/>
    <cellStyle name="Input" xfId="39" builtinId="20" customBuiltin="1"/>
    <cellStyle name="Linked Cell" xfId="40" builtinId="24" customBuiltin="1"/>
    <cellStyle name="Neutral" xfId="41" builtinId="28" customBuiltin="1"/>
    <cellStyle name="Normal" xfId="0" builtinId="0"/>
    <cellStyle name="Normal 2" xfId="42"/>
    <cellStyle name="Normal 2 2" xfId="43"/>
    <cellStyle name="Normal 2 2 2" xfId="44"/>
    <cellStyle name="Normal 2 2 2 2" xfId="45"/>
    <cellStyle name="Normal 2 2 3" xfId="46"/>
    <cellStyle name="Normal 2 2 4" xfId="47"/>
    <cellStyle name="Normal 2 2 5" xfId="48"/>
    <cellStyle name="Normal 2 3" xfId="49"/>
    <cellStyle name="Normal 2 3 2" xfId="50"/>
    <cellStyle name="Normal 2 4" xfId="51"/>
    <cellStyle name="Normal 2 5" xfId="52"/>
    <cellStyle name="Normal 2 6" xfId="53"/>
    <cellStyle name="Normal 2 7" xfId="54"/>
    <cellStyle name="Normal 2 8" xfId="55"/>
    <cellStyle name="Normal 2_DB" xfId="56"/>
    <cellStyle name="Normal 3" xfId="57"/>
    <cellStyle name="Normal 3 2" xfId="58"/>
    <cellStyle name="Normal 3 3" xfId="59"/>
    <cellStyle name="Normal 3 3 2" xfId="60"/>
    <cellStyle name="Normal 3 4" xfId="61"/>
    <cellStyle name="Normal 3 5" xfId="62"/>
    <cellStyle name="Normal 4" xfId="63"/>
    <cellStyle name="Normal 4 2" xfId="64"/>
    <cellStyle name="Normal 4 3" xfId="65"/>
    <cellStyle name="Normal 5" xfId="66"/>
    <cellStyle name="Normal 5 2" xfId="67"/>
    <cellStyle name="Normal 5 3" xfId="68"/>
    <cellStyle name="Normal 6" xfId="69"/>
    <cellStyle name="Normal 6 2" xfId="70"/>
    <cellStyle name="Normal 6 2 2" xfId="71"/>
    <cellStyle name="Normal 7" xfId="72"/>
    <cellStyle name="Normal 7 2" xfId="73"/>
    <cellStyle name="Normal 8" xfId="74"/>
    <cellStyle name="Normal_Sheet1" xfId="75"/>
    <cellStyle name="Note" xfId="76" builtinId="10" customBuiltin="1"/>
    <cellStyle name="Output" xfId="77" builtinId="21" customBuiltin="1"/>
    <cellStyle name="Title" xfId="78" builtinId="15" customBuiltin="1"/>
    <cellStyle name="Total" xfId="79" builtinId="25" customBuiltin="1"/>
    <cellStyle name="Warning Text" xfId="80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8.xml"/><Relationship Id="rId13" Type="http://schemas.openxmlformats.org/officeDocument/2006/relationships/styles" Target="styles.xml"/><Relationship Id="rId3" Type="http://schemas.openxmlformats.org/officeDocument/2006/relationships/chartsheet" Target="chartsheets/sheet3.xml"/><Relationship Id="rId7" Type="http://schemas.openxmlformats.org/officeDocument/2006/relationships/chartsheet" Target="chartsheets/sheet7.xml"/><Relationship Id="rId12" Type="http://schemas.openxmlformats.org/officeDocument/2006/relationships/theme" Target="theme/theme1.xml"/><Relationship Id="rId2" Type="http://schemas.openxmlformats.org/officeDocument/2006/relationships/chartsheet" Target="chartsheets/sheet2.xml"/><Relationship Id="rId1" Type="http://schemas.openxmlformats.org/officeDocument/2006/relationships/chartsheet" Target="chartsheets/sheet1.xml"/><Relationship Id="rId6" Type="http://schemas.openxmlformats.org/officeDocument/2006/relationships/chartsheet" Target="chartsheets/sheet6.xml"/><Relationship Id="rId11" Type="http://schemas.openxmlformats.org/officeDocument/2006/relationships/worksheet" Target="worksheets/sheet3.xml"/><Relationship Id="rId5" Type="http://schemas.openxmlformats.org/officeDocument/2006/relationships/chartsheet" Target="chart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2.xml"/><Relationship Id="rId4" Type="http://schemas.openxmlformats.org/officeDocument/2006/relationships/chartsheet" Target="chartsheets/sheet4.xml"/><Relationship Id="rId9" Type="http://schemas.openxmlformats.org/officeDocument/2006/relationships/worksheet" Target="worksheets/sheet1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As</c:v>
          </c:tx>
          <c:spPr>
            <a:ln w="28575">
              <a:solidFill>
                <a:schemeClr val="accent1"/>
              </a:solidFill>
            </a:ln>
          </c:spPr>
          <c:errBars>
            <c:errDir val="y"/>
            <c:errBarType val="both"/>
            <c:errValType val="cust"/>
            <c:noEndCap val="0"/>
            <c:plus>
              <c:numRef>
                <c:f>Data!$AH$84:$AH$96</c:f>
                <c:numCache>
                  <c:formatCode>General</c:formatCode>
                  <c:ptCount val="13"/>
                  <c:pt idx="0">
                    <c:v>13.094718208447301</c:v>
                  </c:pt>
                  <c:pt idx="1">
                    <c:v>23.094840857996779</c:v>
                  </c:pt>
                  <c:pt idx="2">
                    <c:v>13.005122728762622</c:v>
                  </c:pt>
                  <c:pt idx="3">
                    <c:v>33.048047499392247</c:v>
                  </c:pt>
                  <c:pt idx="4">
                    <c:v>24.786488025411426</c:v>
                  </c:pt>
                  <c:pt idx="5">
                    <c:v>71.031263783029559</c:v>
                  </c:pt>
                  <c:pt idx="6">
                    <c:v>60.713579335139542</c:v>
                  </c:pt>
                  <c:pt idx="7">
                    <c:v>31.201325610970233</c:v>
                  </c:pt>
                  <c:pt idx="8">
                    <c:v>22.461794586756714</c:v>
                  </c:pt>
                  <c:pt idx="9">
                    <c:v>10.282252694800954</c:v>
                  </c:pt>
                  <c:pt idx="10">
                    <c:v>66.944399961887783</c:v>
                  </c:pt>
                  <c:pt idx="11">
                    <c:v>38.512590344103508</c:v>
                  </c:pt>
                  <c:pt idx="12">
                    <c:v>27.952299209865647</c:v>
                  </c:pt>
                </c:numCache>
              </c:numRef>
            </c:plus>
            <c:minus>
              <c:numRef>
                <c:f>Data!$AH$84:$AH$96</c:f>
                <c:numCache>
                  <c:formatCode>General</c:formatCode>
                  <c:ptCount val="13"/>
                  <c:pt idx="0">
                    <c:v>13.094718208447301</c:v>
                  </c:pt>
                  <c:pt idx="1">
                    <c:v>23.094840857996779</c:v>
                  </c:pt>
                  <c:pt idx="2">
                    <c:v>13.005122728762622</c:v>
                  </c:pt>
                  <c:pt idx="3">
                    <c:v>33.048047499392247</c:v>
                  </c:pt>
                  <c:pt idx="4">
                    <c:v>24.786488025411426</c:v>
                  </c:pt>
                  <c:pt idx="5">
                    <c:v>71.031263783029559</c:v>
                  </c:pt>
                  <c:pt idx="6">
                    <c:v>60.713579335139542</c:v>
                  </c:pt>
                  <c:pt idx="7">
                    <c:v>31.201325610970233</c:v>
                  </c:pt>
                  <c:pt idx="8">
                    <c:v>22.461794586756714</c:v>
                  </c:pt>
                  <c:pt idx="9">
                    <c:v>10.282252694800954</c:v>
                  </c:pt>
                  <c:pt idx="10">
                    <c:v>66.944399961887783</c:v>
                  </c:pt>
                  <c:pt idx="11">
                    <c:v>38.512590344103508</c:v>
                  </c:pt>
                  <c:pt idx="12">
                    <c:v>27.952299209865647</c:v>
                  </c:pt>
                </c:numCache>
              </c:numRef>
            </c:minus>
            <c:spPr>
              <a:ln w="25400">
                <a:solidFill>
                  <a:schemeClr val="accent1"/>
                </a:solidFill>
              </a:ln>
            </c:spPr>
          </c:errBars>
          <c:xVal>
            <c:numRef>
              <c:f>Data!$F$84:$F$96</c:f>
              <c:numCache>
                <c:formatCode>0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numCache>
            </c:numRef>
          </c:xVal>
          <c:yVal>
            <c:numRef>
              <c:f>Data!$N$84:$N$96</c:f>
              <c:numCache>
                <c:formatCode>0.000</c:formatCode>
                <c:ptCount val="13"/>
                <c:pt idx="0">
                  <c:v>116.22447261465206</c:v>
                </c:pt>
                <c:pt idx="1">
                  <c:v>269.94415029242487</c:v>
                </c:pt>
                <c:pt idx="2">
                  <c:v>300.50266142782141</c:v>
                </c:pt>
                <c:pt idx="3">
                  <c:v>260.78091176392513</c:v>
                </c:pt>
                <c:pt idx="4">
                  <c:v>254.16085827046399</c:v>
                </c:pt>
                <c:pt idx="5">
                  <c:v>245.70375733079368</c:v>
                </c:pt>
                <c:pt idx="6">
                  <c:v>268.50036850043483</c:v>
                </c:pt>
                <c:pt idx="7">
                  <c:v>311.24373914559021</c:v>
                </c:pt>
                <c:pt idx="8">
                  <c:v>257.19817219534826</c:v>
                </c:pt>
                <c:pt idx="9">
                  <c:v>234.15874622256794</c:v>
                </c:pt>
                <c:pt idx="10">
                  <c:v>250.6168897186148</c:v>
                </c:pt>
                <c:pt idx="11">
                  <c:v>201.21099932024651</c:v>
                </c:pt>
                <c:pt idx="12">
                  <c:v>270.08565380354349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DA2-4D13-9492-24DE705EF667}"/>
            </c:ext>
          </c:extLst>
        </c:ser>
        <c:ser>
          <c:idx val="1"/>
          <c:order val="1"/>
          <c:tx>
            <c:v>Ni</c:v>
          </c:tx>
          <c:spPr>
            <a:ln w="28575">
              <a:solidFill>
                <a:srgbClr val="FF0000"/>
              </a:solidFill>
            </a:ln>
          </c:spPr>
          <c:errBars>
            <c:errDir val="y"/>
            <c:errBarType val="both"/>
            <c:errValType val="cust"/>
            <c:noEndCap val="0"/>
            <c:plus>
              <c:numRef>
                <c:f>Data!$AE$84:$AE$96</c:f>
                <c:numCache>
                  <c:formatCode>General</c:formatCode>
                  <c:ptCount val="13"/>
                  <c:pt idx="0">
                    <c:v>5.5253714824847568</c:v>
                  </c:pt>
                  <c:pt idx="1">
                    <c:v>4.3033863761675972</c:v>
                  </c:pt>
                  <c:pt idx="2">
                    <c:v>29.598714307251729</c:v>
                  </c:pt>
                  <c:pt idx="3">
                    <c:v>1.3521000620262735</c:v>
                  </c:pt>
                  <c:pt idx="4">
                    <c:v>6.7512425702691479</c:v>
                  </c:pt>
                  <c:pt idx="5">
                    <c:v>25.108016393975973</c:v>
                  </c:pt>
                  <c:pt idx="6">
                    <c:v>19.739424247830851</c:v>
                  </c:pt>
                  <c:pt idx="7">
                    <c:v>12.994491528175788</c:v>
                  </c:pt>
                  <c:pt idx="8">
                    <c:v>23.594879797126467</c:v>
                  </c:pt>
                  <c:pt idx="9">
                    <c:v>26.355764253845258</c:v>
                  </c:pt>
                  <c:pt idx="10">
                    <c:v>12.451606239572456</c:v>
                  </c:pt>
                  <c:pt idx="11">
                    <c:v>1.5423753535975206</c:v>
                  </c:pt>
                  <c:pt idx="12">
                    <c:v>0.8699508027554933</c:v>
                  </c:pt>
                </c:numCache>
              </c:numRef>
            </c:plus>
            <c:minus>
              <c:numRef>
                <c:f>Data!$AE$84:$AE$96</c:f>
                <c:numCache>
                  <c:formatCode>General</c:formatCode>
                  <c:ptCount val="13"/>
                  <c:pt idx="0">
                    <c:v>5.5253714824847568</c:v>
                  </c:pt>
                  <c:pt idx="1">
                    <c:v>4.3033863761675972</c:v>
                  </c:pt>
                  <c:pt idx="2">
                    <c:v>29.598714307251729</c:v>
                  </c:pt>
                  <c:pt idx="3">
                    <c:v>1.3521000620262735</c:v>
                  </c:pt>
                  <c:pt idx="4">
                    <c:v>6.7512425702691479</c:v>
                  </c:pt>
                  <c:pt idx="5">
                    <c:v>25.108016393975973</c:v>
                  </c:pt>
                  <c:pt idx="6">
                    <c:v>19.739424247830851</c:v>
                  </c:pt>
                  <c:pt idx="7">
                    <c:v>12.994491528175788</c:v>
                  </c:pt>
                  <c:pt idx="8">
                    <c:v>23.594879797126467</c:v>
                  </c:pt>
                  <c:pt idx="9">
                    <c:v>26.355764253845258</c:v>
                  </c:pt>
                  <c:pt idx="10">
                    <c:v>12.451606239572456</c:v>
                  </c:pt>
                  <c:pt idx="11">
                    <c:v>1.5423753535975206</c:v>
                  </c:pt>
                  <c:pt idx="12">
                    <c:v>0.8699508027554933</c:v>
                  </c:pt>
                </c:numCache>
              </c:numRef>
            </c:minus>
            <c:spPr>
              <a:ln w="25400">
                <a:solidFill>
                  <a:srgbClr val="FF0000"/>
                </a:solidFill>
              </a:ln>
            </c:spPr>
          </c:errBars>
          <c:xVal>
            <c:numRef>
              <c:f>Data!$F$84:$F$96</c:f>
              <c:numCache>
                <c:formatCode>0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numCache>
            </c:numRef>
          </c:xVal>
          <c:yVal>
            <c:numRef>
              <c:f>Data!$K$84:$K$96</c:f>
              <c:numCache>
                <c:formatCode>0.000</c:formatCode>
                <c:ptCount val="13"/>
                <c:pt idx="0">
                  <c:v>4.7341568109294485</c:v>
                </c:pt>
                <c:pt idx="1">
                  <c:v>10.240731147935335</c:v>
                </c:pt>
                <c:pt idx="2">
                  <c:v>28.084332169463174</c:v>
                </c:pt>
                <c:pt idx="3">
                  <c:v>4.4295797859668955</c:v>
                </c:pt>
                <c:pt idx="4">
                  <c:v>9.4675961541776417</c:v>
                </c:pt>
                <c:pt idx="5">
                  <c:v>28.929778737012427</c:v>
                </c:pt>
                <c:pt idx="6">
                  <c:v>46.266214763915244</c:v>
                </c:pt>
                <c:pt idx="7">
                  <c:v>29.855073232559931</c:v>
                </c:pt>
                <c:pt idx="8">
                  <c:v>38.501541901028645</c:v>
                </c:pt>
                <c:pt idx="9">
                  <c:v>42.089264702012315</c:v>
                </c:pt>
                <c:pt idx="10">
                  <c:v>18.349515763246671</c:v>
                </c:pt>
                <c:pt idx="11">
                  <c:v>6.8813385014883943</c:v>
                </c:pt>
                <c:pt idx="12">
                  <c:v>1.7497955144787838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DA2-4D13-9492-24DE705EF667}"/>
            </c:ext>
          </c:extLst>
        </c:ser>
        <c:ser>
          <c:idx val="2"/>
          <c:order val="2"/>
          <c:tx>
            <c:v>Co</c:v>
          </c:tx>
          <c:spPr>
            <a:ln w="28575">
              <a:solidFill>
                <a:srgbClr val="00B050"/>
              </a:solidFill>
            </a:ln>
          </c:spPr>
          <c:errBars>
            <c:errDir val="y"/>
            <c:errBarType val="both"/>
            <c:errValType val="cust"/>
            <c:noEndCap val="0"/>
            <c:plus>
              <c:numRef>
                <c:f>Data!$AD$84:$AD$96</c:f>
                <c:numCache>
                  <c:formatCode>General</c:formatCode>
                  <c:ptCount val="13"/>
                  <c:pt idx="0">
                    <c:v>0.10709706754675685</c:v>
                  </c:pt>
                  <c:pt idx="1">
                    <c:v>3.16563268993389E-2</c:v>
                  </c:pt>
                  <c:pt idx="2">
                    <c:v>0.3995355804446975</c:v>
                  </c:pt>
                  <c:pt idx="3">
                    <c:v>1.5123864755728467E-2</c:v>
                  </c:pt>
                  <c:pt idx="4">
                    <c:v>5.0368685700520568E-2</c:v>
                  </c:pt>
                  <c:pt idx="5">
                    <c:v>0.40378259395956795</c:v>
                  </c:pt>
                  <c:pt idx="6">
                    <c:v>0.11943238855722324</c:v>
                  </c:pt>
                  <c:pt idx="7">
                    <c:v>0.32007897702044291</c:v>
                  </c:pt>
                  <c:pt idx="8">
                    <c:v>0.38543411461950322</c:v>
                  </c:pt>
                  <c:pt idx="9">
                    <c:v>0.44172383068486037</c:v>
                  </c:pt>
                  <c:pt idx="10">
                    <c:v>7.4492212223163795E-2</c:v>
                  </c:pt>
                  <c:pt idx="11">
                    <c:v>2.592402556794618E-2</c:v>
                  </c:pt>
                  <c:pt idx="12">
                    <c:v>9.2721247716291647E-3</c:v>
                  </c:pt>
                </c:numCache>
              </c:numRef>
            </c:plus>
            <c:minus>
              <c:numRef>
                <c:f>Data!$AD$84:$AD$96</c:f>
                <c:numCache>
                  <c:formatCode>General</c:formatCode>
                  <c:ptCount val="13"/>
                  <c:pt idx="0">
                    <c:v>0.10709706754675685</c:v>
                  </c:pt>
                  <c:pt idx="1">
                    <c:v>3.16563268993389E-2</c:v>
                  </c:pt>
                  <c:pt idx="2">
                    <c:v>0.3995355804446975</c:v>
                  </c:pt>
                  <c:pt idx="3">
                    <c:v>1.5123864755728467E-2</c:v>
                  </c:pt>
                  <c:pt idx="4">
                    <c:v>5.0368685700520568E-2</c:v>
                  </c:pt>
                  <c:pt idx="5">
                    <c:v>0.40378259395956795</c:v>
                  </c:pt>
                  <c:pt idx="6">
                    <c:v>0.11943238855722324</c:v>
                  </c:pt>
                  <c:pt idx="7">
                    <c:v>0.32007897702044291</c:v>
                  </c:pt>
                  <c:pt idx="8">
                    <c:v>0.38543411461950322</c:v>
                  </c:pt>
                  <c:pt idx="9">
                    <c:v>0.44172383068486037</c:v>
                  </c:pt>
                  <c:pt idx="10">
                    <c:v>7.4492212223163795E-2</c:v>
                  </c:pt>
                  <c:pt idx="11">
                    <c:v>2.592402556794618E-2</c:v>
                  </c:pt>
                  <c:pt idx="12">
                    <c:v>9.2721247716291647E-3</c:v>
                  </c:pt>
                </c:numCache>
              </c:numRef>
            </c:minus>
            <c:spPr>
              <a:ln w="25400">
                <a:solidFill>
                  <a:srgbClr val="00B050"/>
                </a:solidFill>
              </a:ln>
            </c:spPr>
          </c:errBars>
          <c:xVal>
            <c:numRef>
              <c:f>Data!$F$84:$F$96</c:f>
              <c:numCache>
                <c:formatCode>0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numCache>
            </c:numRef>
          </c:xVal>
          <c:yVal>
            <c:numRef>
              <c:f>Data!$J$84:$J$96</c:f>
              <c:numCache>
                <c:formatCode>0.000</c:formatCode>
                <c:ptCount val="13"/>
                <c:pt idx="0">
                  <c:v>8.6623134757271458E-2</c:v>
                </c:pt>
                <c:pt idx="1">
                  <c:v>0.1094196667635412</c:v>
                </c:pt>
                <c:pt idx="2">
                  <c:v>0.31973144179668078</c:v>
                </c:pt>
                <c:pt idx="3">
                  <c:v>4.309201596387488E-2</c:v>
                </c:pt>
                <c:pt idx="4">
                  <c:v>6.2252012177529625E-2</c:v>
                </c:pt>
                <c:pt idx="5">
                  <c:v>0.40026218600489649</c:v>
                </c:pt>
                <c:pt idx="6">
                  <c:v>0.51306065325671624</c:v>
                </c:pt>
                <c:pt idx="7">
                  <c:v>0.37718662293427574</c:v>
                </c:pt>
                <c:pt idx="8">
                  <c:v>0.55917748723352112</c:v>
                </c:pt>
                <c:pt idx="9">
                  <c:v>0.38132456990808095</c:v>
                </c:pt>
                <c:pt idx="10">
                  <c:v>0.12412187377622996</c:v>
                </c:pt>
                <c:pt idx="11">
                  <c:v>5.2937314347780234E-2</c:v>
                </c:pt>
                <c:pt idx="12">
                  <c:v>2.9791570909891152E-2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DA2-4D13-9492-24DE705EF667}"/>
            </c:ext>
          </c:extLst>
        </c:ser>
        <c:ser>
          <c:idx val="3"/>
          <c:order val="3"/>
          <c:tx>
            <c:v>Sb</c:v>
          </c:tx>
          <c:spPr>
            <a:ln w="28575">
              <a:solidFill>
                <a:srgbClr val="7030A0"/>
              </a:solidFill>
            </a:ln>
          </c:spPr>
          <c:marker>
            <c:spPr>
              <a:ln w="19050">
                <a:solidFill>
                  <a:srgbClr val="7030A0"/>
                </a:solidFill>
              </a:ln>
            </c:spPr>
          </c:marker>
          <c:errBars>
            <c:errDir val="y"/>
            <c:errBarType val="both"/>
            <c:errValType val="cust"/>
            <c:noEndCap val="0"/>
            <c:plus>
              <c:numRef>
                <c:f>Data!$AM$84:$AM$96</c:f>
                <c:numCache>
                  <c:formatCode>General</c:formatCode>
                  <c:ptCount val="13"/>
                  <c:pt idx="0">
                    <c:v>6.6425600530045479</c:v>
                  </c:pt>
                  <c:pt idx="1">
                    <c:v>7.4177616276297726</c:v>
                  </c:pt>
                  <c:pt idx="2">
                    <c:v>15.407650711614501</c:v>
                  </c:pt>
                  <c:pt idx="3">
                    <c:v>10.314814103806619</c:v>
                  </c:pt>
                  <c:pt idx="4">
                    <c:v>4.516344746549267</c:v>
                  </c:pt>
                  <c:pt idx="5">
                    <c:v>15.334266211438086</c:v>
                  </c:pt>
                  <c:pt idx="6">
                    <c:v>15.221459188257461</c:v>
                  </c:pt>
                  <c:pt idx="7">
                    <c:v>17.378372196981896</c:v>
                  </c:pt>
                  <c:pt idx="8">
                    <c:v>11.78068819181836</c:v>
                  </c:pt>
                  <c:pt idx="9">
                    <c:v>6.8032613599316347</c:v>
                  </c:pt>
                  <c:pt idx="10">
                    <c:v>13.783905410856626</c:v>
                  </c:pt>
                  <c:pt idx="11">
                    <c:v>8.0836869633742623</c:v>
                  </c:pt>
                  <c:pt idx="12">
                    <c:v>7.553534107823455</c:v>
                  </c:pt>
                </c:numCache>
              </c:numRef>
            </c:plus>
            <c:minus>
              <c:numRef>
                <c:f>Data!$AM$84:$AM$96</c:f>
                <c:numCache>
                  <c:formatCode>General</c:formatCode>
                  <c:ptCount val="13"/>
                  <c:pt idx="0">
                    <c:v>6.6425600530045479</c:v>
                  </c:pt>
                  <c:pt idx="1">
                    <c:v>7.4177616276297726</c:v>
                  </c:pt>
                  <c:pt idx="2">
                    <c:v>15.407650711614501</c:v>
                  </c:pt>
                  <c:pt idx="3">
                    <c:v>10.314814103806619</c:v>
                  </c:pt>
                  <c:pt idx="4">
                    <c:v>4.516344746549267</c:v>
                  </c:pt>
                  <c:pt idx="5">
                    <c:v>15.334266211438086</c:v>
                  </c:pt>
                  <c:pt idx="6">
                    <c:v>15.221459188257461</c:v>
                  </c:pt>
                  <c:pt idx="7">
                    <c:v>17.378372196981896</c:v>
                  </c:pt>
                  <c:pt idx="8">
                    <c:v>11.78068819181836</c:v>
                  </c:pt>
                  <c:pt idx="9">
                    <c:v>6.8032613599316347</c:v>
                  </c:pt>
                  <c:pt idx="10">
                    <c:v>13.783905410856626</c:v>
                  </c:pt>
                  <c:pt idx="11">
                    <c:v>8.0836869633742623</c:v>
                  </c:pt>
                  <c:pt idx="12">
                    <c:v>7.553534107823455</c:v>
                  </c:pt>
                </c:numCache>
              </c:numRef>
            </c:minus>
            <c:spPr>
              <a:ln w="25400">
                <a:solidFill>
                  <a:srgbClr val="7030A0"/>
                </a:solidFill>
              </a:ln>
            </c:spPr>
          </c:errBars>
          <c:xVal>
            <c:numRef>
              <c:f>Data!$F$84:$F$96</c:f>
              <c:numCache>
                <c:formatCode>0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numCache>
            </c:numRef>
          </c:xVal>
          <c:yVal>
            <c:numRef>
              <c:f>Data!$S$84:$S$96</c:f>
              <c:numCache>
                <c:formatCode>0.000</c:formatCode>
                <c:ptCount val="13"/>
                <c:pt idx="0">
                  <c:v>25.631644738232737</c:v>
                </c:pt>
                <c:pt idx="1">
                  <c:v>56.235481539204386</c:v>
                </c:pt>
                <c:pt idx="2">
                  <c:v>62.46573119191244</c:v>
                </c:pt>
                <c:pt idx="3">
                  <c:v>51.768803058518131</c:v>
                </c:pt>
                <c:pt idx="4">
                  <c:v>58.528886518545072</c:v>
                </c:pt>
                <c:pt idx="5">
                  <c:v>39.283407732455522</c:v>
                </c:pt>
                <c:pt idx="6">
                  <c:v>69.875198837854697</c:v>
                </c:pt>
                <c:pt idx="7">
                  <c:v>94.154286129410622</c:v>
                </c:pt>
                <c:pt idx="8">
                  <c:v>60.40862218990182</c:v>
                </c:pt>
                <c:pt idx="9">
                  <c:v>46.241173057148842</c:v>
                </c:pt>
                <c:pt idx="10">
                  <c:v>49.603669504332593</c:v>
                </c:pt>
                <c:pt idx="11">
                  <c:v>30.459559837301388</c:v>
                </c:pt>
                <c:pt idx="12">
                  <c:v>30.109133135236231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DA2-4D13-9492-24DE705EF667}"/>
            </c:ext>
          </c:extLst>
        </c:ser>
        <c:ser>
          <c:idx val="4"/>
          <c:order val="4"/>
          <c:tx>
            <c:v>Se</c:v>
          </c:tx>
          <c:spPr>
            <a:ln w="28575">
              <a:solidFill>
                <a:schemeClr val="accent2">
                  <a:lumMod val="40000"/>
                  <a:lumOff val="60000"/>
                </a:schemeClr>
              </a:solidFill>
            </a:ln>
          </c:spPr>
          <c:marker>
            <c:spPr>
              <a:ln w="19050">
                <a:solidFill>
                  <a:schemeClr val="accent2">
                    <a:lumMod val="40000"/>
                    <a:lumOff val="60000"/>
                  </a:schemeClr>
                </a:solidFill>
              </a:ln>
            </c:spPr>
          </c:marker>
          <c:errBars>
            <c:errDir val="y"/>
            <c:errBarType val="both"/>
            <c:errValType val="cust"/>
            <c:noEndCap val="0"/>
            <c:plus>
              <c:numRef>
                <c:f>Data!$AI$84:$AI$96</c:f>
                <c:numCache>
                  <c:formatCode>General</c:formatCode>
                  <c:ptCount val="13"/>
                  <c:pt idx="0">
                    <c:v>3.7237135501580547</c:v>
                  </c:pt>
                  <c:pt idx="1">
                    <c:v>14.960762148398503</c:v>
                  </c:pt>
                  <c:pt idx="2">
                    <c:v>27.119854983028912</c:v>
                  </c:pt>
                  <c:pt idx="3">
                    <c:v>7.7609387053157475</c:v>
                  </c:pt>
                  <c:pt idx="4">
                    <c:v>11.522731692248954</c:v>
                  </c:pt>
                  <c:pt idx="5">
                    <c:v>23.363566534081045</c:v>
                  </c:pt>
                  <c:pt idx="6">
                    <c:v>24.086348678743541</c:v>
                  </c:pt>
                  <c:pt idx="7">
                    <c:v>17.513169855370304</c:v>
                  </c:pt>
                  <c:pt idx="8">
                    <c:v>17.872527735652042</c:v>
                  </c:pt>
                  <c:pt idx="9">
                    <c:v>3.9277098054059505</c:v>
                  </c:pt>
                  <c:pt idx="10">
                    <c:v>25.275846375278309</c:v>
                  </c:pt>
                  <c:pt idx="11">
                    <c:v>5.6033929299849179</c:v>
                  </c:pt>
                  <c:pt idx="12">
                    <c:v>3.949607467277636</c:v>
                  </c:pt>
                </c:numCache>
              </c:numRef>
            </c:plus>
            <c:minus>
              <c:numRef>
                <c:f>Data!$AI$84:$AI$96</c:f>
                <c:numCache>
                  <c:formatCode>General</c:formatCode>
                  <c:ptCount val="13"/>
                  <c:pt idx="0">
                    <c:v>3.7237135501580547</c:v>
                  </c:pt>
                  <c:pt idx="1">
                    <c:v>14.960762148398503</c:v>
                  </c:pt>
                  <c:pt idx="2">
                    <c:v>27.119854983028912</c:v>
                  </c:pt>
                  <c:pt idx="3">
                    <c:v>7.7609387053157475</c:v>
                  </c:pt>
                  <c:pt idx="4">
                    <c:v>11.522731692248954</c:v>
                  </c:pt>
                  <c:pt idx="5">
                    <c:v>23.363566534081045</c:v>
                  </c:pt>
                  <c:pt idx="6">
                    <c:v>24.086348678743541</c:v>
                  </c:pt>
                  <c:pt idx="7">
                    <c:v>17.513169855370304</c:v>
                  </c:pt>
                  <c:pt idx="8">
                    <c:v>17.872527735652042</c:v>
                  </c:pt>
                  <c:pt idx="9">
                    <c:v>3.9277098054059505</c:v>
                  </c:pt>
                  <c:pt idx="10">
                    <c:v>25.275846375278309</c:v>
                  </c:pt>
                  <c:pt idx="11">
                    <c:v>5.6033929299849179</c:v>
                  </c:pt>
                  <c:pt idx="12">
                    <c:v>3.949607467277636</c:v>
                  </c:pt>
                </c:numCache>
              </c:numRef>
            </c:minus>
            <c:spPr>
              <a:ln w="25400">
                <a:solidFill>
                  <a:schemeClr val="accent2">
                    <a:lumMod val="40000"/>
                    <a:lumOff val="60000"/>
                  </a:schemeClr>
                </a:solidFill>
              </a:ln>
            </c:spPr>
          </c:errBars>
          <c:xVal>
            <c:numRef>
              <c:f>Data!$F$84:$F$96</c:f>
              <c:numCache>
                <c:formatCode>0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numCache>
            </c:numRef>
          </c:xVal>
          <c:yVal>
            <c:numRef>
              <c:f>Data!$O$84:$O$96</c:f>
              <c:numCache>
                <c:formatCode>0.000</c:formatCode>
                <c:ptCount val="13"/>
                <c:pt idx="0">
                  <c:v>9.8984892876361386</c:v>
                </c:pt>
                <c:pt idx="1">
                  <c:v>41.805245869964153</c:v>
                </c:pt>
                <c:pt idx="2">
                  <c:v>47.001712122326055</c:v>
                </c:pt>
                <c:pt idx="3">
                  <c:v>27.114446757801915</c:v>
                </c:pt>
                <c:pt idx="4">
                  <c:v>32.066449735505216</c:v>
                </c:pt>
                <c:pt idx="5">
                  <c:v>36.487705861049534</c:v>
                </c:pt>
                <c:pt idx="6">
                  <c:v>65.722897963410219</c:v>
                </c:pt>
                <c:pt idx="7">
                  <c:v>57.876137781050922</c:v>
                </c:pt>
                <c:pt idx="8">
                  <c:v>60.137020163302282</c:v>
                </c:pt>
                <c:pt idx="9">
                  <c:v>73.210125842091259</c:v>
                </c:pt>
                <c:pt idx="10">
                  <c:v>54.577865322818184</c:v>
                </c:pt>
                <c:pt idx="11">
                  <c:v>39.224340236460236</c:v>
                </c:pt>
                <c:pt idx="12">
                  <c:v>24.658692550344703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DA2-4D13-9492-24DE705EF667}"/>
            </c:ext>
          </c:extLst>
        </c:ser>
        <c:ser>
          <c:idx val="5"/>
          <c:order val="5"/>
          <c:tx>
            <c:v>Ag</c:v>
          </c:tx>
          <c:spPr>
            <a:ln w="28575">
              <a:solidFill>
                <a:schemeClr val="accent6"/>
              </a:solidFill>
            </a:ln>
          </c:spPr>
          <c:errBars>
            <c:errDir val="y"/>
            <c:errBarType val="both"/>
            <c:errValType val="cust"/>
            <c:noEndCap val="0"/>
            <c:plus>
              <c:numRef>
                <c:f>Data!$AK$84:$AK$96</c:f>
                <c:numCache>
                  <c:formatCode>General</c:formatCode>
                  <c:ptCount val="13"/>
                  <c:pt idx="0">
                    <c:v>0.75188589737993516</c:v>
                  </c:pt>
                  <c:pt idx="1">
                    <c:v>0.81237238191453542</c:v>
                  </c:pt>
                  <c:pt idx="2">
                    <c:v>0.7659046418939317</c:v>
                  </c:pt>
                  <c:pt idx="3">
                    <c:v>1.3114345378207231</c:v>
                  </c:pt>
                  <c:pt idx="4">
                    <c:v>0.68270530195778367</c:v>
                  </c:pt>
                  <c:pt idx="5">
                    <c:v>1.1190691149939249</c:v>
                  </c:pt>
                  <c:pt idx="6">
                    <c:v>1.5113686377996636</c:v>
                  </c:pt>
                  <c:pt idx="7">
                    <c:v>2.5298964034325095</c:v>
                  </c:pt>
                  <c:pt idx="8">
                    <c:v>0.47473049324173727</c:v>
                  </c:pt>
                  <c:pt idx="9">
                    <c:v>0.14404397553974743</c:v>
                  </c:pt>
                  <c:pt idx="10">
                    <c:v>1.365394399870792</c:v>
                  </c:pt>
                  <c:pt idx="11">
                    <c:v>1.3080455721412185</c:v>
                  </c:pt>
                  <c:pt idx="12">
                    <c:v>0.44614990731731752</c:v>
                  </c:pt>
                </c:numCache>
              </c:numRef>
            </c:plus>
            <c:minus>
              <c:numRef>
                <c:f>Data!$AK$84:$AK$96</c:f>
                <c:numCache>
                  <c:formatCode>General</c:formatCode>
                  <c:ptCount val="13"/>
                  <c:pt idx="0">
                    <c:v>0.75188589737993516</c:v>
                  </c:pt>
                  <c:pt idx="1">
                    <c:v>0.81237238191453542</c:v>
                  </c:pt>
                  <c:pt idx="2">
                    <c:v>0.7659046418939317</c:v>
                  </c:pt>
                  <c:pt idx="3">
                    <c:v>1.3114345378207231</c:v>
                  </c:pt>
                  <c:pt idx="4">
                    <c:v>0.68270530195778367</c:v>
                  </c:pt>
                  <c:pt idx="5">
                    <c:v>1.1190691149939249</c:v>
                  </c:pt>
                  <c:pt idx="6">
                    <c:v>1.5113686377996636</c:v>
                  </c:pt>
                  <c:pt idx="7">
                    <c:v>2.5298964034325095</c:v>
                  </c:pt>
                  <c:pt idx="8">
                    <c:v>0.47473049324173727</c:v>
                  </c:pt>
                  <c:pt idx="9">
                    <c:v>0.14404397553974743</c:v>
                  </c:pt>
                  <c:pt idx="10">
                    <c:v>1.365394399870792</c:v>
                  </c:pt>
                  <c:pt idx="11">
                    <c:v>1.3080455721412185</c:v>
                  </c:pt>
                  <c:pt idx="12">
                    <c:v>0.44614990731731752</c:v>
                  </c:pt>
                </c:numCache>
              </c:numRef>
            </c:minus>
            <c:spPr>
              <a:ln w="25400">
                <a:solidFill>
                  <a:srgbClr val="FFC000"/>
                </a:solidFill>
              </a:ln>
            </c:spPr>
          </c:errBars>
          <c:xVal>
            <c:numRef>
              <c:f>Data!$F$84:$F$96</c:f>
              <c:numCache>
                <c:formatCode>0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numCache>
            </c:numRef>
          </c:xVal>
          <c:yVal>
            <c:numRef>
              <c:f>Data!$Q$84:$Q$96</c:f>
              <c:numCache>
                <c:formatCode>0.000</c:formatCode>
                <c:ptCount val="13"/>
                <c:pt idx="0">
                  <c:v>4.3337474093202175</c:v>
                </c:pt>
                <c:pt idx="1">
                  <c:v>5.7648009409333678</c:v>
                </c:pt>
                <c:pt idx="2">
                  <c:v>5.24975142882451</c:v>
                </c:pt>
                <c:pt idx="3">
                  <c:v>5.4986146049074698</c:v>
                </c:pt>
                <c:pt idx="4">
                  <c:v>7.436911569731361</c:v>
                </c:pt>
                <c:pt idx="5">
                  <c:v>3.3318078403830258</c:v>
                </c:pt>
                <c:pt idx="6">
                  <c:v>5.727410641139457</c:v>
                </c:pt>
                <c:pt idx="7">
                  <c:v>10.834451515892797</c:v>
                </c:pt>
                <c:pt idx="8">
                  <c:v>6.1067502781884944</c:v>
                </c:pt>
                <c:pt idx="9">
                  <c:v>4.5338724218055138</c:v>
                </c:pt>
                <c:pt idx="10">
                  <c:v>6.2456876513834896</c:v>
                </c:pt>
                <c:pt idx="11">
                  <c:v>4.2288553302722311</c:v>
                </c:pt>
                <c:pt idx="12">
                  <c:v>4.5659769731852347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DA2-4D13-9492-24DE705EF667}"/>
            </c:ext>
          </c:extLst>
        </c:ser>
        <c:ser>
          <c:idx val="6"/>
          <c:order val="6"/>
          <c:tx>
            <c:v>Cu</c:v>
          </c:tx>
          <c:spPr>
            <a:ln w="28575">
              <a:solidFill>
                <a:schemeClr val="accent1"/>
              </a:solidFill>
            </a:ln>
          </c:spPr>
          <c:marker>
            <c:spPr>
              <a:ln w="19050">
                <a:solidFill>
                  <a:schemeClr val="accent1"/>
                </a:solidFill>
              </a:ln>
            </c:spPr>
          </c:marker>
          <c:errBars>
            <c:errDir val="y"/>
            <c:errBarType val="both"/>
            <c:errValType val="cust"/>
            <c:noEndCap val="0"/>
            <c:plus>
              <c:numRef>
                <c:f>Data!$AE$84:$AE$96</c:f>
                <c:numCache>
                  <c:formatCode>General</c:formatCode>
                  <c:ptCount val="13"/>
                  <c:pt idx="0">
                    <c:v>5.5253714824847568</c:v>
                  </c:pt>
                  <c:pt idx="1">
                    <c:v>4.3033863761675972</c:v>
                  </c:pt>
                  <c:pt idx="2">
                    <c:v>29.598714307251729</c:v>
                  </c:pt>
                  <c:pt idx="3">
                    <c:v>1.3521000620262735</c:v>
                  </c:pt>
                  <c:pt idx="4">
                    <c:v>6.7512425702691479</c:v>
                  </c:pt>
                  <c:pt idx="5">
                    <c:v>25.108016393975973</c:v>
                  </c:pt>
                  <c:pt idx="6">
                    <c:v>19.739424247830851</c:v>
                  </c:pt>
                  <c:pt idx="7">
                    <c:v>12.994491528175788</c:v>
                  </c:pt>
                  <c:pt idx="8">
                    <c:v>23.594879797126467</c:v>
                  </c:pt>
                  <c:pt idx="9">
                    <c:v>26.355764253845258</c:v>
                  </c:pt>
                  <c:pt idx="10">
                    <c:v>12.451606239572456</c:v>
                  </c:pt>
                  <c:pt idx="11">
                    <c:v>1.5423753535975206</c:v>
                  </c:pt>
                  <c:pt idx="12">
                    <c:v>0.8699508027554933</c:v>
                  </c:pt>
                </c:numCache>
              </c:numRef>
            </c:plus>
            <c:minus>
              <c:numRef>
                <c:f>Data!$AE$84:$AE$96</c:f>
                <c:numCache>
                  <c:formatCode>General</c:formatCode>
                  <c:ptCount val="13"/>
                  <c:pt idx="0">
                    <c:v>5.5253714824847568</c:v>
                  </c:pt>
                  <c:pt idx="1">
                    <c:v>4.3033863761675972</c:v>
                  </c:pt>
                  <c:pt idx="2">
                    <c:v>29.598714307251729</c:v>
                  </c:pt>
                  <c:pt idx="3">
                    <c:v>1.3521000620262735</c:v>
                  </c:pt>
                  <c:pt idx="4">
                    <c:v>6.7512425702691479</c:v>
                  </c:pt>
                  <c:pt idx="5">
                    <c:v>25.108016393975973</c:v>
                  </c:pt>
                  <c:pt idx="6">
                    <c:v>19.739424247830851</c:v>
                  </c:pt>
                  <c:pt idx="7">
                    <c:v>12.994491528175788</c:v>
                  </c:pt>
                  <c:pt idx="8">
                    <c:v>23.594879797126467</c:v>
                  </c:pt>
                  <c:pt idx="9">
                    <c:v>26.355764253845258</c:v>
                  </c:pt>
                  <c:pt idx="10">
                    <c:v>12.451606239572456</c:v>
                  </c:pt>
                  <c:pt idx="11">
                    <c:v>1.5423753535975206</c:v>
                  </c:pt>
                  <c:pt idx="12">
                    <c:v>0.8699508027554933</c:v>
                  </c:pt>
                </c:numCache>
              </c:numRef>
            </c:minus>
            <c:spPr>
              <a:ln w="25400">
                <a:solidFill>
                  <a:schemeClr val="accent1"/>
                </a:solidFill>
              </a:ln>
            </c:spPr>
          </c:errBars>
          <c:xVal>
            <c:numRef>
              <c:f>Data!$F$84:$F$96</c:f>
              <c:numCache>
                <c:formatCode>0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numCache>
            </c:numRef>
          </c:xVal>
          <c:yVal>
            <c:numRef>
              <c:f>Data!$L$84:$L$96</c:f>
              <c:numCache>
                <c:formatCode>0.000</c:formatCode>
                <c:ptCount val="13"/>
                <c:pt idx="0">
                  <c:v>16.319716744066938</c:v>
                </c:pt>
                <c:pt idx="1">
                  <c:v>3.9336432107223729</c:v>
                </c:pt>
                <c:pt idx="2">
                  <c:v>7.5773196090265458</c:v>
                </c:pt>
                <c:pt idx="3">
                  <c:v>2.5393010437777264</c:v>
                </c:pt>
                <c:pt idx="4">
                  <c:v>3.3737484820772892</c:v>
                </c:pt>
                <c:pt idx="5">
                  <c:v>9.0387964961221314</c:v>
                </c:pt>
                <c:pt idx="6">
                  <c:v>21.191924166035236</c:v>
                </c:pt>
                <c:pt idx="7">
                  <c:v>29.520190006662688</c:v>
                </c:pt>
                <c:pt idx="8">
                  <c:v>22.655266584951192</c:v>
                </c:pt>
                <c:pt idx="9">
                  <c:v>13.561238548754829</c:v>
                </c:pt>
                <c:pt idx="10">
                  <c:v>5.6766010378229481</c:v>
                </c:pt>
                <c:pt idx="11">
                  <c:v>2.5774572806413891</c:v>
                </c:pt>
                <c:pt idx="12">
                  <c:v>1.1770556810955544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CDA2-4D13-9492-24DE705EF6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872704"/>
        <c:axId val="98899072"/>
      </c:scatterChart>
      <c:valAx>
        <c:axId val="98872704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899072"/>
        <c:crosses val="autoZero"/>
        <c:crossBetween val="midCat"/>
      </c:valAx>
      <c:valAx>
        <c:axId val="98899072"/>
        <c:scaling>
          <c:logBase val="10"/>
          <c:orientation val="minMax"/>
        </c:scaling>
        <c:delete val="0"/>
        <c:axPos val="l"/>
        <c:majorGridlines/>
        <c:numFmt formatCode="0.000" sourceLinked="1"/>
        <c:majorTickMark val="out"/>
        <c:minorTickMark val="none"/>
        <c:tickLblPos val="nextTo"/>
        <c:crossAx val="98872704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As</c:v>
          </c:tx>
          <c:spPr>
            <a:ln w="28575">
              <a:solidFill>
                <a:schemeClr val="accent1"/>
              </a:solidFill>
            </a:ln>
          </c:spPr>
          <c:xVal>
            <c:numRef>
              <c:f>Data!#REF!</c:f>
              <c:numCache>
                <c:formatCode>0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Data!#REF!</c:f>
              <c:numCache>
                <c:formatCode>0.000</c:formatCode>
                <c:ptCount val="10"/>
                <c:pt idx="0">
                  <c:v>0.35699999999999998</c:v>
                </c:pt>
                <c:pt idx="1">
                  <c:v>6.9844813576534364</c:v>
                </c:pt>
                <c:pt idx="2">
                  <c:v>0.378</c:v>
                </c:pt>
                <c:pt idx="3">
                  <c:v>0.44350000000000001</c:v>
                </c:pt>
                <c:pt idx="4">
                  <c:v>1.250069726181064</c:v>
                </c:pt>
                <c:pt idx="5">
                  <c:v>0.34799999999999998</c:v>
                </c:pt>
                <c:pt idx="6">
                  <c:v>0.32850000000000001</c:v>
                </c:pt>
                <c:pt idx="7">
                  <c:v>1.9629524359261139</c:v>
                </c:pt>
                <c:pt idx="8">
                  <c:v>1.5507491081662028</c:v>
                </c:pt>
                <c:pt idx="9">
                  <c:v>0.61350000000000005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7D9-46A0-B474-98F346B95C37}"/>
            </c:ext>
          </c:extLst>
        </c:ser>
        <c:ser>
          <c:idx val="1"/>
          <c:order val="1"/>
          <c:tx>
            <c:v>Ni</c:v>
          </c:tx>
          <c:spPr>
            <a:ln w="28575">
              <a:solidFill>
                <a:srgbClr val="FF0000"/>
              </a:solidFill>
            </a:ln>
          </c:spPr>
          <c:errBars>
            <c:errDir val="y"/>
            <c:errBarType val="both"/>
            <c:errValType val="cust"/>
            <c:noEndCap val="0"/>
            <c:plus>
              <c:numRef>
                <c:f>Data!#REF!</c:f>
                <c:numCache>
                  <c:formatCode>General</c:formatCode>
                  <c:ptCount val="10"/>
                  <c:pt idx="0">
                    <c:v>257.05668891053523</c:v>
                  </c:pt>
                  <c:pt idx="1">
                    <c:v>76.426736985680876</c:v>
                  </c:pt>
                  <c:pt idx="2">
                    <c:v>133.08679485819141</c:v>
                  </c:pt>
                  <c:pt idx="3">
                    <c:v>166.87839421218837</c:v>
                  </c:pt>
                  <c:pt idx="4">
                    <c:v>397.09025930662079</c:v>
                  </c:pt>
                  <c:pt idx="5">
                    <c:v>183.48790941124957</c:v>
                  </c:pt>
                  <c:pt idx="6">
                    <c:v>96.76840211534828</c:v>
                  </c:pt>
                  <c:pt idx="7">
                    <c:v>150.57849563935719</c:v>
                  </c:pt>
                  <c:pt idx="8">
                    <c:v>209.46861111278474</c:v>
                  </c:pt>
                  <c:pt idx="9">
                    <c:v>43.730384942095583</c:v>
                  </c:pt>
                </c:numCache>
              </c:numRef>
            </c:plus>
            <c:minus>
              <c:numRef>
                <c:f>Data!#REF!</c:f>
                <c:numCache>
                  <c:formatCode>General</c:formatCode>
                  <c:ptCount val="10"/>
                  <c:pt idx="0">
                    <c:v>257.05668891053523</c:v>
                  </c:pt>
                  <c:pt idx="1">
                    <c:v>76.426736985680876</c:v>
                  </c:pt>
                  <c:pt idx="2">
                    <c:v>133.08679485819141</c:v>
                  </c:pt>
                  <c:pt idx="3">
                    <c:v>166.87839421218837</c:v>
                  </c:pt>
                  <c:pt idx="4">
                    <c:v>397.09025930662079</c:v>
                  </c:pt>
                  <c:pt idx="5">
                    <c:v>183.48790941124957</c:v>
                  </c:pt>
                  <c:pt idx="6">
                    <c:v>96.76840211534828</c:v>
                  </c:pt>
                  <c:pt idx="7">
                    <c:v>150.57849563935719</c:v>
                  </c:pt>
                  <c:pt idx="8">
                    <c:v>209.46861111278474</c:v>
                  </c:pt>
                  <c:pt idx="9">
                    <c:v>43.730384942095583</c:v>
                  </c:pt>
                </c:numCache>
              </c:numRef>
            </c:minus>
            <c:spPr>
              <a:ln w="25400">
                <a:solidFill>
                  <a:srgbClr val="FF0000"/>
                </a:solidFill>
              </a:ln>
            </c:spPr>
          </c:errBars>
          <c:xVal>
            <c:numRef>
              <c:f>Data!#REF!</c:f>
              <c:numCache>
                <c:formatCode>0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Data!#REF!</c:f>
              <c:numCache>
                <c:formatCode>0.000</c:formatCode>
                <c:ptCount val="10"/>
                <c:pt idx="0">
                  <c:v>60.222027739440819</c:v>
                </c:pt>
                <c:pt idx="1">
                  <c:v>184.81780457548075</c:v>
                </c:pt>
                <c:pt idx="2">
                  <c:v>87.567699517753681</c:v>
                </c:pt>
                <c:pt idx="3">
                  <c:v>233.69466803835758</c:v>
                </c:pt>
                <c:pt idx="4">
                  <c:v>516.71758310619293</c:v>
                </c:pt>
                <c:pt idx="5">
                  <c:v>298.11479100856877</c:v>
                </c:pt>
                <c:pt idx="6">
                  <c:v>187.78523355278821</c:v>
                </c:pt>
                <c:pt idx="7">
                  <c:v>274.90723100385821</c:v>
                </c:pt>
                <c:pt idx="8">
                  <c:v>298.72338271907961</c:v>
                </c:pt>
                <c:pt idx="9">
                  <c:v>67.123575188711499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7D9-46A0-B474-98F346B95C37}"/>
            </c:ext>
          </c:extLst>
        </c:ser>
        <c:ser>
          <c:idx val="2"/>
          <c:order val="2"/>
          <c:tx>
            <c:v>Co</c:v>
          </c:tx>
          <c:spPr>
            <a:ln w="28575">
              <a:solidFill>
                <a:srgbClr val="00B050"/>
              </a:solidFill>
            </a:ln>
          </c:spPr>
          <c:errBars>
            <c:errDir val="y"/>
            <c:errBarType val="both"/>
            <c:errValType val="cust"/>
            <c:noEndCap val="0"/>
            <c:plus>
              <c:numRef>
                <c:f>Data!#REF!</c:f>
                <c:numCache>
                  <c:formatCode>General</c:formatCode>
                  <c:ptCount val="10"/>
                  <c:pt idx="0">
                    <c:v>207.24667712292199</c:v>
                  </c:pt>
                  <c:pt idx="1">
                    <c:v>51.630764201580035</c:v>
                  </c:pt>
                  <c:pt idx="2">
                    <c:v>75.632159291881038</c:v>
                  </c:pt>
                  <c:pt idx="3">
                    <c:v>145.18717546395735</c:v>
                  </c:pt>
                  <c:pt idx="4">
                    <c:v>280.62661444051417</c:v>
                  </c:pt>
                  <c:pt idx="5">
                    <c:v>307.74821021453266</c:v>
                  </c:pt>
                  <c:pt idx="6">
                    <c:v>28.863991673453384</c:v>
                  </c:pt>
                  <c:pt idx="7">
                    <c:v>157.7945476929427</c:v>
                  </c:pt>
                  <c:pt idx="8">
                    <c:v>141.44418779564595</c:v>
                  </c:pt>
                  <c:pt idx="9">
                    <c:v>190.16503725659629</c:v>
                  </c:pt>
                </c:numCache>
              </c:numRef>
            </c:plus>
            <c:minus>
              <c:numRef>
                <c:f>Data!#REF!</c:f>
                <c:numCache>
                  <c:formatCode>General</c:formatCode>
                  <c:ptCount val="10"/>
                  <c:pt idx="0">
                    <c:v>207.24667712292199</c:v>
                  </c:pt>
                  <c:pt idx="1">
                    <c:v>51.630764201580035</c:v>
                  </c:pt>
                  <c:pt idx="2">
                    <c:v>75.632159291881038</c:v>
                  </c:pt>
                  <c:pt idx="3">
                    <c:v>145.18717546395735</c:v>
                  </c:pt>
                  <c:pt idx="4">
                    <c:v>280.62661444051417</c:v>
                  </c:pt>
                  <c:pt idx="5">
                    <c:v>307.74821021453266</c:v>
                  </c:pt>
                  <c:pt idx="6">
                    <c:v>28.863991673453384</c:v>
                  </c:pt>
                  <c:pt idx="7">
                    <c:v>157.7945476929427</c:v>
                  </c:pt>
                  <c:pt idx="8">
                    <c:v>141.44418779564595</c:v>
                  </c:pt>
                  <c:pt idx="9">
                    <c:v>190.16503725659629</c:v>
                  </c:pt>
                </c:numCache>
              </c:numRef>
            </c:minus>
            <c:spPr>
              <a:ln w="25400">
                <a:solidFill>
                  <a:srgbClr val="00B050"/>
                </a:solidFill>
              </a:ln>
            </c:spPr>
          </c:errBars>
          <c:xVal>
            <c:numRef>
              <c:f>Data!#REF!</c:f>
              <c:numCache>
                <c:formatCode>0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Data!#REF!</c:f>
              <c:numCache>
                <c:formatCode>0.000</c:formatCode>
                <c:ptCount val="10"/>
                <c:pt idx="0">
                  <c:v>726.6799731805977</c:v>
                </c:pt>
                <c:pt idx="1">
                  <c:v>246.94938267348698</c:v>
                </c:pt>
                <c:pt idx="2">
                  <c:v>236.57373871302843</c:v>
                </c:pt>
                <c:pt idx="3">
                  <c:v>775.69266159291806</c:v>
                </c:pt>
                <c:pt idx="4">
                  <c:v>667.43404279440938</c:v>
                </c:pt>
                <c:pt idx="5">
                  <c:v>874.31230448707265</c:v>
                </c:pt>
                <c:pt idx="6">
                  <c:v>454.28160922380329</c:v>
                </c:pt>
                <c:pt idx="7">
                  <c:v>875.84051009483812</c:v>
                </c:pt>
                <c:pt idx="8">
                  <c:v>1154.7277605221518</c:v>
                </c:pt>
                <c:pt idx="9">
                  <c:v>250.6211745627395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7D9-46A0-B474-98F346B95C37}"/>
            </c:ext>
          </c:extLst>
        </c:ser>
        <c:ser>
          <c:idx val="3"/>
          <c:order val="3"/>
          <c:tx>
            <c:v>Sb</c:v>
          </c:tx>
          <c:spPr>
            <a:ln w="28575">
              <a:solidFill>
                <a:srgbClr val="7030A0"/>
              </a:solidFill>
            </a:ln>
          </c:spPr>
          <c:marker>
            <c:spPr>
              <a:ln w="19050">
                <a:solidFill>
                  <a:srgbClr val="7030A0"/>
                </a:solidFill>
              </a:ln>
            </c:spPr>
          </c:marker>
          <c:errBars>
            <c:errDir val="y"/>
            <c:errBarType val="both"/>
            <c:errValType val="cust"/>
            <c:noEndCap val="0"/>
            <c:plus>
              <c:numRef>
                <c:f>Data!#REF!</c:f>
                <c:numCache>
                  <c:formatCode>General</c:formatCode>
                  <c:ptCount val="10"/>
                  <c:pt idx="0">
                    <c:v>1.230510447007068</c:v>
                  </c:pt>
                  <c:pt idx="1">
                    <c:v>0.34594944678379225</c:v>
                  </c:pt>
                  <c:pt idx="2">
                    <c:v>1.3375387021693055</c:v>
                  </c:pt>
                  <c:pt idx="3">
                    <c:v>0.73479514362949261</c:v>
                  </c:pt>
                  <c:pt idx="4">
                    <c:v>1.1307982736713866</c:v>
                  </c:pt>
                  <c:pt idx="5">
                    <c:v>1.3079190900086501</c:v>
                  </c:pt>
                  <c:pt idx="6">
                    <c:v>0.46356377795538878</c:v>
                  </c:pt>
                  <c:pt idx="7">
                    <c:v>1.0250255648768669</c:v>
                  </c:pt>
                  <c:pt idx="8">
                    <c:v>1.3132910666229576</c:v>
                  </c:pt>
                  <c:pt idx="9">
                    <c:v>3.2733603159499403</c:v>
                  </c:pt>
                </c:numCache>
              </c:numRef>
            </c:plus>
            <c:minus>
              <c:numRef>
                <c:f>Data!#REF!</c:f>
                <c:numCache>
                  <c:formatCode>General</c:formatCode>
                  <c:ptCount val="10"/>
                  <c:pt idx="0">
                    <c:v>1.230510447007068</c:v>
                  </c:pt>
                  <c:pt idx="1">
                    <c:v>0.34594944678379225</c:v>
                  </c:pt>
                  <c:pt idx="2">
                    <c:v>1.3375387021693055</c:v>
                  </c:pt>
                  <c:pt idx="3">
                    <c:v>0.73479514362949261</c:v>
                  </c:pt>
                  <c:pt idx="4">
                    <c:v>1.1307982736713866</c:v>
                  </c:pt>
                  <c:pt idx="5">
                    <c:v>1.3079190900086501</c:v>
                  </c:pt>
                  <c:pt idx="6">
                    <c:v>0.46356377795538878</c:v>
                  </c:pt>
                  <c:pt idx="7">
                    <c:v>1.0250255648768669</c:v>
                  </c:pt>
                  <c:pt idx="8">
                    <c:v>1.3132910666229576</c:v>
                  </c:pt>
                  <c:pt idx="9">
                    <c:v>3.2733603159499403</c:v>
                  </c:pt>
                </c:numCache>
              </c:numRef>
            </c:minus>
            <c:spPr>
              <a:ln w="25400">
                <a:solidFill>
                  <a:srgbClr val="7030A0"/>
                </a:solidFill>
              </a:ln>
            </c:spPr>
          </c:errBars>
          <c:xVal>
            <c:numRef>
              <c:f>Data!#REF!</c:f>
              <c:numCache>
                <c:formatCode>0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Data!#REF!</c:f>
              <c:numCache>
                <c:formatCode>0.000</c:formatCode>
                <c:ptCount val="10"/>
                <c:pt idx="0">
                  <c:v>9.9814433927135262</c:v>
                </c:pt>
                <c:pt idx="1">
                  <c:v>4.5450288227975291</c:v>
                </c:pt>
                <c:pt idx="2">
                  <c:v>4.59190837530927</c:v>
                </c:pt>
                <c:pt idx="3">
                  <c:v>13.22717356551329</c:v>
                </c:pt>
                <c:pt idx="4">
                  <c:v>8.7742479558785895</c:v>
                </c:pt>
                <c:pt idx="5">
                  <c:v>5.8167319786669083</c:v>
                </c:pt>
                <c:pt idx="6">
                  <c:v>5.948553936892206</c:v>
                </c:pt>
                <c:pt idx="7">
                  <c:v>6.5870086789473099</c:v>
                </c:pt>
                <c:pt idx="8">
                  <c:v>4.8101684737380204</c:v>
                </c:pt>
                <c:pt idx="9">
                  <c:v>7.3216869772930835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7D9-46A0-B474-98F346B95C37}"/>
            </c:ext>
          </c:extLst>
        </c:ser>
        <c:ser>
          <c:idx val="4"/>
          <c:order val="4"/>
          <c:tx>
            <c:v>Se</c:v>
          </c:tx>
          <c:spPr>
            <a:ln w="28575">
              <a:solidFill>
                <a:schemeClr val="accent2">
                  <a:lumMod val="40000"/>
                  <a:lumOff val="60000"/>
                </a:schemeClr>
              </a:solidFill>
            </a:ln>
          </c:spPr>
          <c:marker>
            <c:spPr>
              <a:ln w="19050">
                <a:solidFill>
                  <a:schemeClr val="accent2">
                    <a:lumMod val="40000"/>
                    <a:lumOff val="60000"/>
                  </a:schemeClr>
                </a:solidFill>
              </a:ln>
            </c:spPr>
          </c:marker>
          <c:errBars>
            <c:errDir val="y"/>
            <c:errBarType val="both"/>
            <c:errValType val="cust"/>
            <c:noEndCap val="0"/>
            <c:plus>
              <c:numRef>
                <c:f>Data!#REF!</c:f>
                <c:numCache>
                  <c:formatCode>General</c:formatCode>
                  <c:ptCount val="10"/>
                  <c:pt idx="0">
                    <c:v>4.7480064028328988</c:v>
                  </c:pt>
                  <c:pt idx="1">
                    <c:v>1.9190187756629664</c:v>
                  </c:pt>
                  <c:pt idx="2">
                    <c:v>3.1901132324439279</c:v>
                  </c:pt>
                  <c:pt idx="3">
                    <c:v>1.2707002531145208</c:v>
                  </c:pt>
                  <c:pt idx="4">
                    <c:v>4.4288021390876304</c:v>
                  </c:pt>
                  <c:pt idx="5">
                    <c:v>2.3950347350274175</c:v>
                  </c:pt>
                  <c:pt idx="6">
                    <c:v>0.93748767970043689</c:v>
                  </c:pt>
                  <c:pt idx="7">
                    <c:v>3.7811638052249958</c:v>
                  </c:pt>
                  <c:pt idx="8">
                    <c:v>2.5624638636960562</c:v>
                  </c:pt>
                  <c:pt idx="9">
                    <c:v>1.1396901830454333</c:v>
                  </c:pt>
                </c:numCache>
              </c:numRef>
            </c:plus>
            <c:minus>
              <c:numRef>
                <c:f>Data!#REF!</c:f>
                <c:numCache>
                  <c:formatCode>General</c:formatCode>
                  <c:ptCount val="10"/>
                  <c:pt idx="0">
                    <c:v>4.7480064028328988</c:v>
                  </c:pt>
                  <c:pt idx="1">
                    <c:v>1.9190187756629664</c:v>
                  </c:pt>
                  <c:pt idx="2">
                    <c:v>3.1901132324439279</c:v>
                  </c:pt>
                  <c:pt idx="3">
                    <c:v>1.2707002531145208</c:v>
                  </c:pt>
                  <c:pt idx="4">
                    <c:v>4.4288021390876304</c:v>
                  </c:pt>
                  <c:pt idx="5">
                    <c:v>2.3950347350274175</c:v>
                  </c:pt>
                  <c:pt idx="6">
                    <c:v>0.93748767970043689</c:v>
                  </c:pt>
                  <c:pt idx="7">
                    <c:v>3.7811638052249958</c:v>
                  </c:pt>
                  <c:pt idx="8">
                    <c:v>2.5624638636960562</c:v>
                  </c:pt>
                  <c:pt idx="9">
                    <c:v>1.1396901830454333</c:v>
                  </c:pt>
                </c:numCache>
              </c:numRef>
            </c:minus>
            <c:spPr>
              <a:ln w="25400">
                <a:solidFill>
                  <a:schemeClr val="accent2">
                    <a:lumMod val="40000"/>
                    <a:lumOff val="60000"/>
                  </a:schemeClr>
                </a:solidFill>
              </a:ln>
            </c:spPr>
          </c:errBars>
          <c:xVal>
            <c:numRef>
              <c:f>Data!#REF!</c:f>
              <c:numCache>
                <c:formatCode>0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Data!#REF!</c:f>
              <c:numCache>
                <c:formatCode>0.000</c:formatCode>
                <c:ptCount val="10"/>
                <c:pt idx="0">
                  <c:v>31.73647221921329</c:v>
                </c:pt>
                <c:pt idx="1">
                  <c:v>11.00134361586964</c:v>
                </c:pt>
                <c:pt idx="2">
                  <c:v>16.163743545553736</c:v>
                </c:pt>
                <c:pt idx="3">
                  <c:v>23.564503304673032</c:v>
                </c:pt>
                <c:pt idx="4">
                  <c:v>18.082697256988411</c:v>
                </c:pt>
                <c:pt idx="5">
                  <c:v>18.037750293447772</c:v>
                </c:pt>
                <c:pt idx="6">
                  <c:v>14.746958886892301</c:v>
                </c:pt>
                <c:pt idx="7">
                  <c:v>19.312303446961955</c:v>
                </c:pt>
                <c:pt idx="8">
                  <c:v>21.137214126747757</c:v>
                </c:pt>
                <c:pt idx="9">
                  <c:v>20.220879165974011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7D9-46A0-B474-98F346B95C37}"/>
            </c:ext>
          </c:extLst>
        </c:ser>
        <c:ser>
          <c:idx val="5"/>
          <c:order val="5"/>
          <c:tx>
            <c:v>Ag</c:v>
          </c:tx>
          <c:spPr>
            <a:ln w="28575">
              <a:solidFill>
                <a:schemeClr val="accent6"/>
              </a:solidFill>
            </a:ln>
          </c:spPr>
          <c:errBars>
            <c:errDir val="y"/>
            <c:errBarType val="both"/>
            <c:errValType val="cust"/>
            <c:noEndCap val="0"/>
            <c:plus>
              <c:numRef>
                <c:f>Data!#REF!</c:f>
                <c:numCache>
                  <c:formatCode>General</c:formatCode>
                  <c:ptCount val="10"/>
                  <c:pt idx="0">
                    <c:v>0.79165068595727062</c:v>
                  </c:pt>
                  <c:pt idx="1">
                    <c:v>0.51046140853180011</c:v>
                  </c:pt>
                  <c:pt idx="2">
                    <c:v>0.45889286366444682</c:v>
                  </c:pt>
                  <c:pt idx="3">
                    <c:v>0.89043748246764376</c:v>
                  </c:pt>
                  <c:pt idx="4">
                    <c:v>0.70115624000942534</c:v>
                  </c:pt>
                  <c:pt idx="5">
                    <c:v>4.5078694084924952E-2</c:v>
                  </c:pt>
                  <c:pt idx="6">
                    <c:v>5.262888854496342E-2</c:v>
                  </c:pt>
                  <c:pt idx="7">
                    <c:v>0.32174636170663473</c:v>
                  </c:pt>
                  <c:pt idx="8">
                    <c:v>0.54021714968828849</c:v>
                  </c:pt>
                  <c:pt idx="9">
                    <c:v>1.7127597820797309</c:v>
                  </c:pt>
                </c:numCache>
              </c:numRef>
            </c:plus>
            <c:minus>
              <c:numRef>
                <c:f>Data!#REF!</c:f>
                <c:numCache>
                  <c:formatCode>General</c:formatCode>
                  <c:ptCount val="10"/>
                  <c:pt idx="0">
                    <c:v>0.79165068595727062</c:v>
                  </c:pt>
                  <c:pt idx="1">
                    <c:v>0.51046140853180011</c:v>
                  </c:pt>
                  <c:pt idx="2">
                    <c:v>0.45889286366444682</c:v>
                  </c:pt>
                  <c:pt idx="3">
                    <c:v>0.89043748246764376</c:v>
                  </c:pt>
                  <c:pt idx="4">
                    <c:v>0.70115624000942534</c:v>
                  </c:pt>
                  <c:pt idx="5">
                    <c:v>4.5078694084924952E-2</c:v>
                  </c:pt>
                  <c:pt idx="6">
                    <c:v>5.262888854496342E-2</c:v>
                  </c:pt>
                  <c:pt idx="7">
                    <c:v>0.32174636170663473</c:v>
                  </c:pt>
                  <c:pt idx="8">
                    <c:v>0.54021714968828849</c:v>
                  </c:pt>
                  <c:pt idx="9">
                    <c:v>1.7127597820797309</c:v>
                  </c:pt>
                </c:numCache>
              </c:numRef>
            </c:minus>
            <c:spPr>
              <a:ln w="25400">
                <a:solidFill>
                  <a:srgbClr val="FFC000"/>
                </a:solidFill>
              </a:ln>
            </c:spPr>
          </c:errBars>
          <c:xVal>
            <c:numRef>
              <c:f>Data!#REF!</c:f>
              <c:numCache>
                <c:formatCode>0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Data!#REF!</c:f>
              <c:numCache>
                <c:formatCode>0.000</c:formatCode>
                <c:ptCount val="10"/>
                <c:pt idx="0">
                  <c:v>0.23715513591569959</c:v>
                </c:pt>
                <c:pt idx="1">
                  <c:v>1.4371569853418862</c:v>
                </c:pt>
                <c:pt idx="2">
                  <c:v>0.14971333812993137</c:v>
                </c:pt>
                <c:pt idx="3">
                  <c:v>4.311275197139194</c:v>
                </c:pt>
                <c:pt idx="4">
                  <c:v>5.8744273873865751</c:v>
                </c:pt>
                <c:pt idx="5">
                  <c:v>0.34615939825940589</c:v>
                </c:pt>
                <c:pt idx="6">
                  <c:v>7.8789011087528893E-2</c:v>
                </c:pt>
                <c:pt idx="7">
                  <c:v>1.0849116325611368</c:v>
                </c:pt>
                <c:pt idx="8">
                  <c:v>2.2093240041057043</c:v>
                </c:pt>
                <c:pt idx="9">
                  <c:v>3.2913228911024639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7D9-46A0-B474-98F346B95C37}"/>
            </c:ext>
          </c:extLst>
        </c:ser>
        <c:ser>
          <c:idx val="6"/>
          <c:order val="6"/>
          <c:tx>
            <c:v>Cu</c:v>
          </c:tx>
          <c:spPr>
            <a:ln w="28575">
              <a:solidFill>
                <a:schemeClr val="accent1"/>
              </a:solidFill>
            </a:ln>
          </c:spPr>
          <c:marker>
            <c:spPr>
              <a:ln w="19050">
                <a:solidFill>
                  <a:schemeClr val="accent1"/>
                </a:solidFill>
              </a:ln>
            </c:spPr>
          </c:marker>
          <c:errBars>
            <c:errDir val="y"/>
            <c:errBarType val="both"/>
            <c:errValType val="cust"/>
            <c:noEndCap val="0"/>
            <c:plus>
              <c:numRef>
                <c:f>Data!#REF!</c:f>
                <c:numCache>
                  <c:formatCode>General</c:formatCode>
                  <c:ptCount val="10"/>
                  <c:pt idx="0">
                    <c:v>16.029930418694359</c:v>
                  </c:pt>
                  <c:pt idx="1">
                    <c:v>17.269600329008298</c:v>
                  </c:pt>
                  <c:pt idx="2">
                    <c:v>24.568852747765323</c:v>
                  </c:pt>
                  <c:pt idx="3">
                    <c:v>25230.512060121822</c:v>
                  </c:pt>
                  <c:pt idx="4">
                    <c:v>9602.2833935195613</c:v>
                  </c:pt>
                  <c:pt idx="5">
                    <c:v>11.127611911439445</c:v>
                  </c:pt>
                  <c:pt idx="6">
                    <c:v>4.762850579577627</c:v>
                  </c:pt>
                  <c:pt idx="7">
                    <c:v>7.8966566772769387</c:v>
                  </c:pt>
                  <c:pt idx="8">
                    <c:v>77.430597800375921</c:v>
                  </c:pt>
                  <c:pt idx="9">
                    <c:v>103237.80990339851</c:v>
                  </c:pt>
                </c:numCache>
              </c:numRef>
            </c:plus>
            <c:minus>
              <c:numRef>
                <c:f>Data!#REF!</c:f>
                <c:numCache>
                  <c:formatCode>General</c:formatCode>
                  <c:ptCount val="10"/>
                  <c:pt idx="0">
                    <c:v>16.029930418694359</c:v>
                  </c:pt>
                  <c:pt idx="1">
                    <c:v>17.269600329008298</c:v>
                  </c:pt>
                  <c:pt idx="2">
                    <c:v>24.568852747765323</c:v>
                  </c:pt>
                  <c:pt idx="3">
                    <c:v>25230.512060121822</c:v>
                  </c:pt>
                  <c:pt idx="4">
                    <c:v>9602.2833935195613</c:v>
                  </c:pt>
                  <c:pt idx="5">
                    <c:v>11.127611911439445</c:v>
                  </c:pt>
                  <c:pt idx="6">
                    <c:v>4.762850579577627</c:v>
                  </c:pt>
                  <c:pt idx="7">
                    <c:v>7.8966566772769387</c:v>
                  </c:pt>
                  <c:pt idx="8">
                    <c:v>77.430597800375921</c:v>
                  </c:pt>
                  <c:pt idx="9">
                    <c:v>103237.80990339851</c:v>
                  </c:pt>
                </c:numCache>
              </c:numRef>
            </c:minus>
            <c:spPr>
              <a:ln w="25400">
                <a:solidFill>
                  <a:schemeClr val="accent1"/>
                </a:solidFill>
              </a:ln>
            </c:spPr>
          </c:errBars>
          <c:xVal>
            <c:numRef>
              <c:f>Data!#REF!</c:f>
              <c:numCache>
                <c:formatCode>0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Data!#REF!</c:f>
              <c:numCache>
                <c:formatCode>0.000</c:formatCode>
                <c:ptCount val="10"/>
                <c:pt idx="0">
                  <c:v>9.8289957617450909</c:v>
                </c:pt>
                <c:pt idx="1">
                  <c:v>56.751086044803856</c:v>
                </c:pt>
                <c:pt idx="2">
                  <c:v>31.058458210765366</c:v>
                </c:pt>
                <c:pt idx="3">
                  <c:v>34684.475236048398</c:v>
                </c:pt>
                <c:pt idx="4">
                  <c:v>38688.996784077375</c:v>
                </c:pt>
                <c:pt idx="5">
                  <c:v>44.0518569956742</c:v>
                </c:pt>
                <c:pt idx="6">
                  <c:v>29.128037458055658</c:v>
                </c:pt>
                <c:pt idx="7">
                  <c:v>35.977565536095611</c:v>
                </c:pt>
                <c:pt idx="8">
                  <c:v>26.874039622536543</c:v>
                </c:pt>
                <c:pt idx="9">
                  <c:v>211343.17958086089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D7D9-46A0-B474-98F346B95C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038272"/>
        <c:axId val="112039808"/>
      </c:scatterChart>
      <c:valAx>
        <c:axId val="112038272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2039808"/>
        <c:crosses val="autoZero"/>
        <c:crossBetween val="midCat"/>
      </c:valAx>
      <c:valAx>
        <c:axId val="112039808"/>
        <c:scaling>
          <c:logBase val="10"/>
          <c:orientation val="minMax"/>
        </c:scaling>
        <c:delete val="0"/>
        <c:axPos val="l"/>
        <c:majorGridlines/>
        <c:numFmt formatCode="0.000" sourceLinked="1"/>
        <c:majorTickMark val="out"/>
        <c:minorTickMark val="none"/>
        <c:tickLblPos val="nextTo"/>
        <c:crossAx val="11203827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As</c:v>
          </c:tx>
          <c:spPr>
            <a:ln w="28575">
              <a:solidFill>
                <a:schemeClr val="accent1"/>
              </a:solidFill>
            </a:ln>
          </c:spPr>
          <c:errBars>
            <c:errDir val="y"/>
            <c:errBarType val="both"/>
            <c:errValType val="cust"/>
            <c:noEndCap val="0"/>
            <c:plus>
              <c:numRef>
                <c:f>Data!#REF!</c:f>
                <c:numCache>
                  <c:formatCode>General</c:formatCode>
                  <c:ptCount val="8"/>
                  <c:pt idx="0">
                    <c:v>23.888454115372131</c:v>
                  </c:pt>
                  <c:pt idx="1">
                    <c:v>96.969935534006424</c:v>
                  </c:pt>
                  <c:pt idx="2">
                    <c:v>8.969288387445026</c:v>
                  </c:pt>
                  <c:pt idx="3">
                    <c:v>32.68098975452655</c:v>
                  </c:pt>
                  <c:pt idx="4">
                    <c:v>16.151817936713726</c:v>
                  </c:pt>
                  <c:pt idx="5">
                    <c:v>33.993641163180612</c:v>
                  </c:pt>
                  <c:pt idx="6">
                    <c:v>40.570648399154855</c:v>
                  </c:pt>
                  <c:pt idx="7">
                    <c:v>25.348098077473924</c:v>
                  </c:pt>
                </c:numCache>
              </c:numRef>
            </c:plus>
            <c:minus>
              <c:numRef>
                <c:f>Data!#REF!</c:f>
                <c:numCache>
                  <c:formatCode>General</c:formatCode>
                  <c:ptCount val="8"/>
                  <c:pt idx="0">
                    <c:v>23.888454115372131</c:v>
                  </c:pt>
                  <c:pt idx="1">
                    <c:v>96.969935534006424</c:v>
                  </c:pt>
                  <c:pt idx="2">
                    <c:v>8.969288387445026</c:v>
                  </c:pt>
                  <c:pt idx="3">
                    <c:v>32.68098975452655</c:v>
                  </c:pt>
                  <c:pt idx="4">
                    <c:v>16.151817936713726</c:v>
                  </c:pt>
                  <c:pt idx="5">
                    <c:v>33.993641163180612</c:v>
                  </c:pt>
                  <c:pt idx="6">
                    <c:v>40.570648399154855</c:v>
                  </c:pt>
                  <c:pt idx="7">
                    <c:v>25.348098077473924</c:v>
                  </c:pt>
                </c:numCache>
              </c:numRef>
            </c:minus>
            <c:spPr>
              <a:ln w="25400">
                <a:solidFill>
                  <a:schemeClr val="accent1"/>
                </a:solidFill>
              </a:ln>
            </c:spPr>
          </c:errBars>
          <c:xVal>
            <c:numRef>
              <c:f>Data!#REF!</c:f>
              <c:numCache>
                <c:formatCode>0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xVal>
          <c:yVal>
            <c:numRef>
              <c:f>Data!#REF!</c:f>
              <c:numCache>
                <c:formatCode>0.000</c:formatCode>
                <c:ptCount val="8"/>
                <c:pt idx="0">
                  <c:v>167.5362220597824</c:v>
                </c:pt>
                <c:pt idx="1">
                  <c:v>136.38928757080856</c:v>
                </c:pt>
                <c:pt idx="2">
                  <c:v>166.74775644676492</c:v>
                </c:pt>
                <c:pt idx="3">
                  <c:v>156.81133215151624</c:v>
                </c:pt>
                <c:pt idx="4">
                  <c:v>151.0412611808627</c:v>
                </c:pt>
                <c:pt idx="5">
                  <c:v>131.55428062540923</c:v>
                </c:pt>
                <c:pt idx="6">
                  <c:v>200.58181590406639</c:v>
                </c:pt>
                <c:pt idx="7">
                  <c:v>143.2770277805314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A23-43CB-8427-534255B2E7B9}"/>
            </c:ext>
          </c:extLst>
        </c:ser>
        <c:ser>
          <c:idx val="1"/>
          <c:order val="1"/>
          <c:tx>
            <c:v>Ni</c:v>
          </c:tx>
          <c:spPr>
            <a:ln w="28575">
              <a:solidFill>
                <a:srgbClr val="FF0000"/>
              </a:solidFill>
            </a:ln>
          </c:spPr>
          <c:errBars>
            <c:errDir val="y"/>
            <c:errBarType val="both"/>
            <c:errValType val="cust"/>
            <c:noEndCap val="0"/>
            <c:plus>
              <c:numRef>
                <c:f>Data!#REF!</c:f>
                <c:numCache>
                  <c:formatCode>General</c:formatCode>
                  <c:ptCount val="8"/>
                  <c:pt idx="0">
                    <c:v>89.259614549977769</c:v>
                  </c:pt>
                  <c:pt idx="1">
                    <c:v>65.416805445011491</c:v>
                  </c:pt>
                  <c:pt idx="2">
                    <c:v>27.497441211603839</c:v>
                  </c:pt>
                  <c:pt idx="3">
                    <c:v>63.485585449010522</c:v>
                  </c:pt>
                  <c:pt idx="4">
                    <c:v>61.02142083276506</c:v>
                  </c:pt>
                  <c:pt idx="5">
                    <c:v>52.434483098975178</c:v>
                  </c:pt>
                  <c:pt idx="6">
                    <c:v>21.803008366960281</c:v>
                  </c:pt>
                  <c:pt idx="7">
                    <c:v>39.447188310726553</c:v>
                  </c:pt>
                </c:numCache>
              </c:numRef>
            </c:plus>
            <c:minus>
              <c:numRef>
                <c:f>Data!#REF!</c:f>
                <c:numCache>
                  <c:formatCode>General</c:formatCode>
                  <c:ptCount val="8"/>
                  <c:pt idx="0">
                    <c:v>89.259614549977769</c:v>
                  </c:pt>
                  <c:pt idx="1">
                    <c:v>65.416805445011491</c:v>
                  </c:pt>
                  <c:pt idx="2">
                    <c:v>27.497441211603839</c:v>
                  </c:pt>
                  <c:pt idx="3">
                    <c:v>63.485585449010522</c:v>
                  </c:pt>
                  <c:pt idx="4">
                    <c:v>61.02142083276506</c:v>
                  </c:pt>
                  <c:pt idx="5">
                    <c:v>52.434483098975178</c:v>
                  </c:pt>
                  <c:pt idx="6">
                    <c:v>21.803008366960281</c:v>
                  </c:pt>
                  <c:pt idx="7">
                    <c:v>39.447188310726553</c:v>
                  </c:pt>
                </c:numCache>
              </c:numRef>
            </c:minus>
            <c:spPr>
              <a:ln w="25400">
                <a:solidFill>
                  <a:srgbClr val="FF0000"/>
                </a:solidFill>
              </a:ln>
            </c:spPr>
          </c:errBars>
          <c:xVal>
            <c:numRef>
              <c:f>Data!#REF!</c:f>
              <c:numCache>
                <c:formatCode>0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xVal>
          <c:yVal>
            <c:numRef>
              <c:f>Data!#REF!</c:f>
              <c:numCache>
                <c:formatCode>0.000</c:formatCode>
                <c:ptCount val="8"/>
                <c:pt idx="0">
                  <c:v>496.31154240507522</c:v>
                </c:pt>
                <c:pt idx="1">
                  <c:v>311.12494585138882</c:v>
                </c:pt>
                <c:pt idx="2">
                  <c:v>405.35959225190993</c:v>
                </c:pt>
                <c:pt idx="3">
                  <c:v>475.13709120604528</c:v>
                </c:pt>
                <c:pt idx="4">
                  <c:v>530.85647068723199</c:v>
                </c:pt>
                <c:pt idx="5">
                  <c:v>399.18085676036702</c:v>
                </c:pt>
                <c:pt idx="6">
                  <c:v>466.58539801302391</c:v>
                </c:pt>
                <c:pt idx="7">
                  <c:v>431.74498217335679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A23-43CB-8427-534255B2E7B9}"/>
            </c:ext>
          </c:extLst>
        </c:ser>
        <c:ser>
          <c:idx val="2"/>
          <c:order val="2"/>
          <c:tx>
            <c:v>Co</c:v>
          </c:tx>
          <c:spPr>
            <a:ln w="28575">
              <a:solidFill>
                <a:srgbClr val="00B050"/>
              </a:solidFill>
            </a:ln>
          </c:spPr>
          <c:errBars>
            <c:errDir val="y"/>
            <c:errBarType val="both"/>
            <c:errValType val="cust"/>
            <c:noEndCap val="0"/>
            <c:plus>
              <c:numRef>
                <c:f>Data!$AD$74:$AD$83</c:f>
                <c:numCache>
                  <c:formatCode>General</c:formatCode>
                  <c:ptCount val="10"/>
                  <c:pt idx="0">
                    <c:v>32.409975930401302</c:v>
                  </c:pt>
                  <c:pt idx="1">
                    <c:v>36.366853854916805</c:v>
                  </c:pt>
                  <c:pt idx="2">
                    <c:v>49.147734841051069</c:v>
                  </c:pt>
                  <c:pt idx="3">
                    <c:v>26.924799448543524</c:v>
                  </c:pt>
                  <c:pt idx="4">
                    <c:v>72.072621036469059</c:v>
                  </c:pt>
                  <c:pt idx="5">
                    <c:v>5.2275013457082444</c:v>
                  </c:pt>
                  <c:pt idx="6">
                    <c:v>22.131632352864443</c:v>
                  </c:pt>
                  <c:pt idx="7">
                    <c:v>24.467435483406643</c:v>
                  </c:pt>
                  <c:pt idx="8">
                    <c:v>9.1687937360518905</c:v>
                  </c:pt>
                  <c:pt idx="9">
                    <c:v>28.358640053052394</c:v>
                  </c:pt>
                </c:numCache>
              </c:numRef>
            </c:plus>
            <c:minus>
              <c:numRef>
                <c:f>Data!$AD$74:$AD$83</c:f>
                <c:numCache>
                  <c:formatCode>General</c:formatCode>
                  <c:ptCount val="10"/>
                  <c:pt idx="0">
                    <c:v>32.409975930401302</c:v>
                  </c:pt>
                  <c:pt idx="1">
                    <c:v>36.366853854916805</c:v>
                  </c:pt>
                  <c:pt idx="2">
                    <c:v>49.147734841051069</c:v>
                  </c:pt>
                  <c:pt idx="3">
                    <c:v>26.924799448543524</c:v>
                  </c:pt>
                  <c:pt idx="4">
                    <c:v>72.072621036469059</c:v>
                  </c:pt>
                  <c:pt idx="5">
                    <c:v>5.2275013457082444</c:v>
                  </c:pt>
                  <c:pt idx="6">
                    <c:v>22.131632352864443</c:v>
                  </c:pt>
                  <c:pt idx="7">
                    <c:v>24.467435483406643</c:v>
                  </c:pt>
                  <c:pt idx="8">
                    <c:v>9.1687937360518905</c:v>
                  </c:pt>
                  <c:pt idx="9">
                    <c:v>28.358640053052394</c:v>
                  </c:pt>
                </c:numCache>
              </c:numRef>
            </c:minus>
            <c:spPr>
              <a:ln w="25400">
                <a:solidFill>
                  <a:srgbClr val="00B050"/>
                </a:solidFill>
              </a:ln>
            </c:spPr>
          </c:errBars>
          <c:xVal>
            <c:numRef>
              <c:f>Data!#REF!</c:f>
              <c:numCache>
                <c:formatCode>0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xVal>
          <c:yVal>
            <c:numRef>
              <c:f>Data!#REF!</c:f>
              <c:numCache>
                <c:formatCode>0.000</c:formatCode>
                <c:ptCount val="8"/>
                <c:pt idx="0">
                  <c:v>53.928929373643939</c:v>
                </c:pt>
                <c:pt idx="1">
                  <c:v>43.53689282259829</c:v>
                </c:pt>
                <c:pt idx="2">
                  <c:v>62.366363456619737</c:v>
                </c:pt>
                <c:pt idx="3">
                  <c:v>40.651666282757219</c:v>
                </c:pt>
                <c:pt idx="4">
                  <c:v>59.34706758817557</c:v>
                </c:pt>
                <c:pt idx="5">
                  <c:v>40.191870145692548</c:v>
                </c:pt>
                <c:pt idx="6">
                  <c:v>67.538669966204225</c:v>
                </c:pt>
                <c:pt idx="7">
                  <c:v>69.587428199802105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A23-43CB-8427-534255B2E7B9}"/>
            </c:ext>
          </c:extLst>
        </c:ser>
        <c:ser>
          <c:idx val="3"/>
          <c:order val="3"/>
          <c:tx>
            <c:v>Sb</c:v>
          </c:tx>
          <c:spPr>
            <a:ln w="28575">
              <a:solidFill>
                <a:srgbClr val="7030A0"/>
              </a:solidFill>
            </a:ln>
          </c:spPr>
          <c:marker>
            <c:spPr>
              <a:ln w="19050">
                <a:solidFill>
                  <a:srgbClr val="7030A0"/>
                </a:solidFill>
              </a:ln>
            </c:spPr>
          </c:marker>
          <c:errBars>
            <c:errDir val="y"/>
            <c:errBarType val="both"/>
            <c:errValType val="cust"/>
            <c:noEndCap val="0"/>
            <c:plus>
              <c:numRef>
                <c:f>Data!#REF!</c:f>
                <c:numCache>
                  <c:formatCode>General</c:formatCode>
                  <c:ptCount val="8"/>
                  <c:pt idx="0">
                    <c:v>1.440641046184463</c:v>
                  </c:pt>
                  <c:pt idx="1">
                    <c:v>3.6886995392942281</c:v>
                  </c:pt>
                  <c:pt idx="2">
                    <c:v>0.70427389246453298</c:v>
                  </c:pt>
                  <c:pt idx="3">
                    <c:v>1.2261038067802499</c:v>
                  </c:pt>
                  <c:pt idx="4">
                    <c:v>1.4489611925336674</c:v>
                  </c:pt>
                  <c:pt idx="5">
                    <c:v>1.584512909731848</c:v>
                  </c:pt>
                  <c:pt idx="6">
                    <c:v>1.5654737341849705</c:v>
                  </c:pt>
                  <c:pt idx="7">
                    <c:v>0.75829040090850586</c:v>
                  </c:pt>
                </c:numCache>
              </c:numRef>
            </c:plus>
            <c:minus>
              <c:numRef>
                <c:f>Data!#REF!</c:f>
                <c:numCache>
                  <c:formatCode>General</c:formatCode>
                  <c:ptCount val="8"/>
                  <c:pt idx="0">
                    <c:v>1.440641046184463</c:v>
                  </c:pt>
                  <c:pt idx="1">
                    <c:v>3.6886995392942281</c:v>
                  </c:pt>
                  <c:pt idx="2">
                    <c:v>0.70427389246453298</c:v>
                  </c:pt>
                  <c:pt idx="3">
                    <c:v>1.2261038067802499</c:v>
                  </c:pt>
                  <c:pt idx="4">
                    <c:v>1.4489611925336674</c:v>
                  </c:pt>
                  <c:pt idx="5">
                    <c:v>1.584512909731848</c:v>
                  </c:pt>
                  <c:pt idx="6">
                    <c:v>1.5654737341849705</c:v>
                  </c:pt>
                  <c:pt idx="7">
                    <c:v>0.75829040090850586</c:v>
                  </c:pt>
                </c:numCache>
              </c:numRef>
            </c:minus>
            <c:spPr>
              <a:ln w="25400">
                <a:solidFill>
                  <a:srgbClr val="7030A0"/>
                </a:solidFill>
              </a:ln>
            </c:spPr>
          </c:errBars>
          <c:xVal>
            <c:numRef>
              <c:f>Data!#REF!</c:f>
              <c:numCache>
                <c:formatCode>0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xVal>
          <c:yVal>
            <c:numRef>
              <c:f>Data!#REF!</c:f>
              <c:numCache>
                <c:formatCode>0.000</c:formatCode>
                <c:ptCount val="8"/>
                <c:pt idx="0">
                  <c:v>2.6919129944862465</c:v>
                </c:pt>
                <c:pt idx="1">
                  <c:v>1.680898778238106</c:v>
                </c:pt>
                <c:pt idx="2">
                  <c:v>2.6205135472703884</c:v>
                </c:pt>
                <c:pt idx="3">
                  <c:v>2.1400788387617515</c:v>
                </c:pt>
                <c:pt idx="4">
                  <c:v>2.6357761687572232</c:v>
                </c:pt>
                <c:pt idx="5">
                  <c:v>2.1154468881322837</c:v>
                </c:pt>
                <c:pt idx="6">
                  <c:v>2.5596283916188387</c:v>
                </c:pt>
                <c:pt idx="7">
                  <c:v>2.4981050140386412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A23-43CB-8427-534255B2E7B9}"/>
            </c:ext>
          </c:extLst>
        </c:ser>
        <c:ser>
          <c:idx val="4"/>
          <c:order val="4"/>
          <c:tx>
            <c:v>Se</c:v>
          </c:tx>
          <c:spPr>
            <a:ln w="28575">
              <a:solidFill>
                <a:schemeClr val="accent2">
                  <a:lumMod val="40000"/>
                  <a:lumOff val="60000"/>
                </a:schemeClr>
              </a:solidFill>
            </a:ln>
          </c:spPr>
          <c:marker>
            <c:spPr>
              <a:ln w="19050">
                <a:solidFill>
                  <a:schemeClr val="accent2">
                    <a:lumMod val="40000"/>
                    <a:lumOff val="60000"/>
                  </a:schemeClr>
                </a:solidFill>
              </a:ln>
            </c:spPr>
          </c:marker>
          <c:errBars>
            <c:errDir val="y"/>
            <c:errBarType val="both"/>
            <c:errValType val="cust"/>
            <c:noEndCap val="0"/>
            <c:plus>
              <c:numRef>
                <c:f>Data!#REF!</c:f>
                <c:numCache>
                  <c:formatCode>General</c:formatCode>
                  <c:ptCount val="8"/>
                  <c:pt idx="0">
                    <c:v>1.440641046184463</c:v>
                  </c:pt>
                  <c:pt idx="1">
                    <c:v>3.6886995392942281</c:v>
                  </c:pt>
                  <c:pt idx="2">
                    <c:v>0.70427389246453298</c:v>
                  </c:pt>
                  <c:pt idx="3">
                    <c:v>1.2261038067802499</c:v>
                  </c:pt>
                  <c:pt idx="4">
                    <c:v>1.4489611925336674</c:v>
                  </c:pt>
                  <c:pt idx="5">
                    <c:v>1.584512909731848</c:v>
                  </c:pt>
                  <c:pt idx="6">
                    <c:v>1.5654737341849705</c:v>
                  </c:pt>
                  <c:pt idx="7">
                    <c:v>0.75829040090850586</c:v>
                  </c:pt>
                </c:numCache>
              </c:numRef>
            </c:plus>
            <c:minus>
              <c:numRef>
                <c:f>Data!#REF!</c:f>
                <c:numCache>
                  <c:formatCode>General</c:formatCode>
                  <c:ptCount val="8"/>
                  <c:pt idx="0">
                    <c:v>1.440641046184463</c:v>
                  </c:pt>
                  <c:pt idx="1">
                    <c:v>3.6886995392942281</c:v>
                  </c:pt>
                  <c:pt idx="2">
                    <c:v>0.70427389246453298</c:v>
                  </c:pt>
                  <c:pt idx="3">
                    <c:v>1.2261038067802499</c:v>
                  </c:pt>
                  <c:pt idx="4">
                    <c:v>1.4489611925336674</c:v>
                  </c:pt>
                  <c:pt idx="5">
                    <c:v>1.584512909731848</c:v>
                  </c:pt>
                  <c:pt idx="6">
                    <c:v>1.5654737341849705</c:v>
                  </c:pt>
                  <c:pt idx="7">
                    <c:v>0.75829040090850586</c:v>
                  </c:pt>
                </c:numCache>
              </c:numRef>
            </c:minus>
            <c:spPr>
              <a:ln w="25400">
                <a:solidFill>
                  <a:schemeClr val="accent2">
                    <a:lumMod val="40000"/>
                    <a:lumOff val="60000"/>
                  </a:schemeClr>
                </a:solidFill>
              </a:ln>
            </c:spPr>
          </c:errBars>
          <c:xVal>
            <c:numRef>
              <c:f>Data!#REF!</c:f>
              <c:numCache>
                <c:formatCode>0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xVal>
          <c:yVal>
            <c:numRef>
              <c:f>Data!#REF!</c:f>
              <c:numCache>
                <c:formatCode>0.000</c:formatCode>
                <c:ptCount val="8"/>
                <c:pt idx="0">
                  <c:v>7.9966465338636183</c:v>
                </c:pt>
                <c:pt idx="1">
                  <c:v>9.7705781295099019</c:v>
                </c:pt>
                <c:pt idx="2">
                  <c:v>7.4105057450118172</c:v>
                </c:pt>
                <c:pt idx="3">
                  <c:v>6.1386664447134063</c:v>
                </c:pt>
                <c:pt idx="4">
                  <c:v>7.3414412200009691</c:v>
                </c:pt>
                <c:pt idx="5">
                  <c:v>5.8131964066843089</c:v>
                </c:pt>
                <c:pt idx="6">
                  <c:v>5.6540109806416012</c:v>
                </c:pt>
                <c:pt idx="7">
                  <c:v>7.1371457153719913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A23-43CB-8427-534255B2E7B9}"/>
            </c:ext>
          </c:extLst>
        </c:ser>
        <c:ser>
          <c:idx val="5"/>
          <c:order val="5"/>
          <c:tx>
            <c:v>Ag</c:v>
          </c:tx>
          <c:spPr>
            <a:ln w="28575">
              <a:solidFill>
                <a:schemeClr val="accent6"/>
              </a:solidFill>
            </a:ln>
          </c:spPr>
          <c:errBars>
            <c:errDir val="y"/>
            <c:errBarType val="both"/>
            <c:errValType val="cust"/>
            <c:noEndCap val="0"/>
            <c:plus>
              <c:numRef>
                <c:f>Data!#REF!</c:f>
                <c:numCache>
                  <c:formatCode>General</c:formatCode>
                  <c:ptCount val="8"/>
                  <c:pt idx="0">
                    <c:v>0.34504796632774259</c:v>
                  </c:pt>
                  <c:pt idx="1">
                    <c:v>0.72612280795572437</c:v>
                  </c:pt>
                  <c:pt idx="2">
                    <c:v>0.30601304925424422</c:v>
                  </c:pt>
                  <c:pt idx="3">
                    <c:v>0.26430772989088569</c:v>
                  </c:pt>
                  <c:pt idx="4">
                    <c:v>0.28068388909873565</c:v>
                  </c:pt>
                  <c:pt idx="5">
                    <c:v>0.4078781891003852</c:v>
                  </c:pt>
                  <c:pt idx="6">
                    <c:v>0.35588974625532394</c:v>
                  </c:pt>
                  <c:pt idx="7">
                    <c:v>0.60425388543892034</c:v>
                  </c:pt>
                </c:numCache>
              </c:numRef>
            </c:plus>
            <c:minus>
              <c:numRef>
                <c:f>Data!#REF!</c:f>
                <c:numCache>
                  <c:formatCode>General</c:formatCode>
                  <c:ptCount val="8"/>
                  <c:pt idx="0">
                    <c:v>0.34504796632774259</c:v>
                  </c:pt>
                  <c:pt idx="1">
                    <c:v>0.72612280795572437</c:v>
                  </c:pt>
                  <c:pt idx="2">
                    <c:v>0.30601304925424422</c:v>
                  </c:pt>
                  <c:pt idx="3">
                    <c:v>0.26430772989088569</c:v>
                  </c:pt>
                  <c:pt idx="4">
                    <c:v>0.28068388909873565</c:v>
                  </c:pt>
                  <c:pt idx="5">
                    <c:v>0.4078781891003852</c:v>
                  </c:pt>
                  <c:pt idx="6">
                    <c:v>0.35588974625532394</c:v>
                  </c:pt>
                  <c:pt idx="7">
                    <c:v>0.60425388543892034</c:v>
                  </c:pt>
                </c:numCache>
              </c:numRef>
            </c:minus>
            <c:spPr>
              <a:ln w="25400">
                <a:solidFill>
                  <a:srgbClr val="FFC000"/>
                </a:solidFill>
              </a:ln>
            </c:spPr>
          </c:errBars>
          <c:xVal>
            <c:numRef>
              <c:f>Data!#REF!</c:f>
              <c:numCache>
                <c:formatCode>0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xVal>
          <c:yVal>
            <c:numRef>
              <c:f>Data!#REF!</c:f>
              <c:numCache>
                <c:formatCode>0.000</c:formatCode>
                <c:ptCount val="8"/>
                <c:pt idx="0">
                  <c:v>2.1972810336707482</c:v>
                </c:pt>
                <c:pt idx="1">
                  <c:v>2.1336100672688012</c:v>
                </c:pt>
                <c:pt idx="2">
                  <c:v>2.3114737769530356</c:v>
                </c:pt>
                <c:pt idx="3">
                  <c:v>1.8344847908420299</c:v>
                </c:pt>
                <c:pt idx="4">
                  <c:v>3.1252909484870739</c:v>
                </c:pt>
                <c:pt idx="5">
                  <c:v>2.4405307969288259</c:v>
                </c:pt>
                <c:pt idx="6">
                  <c:v>2.9782317880942593</c:v>
                </c:pt>
                <c:pt idx="7">
                  <c:v>2.2525684913498347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A23-43CB-8427-534255B2E7B9}"/>
            </c:ext>
          </c:extLst>
        </c:ser>
        <c:ser>
          <c:idx val="6"/>
          <c:order val="6"/>
          <c:tx>
            <c:v>Cu</c:v>
          </c:tx>
          <c:spPr>
            <a:ln w="28575">
              <a:solidFill>
                <a:schemeClr val="accent1"/>
              </a:solidFill>
            </a:ln>
          </c:spPr>
          <c:marker>
            <c:spPr>
              <a:ln w="19050">
                <a:solidFill>
                  <a:schemeClr val="accent1"/>
                </a:solidFill>
              </a:ln>
            </c:spPr>
          </c:marker>
          <c:errBars>
            <c:errDir val="y"/>
            <c:errBarType val="both"/>
            <c:errValType val="cust"/>
            <c:noEndCap val="0"/>
            <c:plus>
              <c:numRef>
                <c:f>Data!#REF!</c:f>
                <c:numCache>
                  <c:formatCode>General</c:formatCode>
                  <c:ptCount val="8"/>
                  <c:pt idx="0">
                    <c:v>13.761555478875996</c:v>
                  </c:pt>
                  <c:pt idx="1">
                    <c:v>17.472017424140098</c:v>
                  </c:pt>
                  <c:pt idx="2">
                    <c:v>10.945190175157098</c:v>
                  </c:pt>
                  <c:pt idx="3">
                    <c:v>6.2906034350500803</c:v>
                  </c:pt>
                  <c:pt idx="4">
                    <c:v>4.6164157673579567</c:v>
                  </c:pt>
                  <c:pt idx="5">
                    <c:v>10.928267634862049</c:v>
                  </c:pt>
                  <c:pt idx="6">
                    <c:v>7.3920819168006897</c:v>
                  </c:pt>
                  <c:pt idx="7">
                    <c:v>3.7041364605459788</c:v>
                  </c:pt>
                </c:numCache>
              </c:numRef>
            </c:plus>
            <c:minus>
              <c:numRef>
                <c:f>Data!#REF!</c:f>
                <c:numCache>
                  <c:formatCode>General</c:formatCode>
                  <c:ptCount val="8"/>
                  <c:pt idx="0">
                    <c:v>13.761555478875996</c:v>
                  </c:pt>
                  <c:pt idx="1">
                    <c:v>17.472017424140098</c:v>
                  </c:pt>
                  <c:pt idx="2">
                    <c:v>10.945190175157098</c:v>
                  </c:pt>
                  <c:pt idx="3">
                    <c:v>6.2906034350500803</c:v>
                  </c:pt>
                  <c:pt idx="4">
                    <c:v>4.6164157673579567</c:v>
                  </c:pt>
                  <c:pt idx="5">
                    <c:v>10.928267634862049</c:v>
                  </c:pt>
                  <c:pt idx="6">
                    <c:v>7.3920819168006897</c:v>
                  </c:pt>
                  <c:pt idx="7">
                    <c:v>3.7041364605459788</c:v>
                  </c:pt>
                </c:numCache>
              </c:numRef>
            </c:minus>
            <c:spPr>
              <a:ln w="25400">
                <a:solidFill>
                  <a:schemeClr val="accent1"/>
                </a:solidFill>
              </a:ln>
            </c:spPr>
          </c:errBars>
          <c:xVal>
            <c:numRef>
              <c:f>Data!#REF!</c:f>
              <c:numCache>
                <c:formatCode>0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xVal>
          <c:yVal>
            <c:numRef>
              <c:f>Data!#REF!</c:f>
              <c:numCache>
                <c:formatCode>0.000</c:formatCode>
                <c:ptCount val="8"/>
                <c:pt idx="0">
                  <c:v>95.424417897669343</c:v>
                </c:pt>
                <c:pt idx="1">
                  <c:v>65.982656301383372</c:v>
                </c:pt>
                <c:pt idx="2">
                  <c:v>81.040296418598416</c:v>
                </c:pt>
                <c:pt idx="3">
                  <c:v>92.098867416962207</c:v>
                </c:pt>
                <c:pt idx="4">
                  <c:v>102.99563571302846</c:v>
                </c:pt>
                <c:pt idx="5">
                  <c:v>78.20583285197857</c:v>
                </c:pt>
                <c:pt idx="6">
                  <c:v>88.229437603666369</c:v>
                </c:pt>
                <c:pt idx="7">
                  <c:v>89.192019263073107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0A23-43CB-8427-534255B2E7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135424"/>
        <c:axId val="116136960"/>
      </c:scatterChart>
      <c:valAx>
        <c:axId val="116135424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6136960"/>
        <c:crosses val="autoZero"/>
        <c:crossBetween val="midCat"/>
      </c:valAx>
      <c:valAx>
        <c:axId val="116136960"/>
        <c:scaling>
          <c:logBase val="10"/>
          <c:orientation val="minMax"/>
        </c:scaling>
        <c:delete val="0"/>
        <c:axPos val="l"/>
        <c:majorGridlines/>
        <c:numFmt formatCode="0.000" sourceLinked="1"/>
        <c:majorTickMark val="out"/>
        <c:minorTickMark val="none"/>
        <c:tickLblPos val="nextTo"/>
        <c:crossAx val="116135424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As</c:v>
          </c:tx>
          <c:spPr>
            <a:ln w="28575">
              <a:solidFill>
                <a:schemeClr val="accent1"/>
              </a:solidFill>
            </a:ln>
          </c:spPr>
          <c:errBars>
            <c:errDir val="y"/>
            <c:errBarType val="both"/>
            <c:errValType val="cust"/>
            <c:noEndCap val="0"/>
            <c:plus>
              <c:numRef>
                <c:f>Data!$AH$74:$AH$83</c:f>
                <c:numCache>
                  <c:formatCode>General</c:formatCode>
                  <c:ptCount val="10"/>
                  <c:pt idx="0">
                    <c:v>6.0773357739466478</c:v>
                  </c:pt>
                  <c:pt idx="1">
                    <c:v>6.4109801795697017</c:v>
                  </c:pt>
                  <c:pt idx="2">
                    <c:v>8.6013087601626399</c:v>
                  </c:pt>
                  <c:pt idx="3">
                    <c:v>6.2132620947812098</c:v>
                  </c:pt>
                  <c:pt idx="4">
                    <c:v>3.2817047943399666</c:v>
                  </c:pt>
                  <c:pt idx="5">
                    <c:v>1.5905814796290041</c:v>
                  </c:pt>
                  <c:pt idx="6">
                    <c:v>1.8361700558242888</c:v>
                  </c:pt>
                  <c:pt idx="7">
                    <c:v>5.4100434528551302</c:v>
                  </c:pt>
                  <c:pt idx="8">
                    <c:v>4.292254830188603</c:v>
                  </c:pt>
                  <c:pt idx="9">
                    <c:v>3.1212407597795719</c:v>
                  </c:pt>
                </c:numCache>
              </c:numRef>
            </c:plus>
            <c:minus>
              <c:numRef>
                <c:f>Data!$AH$74:$AH$83</c:f>
                <c:numCache>
                  <c:formatCode>General</c:formatCode>
                  <c:ptCount val="10"/>
                  <c:pt idx="0">
                    <c:v>6.0773357739466478</c:v>
                  </c:pt>
                  <c:pt idx="1">
                    <c:v>6.4109801795697017</c:v>
                  </c:pt>
                  <c:pt idx="2">
                    <c:v>8.6013087601626399</c:v>
                  </c:pt>
                  <c:pt idx="3">
                    <c:v>6.2132620947812098</c:v>
                  </c:pt>
                  <c:pt idx="4">
                    <c:v>3.2817047943399666</c:v>
                  </c:pt>
                  <c:pt idx="5">
                    <c:v>1.5905814796290041</c:v>
                  </c:pt>
                  <c:pt idx="6">
                    <c:v>1.8361700558242888</c:v>
                  </c:pt>
                  <c:pt idx="7">
                    <c:v>5.4100434528551302</c:v>
                  </c:pt>
                  <c:pt idx="8">
                    <c:v>4.292254830188603</c:v>
                  </c:pt>
                  <c:pt idx="9">
                    <c:v>3.1212407597795719</c:v>
                  </c:pt>
                </c:numCache>
              </c:numRef>
            </c:minus>
            <c:spPr>
              <a:ln w="25400">
                <a:solidFill>
                  <a:schemeClr val="accent1"/>
                </a:solidFill>
              </a:ln>
            </c:spPr>
          </c:errBars>
          <c:xVal>
            <c:numRef>
              <c:f>Data!$F$74:$F$83</c:f>
              <c:numCache>
                <c:formatCode>0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Data!$N$74:$N$83</c:f>
              <c:numCache>
                <c:formatCode>0.000</c:formatCode>
                <c:ptCount val="10"/>
                <c:pt idx="0">
                  <c:v>23.141942633529695</c:v>
                </c:pt>
                <c:pt idx="1">
                  <c:v>8.7067145632729535</c:v>
                </c:pt>
                <c:pt idx="2">
                  <c:v>27.130571395787555</c:v>
                </c:pt>
                <c:pt idx="3">
                  <c:v>16.3684874385428</c:v>
                </c:pt>
                <c:pt idx="4">
                  <c:v>6.584981671775342</c:v>
                </c:pt>
                <c:pt idx="5">
                  <c:v>0.44750000000000001</c:v>
                </c:pt>
                <c:pt idx="6">
                  <c:v>3.9704876707325099</c:v>
                </c:pt>
                <c:pt idx="7">
                  <c:v>8.3938922351922294</c:v>
                </c:pt>
                <c:pt idx="8">
                  <c:v>22.116912286026469</c:v>
                </c:pt>
                <c:pt idx="9">
                  <c:v>13.699489321625535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DFE-411A-B3FA-B0E7643D2D99}"/>
            </c:ext>
          </c:extLst>
        </c:ser>
        <c:ser>
          <c:idx val="1"/>
          <c:order val="1"/>
          <c:tx>
            <c:v>Ni</c:v>
          </c:tx>
          <c:spPr>
            <a:ln w="28575">
              <a:solidFill>
                <a:srgbClr val="FF0000"/>
              </a:solidFill>
            </a:ln>
          </c:spPr>
          <c:errBars>
            <c:errDir val="y"/>
            <c:errBarType val="both"/>
            <c:errValType val="cust"/>
            <c:noEndCap val="0"/>
            <c:plus>
              <c:numRef>
                <c:f>Data!$AE$74:$AE$83</c:f>
                <c:numCache>
                  <c:formatCode>General</c:formatCode>
                  <c:ptCount val="10"/>
                  <c:pt idx="0">
                    <c:v>114.89824443787911</c:v>
                  </c:pt>
                  <c:pt idx="1">
                    <c:v>135.66032705648075</c:v>
                  </c:pt>
                  <c:pt idx="2">
                    <c:v>117.762385686234</c:v>
                  </c:pt>
                  <c:pt idx="3">
                    <c:v>46.959098456209937</c:v>
                  </c:pt>
                  <c:pt idx="4">
                    <c:v>29.0096091792579</c:v>
                  </c:pt>
                  <c:pt idx="5">
                    <c:v>78.373219858900114</c:v>
                  </c:pt>
                  <c:pt idx="6">
                    <c:v>14.377257104190003</c:v>
                  </c:pt>
                  <c:pt idx="7">
                    <c:v>54.007434063550228</c:v>
                  </c:pt>
                  <c:pt idx="8">
                    <c:v>53.519874279088661</c:v>
                  </c:pt>
                  <c:pt idx="9">
                    <c:v>57.55882473142897</c:v>
                  </c:pt>
                </c:numCache>
              </c:numRef>
            </c:plus>
            <c:minus>
              <c:numRef>
                <c:f>Data!$AE$74:$AE$83</c:f>
                <c:numCache>
                  <c:formatCode>General</c:formatCode>
                  <c:ptCount val="10"/>
                  <c:pt idx="0">
                    <c:v>114.89824443787911</c:v>
                  </c:pt>
                  <c:pt idx="1">
                    <c:v>135.66032705648075</c:v>
                  </c:pt>
                  <c:pt idx="2">
                    <c:v>117.762385686234</c:v>
                  </c:pt>
                  <c:pt idx="3">
                    <c:v>46.959098456209937</c:v>
                  </c:pt>
                  <c:pt idx="4">
                    <c:v>29.0096091792579</c:v>
                  </c:pt>
                  <c:pt idx="5">
                    <c:v>78.373219858900114</c:v>
                  </c:pt>
                  <c:pt idx="6">
                    <c:v>14.377257104190003</c:v>
                  </c:pt>
                  <c:pt idx="7">
                    <c:v>54.007434063550228</c:v>
                  </c:pt>
                  <c:pt idx="8">
                    <c:v>53.519874279088661</c:v>
                  </c:pt>
                  <c:pt idx="9">
                    <c:v>57.55882473142897</c:v>
                  </c:pt>
                </c:numCache>
              </c:numRef>
            </c:minus>
            <c:spPr>
              <a:ln w="25400">
                <a:solidFill>
                  <a:srgbClr val="FF0000"/>
                </a:solidFill>
              </a:ln>
            </c:spPr>
          </c:errBars>
          <c:xVal>
            <c:numRef>
              <c:f>Data!$F$74:$F$83</c:f>
              <c:numCache>
                <c:formatCode>0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Data!$K$74:$K$83</c:f>
              <c:numCache>
                <c:formatCode>0.000</c:formatCode>
                <c:ptCount val="10"/>
                <c:pt idx="0">
                  <c:v>416.56111979590503</c:v>
                </c:pt>
                <c:pt idx="1">
                  <c:v>200.34533087790226</c:v>
                </c:pt>
                <c:pt idx="2">
                  <c:v>336.38748817558985</c:v>
                </c:pt>
                <c:pt idx="3">
                  <c:v>212.54524938172347</c:v>
                </c:pt>
                <c:pt idx="4">
                  <c:v>106.99913638372121</c:v>
                </c:pt>
                <c:pt idx="5">
                  <c:v>22.6630621943807</c:v>
                </c:pt>
                <c:pt idx="6">
                  <c:v>111.25688387685636</c:v>
                </c:pt>
                <c:pt idx="7">
                  <c:v>136.42201459972352</c:v>
                </c:pt>
                <c:pt idx="8">
                  <c:v>230.1542849383589</c:v>
                </c:pt>
                <c:pt idx="9">
                  <c:v>351.71234991649851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DFE-411A-B3FA-B0E7643D2D99}"/>
            </c:ext>
          </c:extLst>
        </c:ser>
        <c:ser>
          <c:idx val="2"/>
          <c:order val="2"/>
          <c:tx>
            <c:v>Co</c:v>
          </c:tx>
          <c:spPr>
            <a:ln w="28575">
              <a:solidFill>
                <a:srgbClr val="00B050"/>
              </a:solidFill>
            </a:ln>
          </c:spPr>
          <c:errBars>
            <c:errDir val="y"/>
            <c:errBarType val="both"/>
            <c:errValType val="cust"/>
            <c:noEndCap val="0"/>
            <c:plus>
              <c:numRef>
                <c:f>Data!$AD$74:$AD$83</c:f>
                <c:numCache>
                  <c:formatCode>General</c:formatCode>
                  <c:ptCount val="10"/>
                  <c:pt idx="0">
                    <c:v>32.409975930401302</c:v>
                  </c:pt>
                  <c:pt idx="1">
                    <c:v>36.366853854916805</c:v>
                  </c:pt>
                  <c:pt idx="2">
                    <c:v>49.147734841051069</c:v>
                  </c:pt>
                  <c:pt idx="3">
                    <c:v>26.924799448543524</c:v>
                  </c:pt>
                  <c:pt idx="4">
                    <c:v>72.072621036469059</c:v>
                  </c:pt>
                  <c:pt idx="5">
                    <c:v>5.2275013457082444</c:v>
                  </c:pt>
                  <c:pt idx="6">
                    <c:v>22.131632352864443</c:v>
                  </c:pt>
                  <c:pt idx="7">
                    <c:v>24.467435483406643</c:v>
                  </c:pt>
                  <c:pt idx="8">
                    <c:v>9.1687937360518905</c:v>
                  </c:pt>
                  <c:pt idx="9">
                    <c:v>28.358640053052394</c:v>
                  </c:pt>
                </c:numCache>
              </c:numRef>
            </c:plus>
            <c:minus>
              <c:numRef>
                <c:f>Data!$AD$74:$AD$83</c:f>
                <c:numCache>
                  <c:formatCode>General</c:formatCode>
                  <c:ptCount val="10"/>
                  <c:pt idx="0">
                    <c:v>32.409975930401302</c:v>
                  </c:pt>
                  <c:pt idx="1">
                    <c:v>36.366853854916805</c:v>
                  </c:pt>
                  <c:pt idx="2">
                    <c:v>49.147734841051069</c:v>
                  </c:pt>
                  <c:pt idx="3">
                    <c:v>26.924799448543524</c:v>
                  </c:pt>
                  <c:pt idx="4">
                    <c:v>72.072621036469059</c:v>
                  </c:pt>
                  <c:pt idx="5">
                    <c:v>5.2275013457082444</c:v>
                  </c:pt>
                  <c:pt idx="6">
                    <c:v>22.131632352864443</c:v>
                  </c:pt>
                  <c:pt idx="7">
                    <c:v>24.467435483406643</c:v>
                  </c:pt>
                  <c:pt idx="8">
                    <c:v>9.1687937360518905</c:v>
                  </c:pt>
                  <c:pt idx="9">
                    <c:v>28.358640053052394</c:v>
                  </c:pt>
                </c:numCache>
              </c:numRef>
            </c:minus>
            <c:spPr>
              <a:ln w="25400">
                <a:solidFill>
                  <a:srgbClr val="00B050"/>
                </a:solidFill>
              </a:ln>
            </c:spPr>
          </c:errBars>
          <c:xVal>
            <c:numRef>
              <c:f>Data!$F$74:$F$83</c:f>
              <c:numCache>
                <c:formatCode>0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Data!$J$74:$J$83</c:f>
              <c:numCache>
                <c:formatCode>0.000</c:formatCode>
                <c:ptCount val="10"/>
                <c:pt idx="0">
                  <c:v>129.16274037101221</c:v>
                </c:pt>
                <c:pt idx="1">
                  <c:v>44.584409043408129</c:v>
                </c:pt>
                <c:pt idx="2">
                  <c:v>140.25670683413716</c:v>
                </c:pt>
                <c:pt idx="3">
                  <c:v>122.1395811750205</c:v>
                </c:pt>
                <c:pt idx="4">
                  <c:v>63.08654345062007</c:v>
                </c:pt>
                <c:pt idx="5">
                  <c:v>2.3640756865136723</c:v>
                </c:pt>
                <c:pt idx="6">
                  <c:v>46.799636222777394</c:v>
                </c:pt>
                <c:pt idx="7">
                  <c:v>31.168006128579641</c:v>
                </c:pt>
                <c:pt idx="8">
                  <c:v>27.261003005705746</c:v>
                </c:pt>
                <c:pt idx="9">
                  <c:v>157.71817770625023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DFE-411A-B3FA-B0E7643D2D99}"/>
            </c:ext>
          </c:extLst>
        </c:ser>
        <c:ser>
          <c:idx val="3"/>
          <c:order val="3"/>
          <c:tx>
            <c:v>Sb</c:v>
          </c:tx>
          <c:spPr>
            <a:ln w="28575">
              <a:solidFill>
                <a:srgbClr val="7030A0"/>
              </a:solidFill>
            </a:ln>
          </c:spPr>
          <c:marker>
            <c:spPr>
              <a:ln w="19050">
                <a:solidFill>
                  <a:srgbClr val="7030A0"/>
                </a:solidFill>
              </a:ln>
            </c:spPr>
          </c:marker>
          <c:errBars>
            <c:errDir val="y"/>
            <c:errBarType val="both"/>
            <c:errValType val="cust"/>
            <c:noEndCap val="0"/>
            <c:plus>
              <c:numRef>
                <c:f>Data!$AM$74:$AM$83</c:f>
                <c:numCache>
                  <c:formatCode>General</c:formatCode>
                  <c:ptCount val="10"/>
                  <c:pt idx="0">
                    <c:v>0.78883700634716469</c:v>
                  </c:pt>
                  <c:pt idx="1">
                    <c:v>0.32136080289076735</c:v>
                  </c:pt>
                  <c:pt idx="2">
                    <c:v>1.1512583107194962</c:v>
                  </c:pt>
                  <c:pt idx="3">
                    <c:v>1.0268887295991822</c:v>
                  </c:pt>
                  <c:pt idx="4">
                    <c:v>0.5623321440869038</c:v>
                  </c:pt>
                  <c:pt idx="5">
                    <c:v>0.31785973596924155</c:v>
                  </c:pt>
                  <c:pt idx="6">
                    <c:v>0.36874343002488302</c:v>
                  </c:pt>
                  <c:pt idx="7">
                    <c:v>0.26828999068553877</c:v>
                  </c:pt>
                  <c:pt idx="8">
                    <c:v>0.34252977076070551</c:v>
                  </c:pt>
                  <c:pt idx="9">
                    <c:v>1.0259536001839369</c:v>
                  </c:pt>
                </c:numCache>
              </c:numRef>
            </c:plus>
            <c:minus>
              <c:numRef>
                <c:f>Data!$AM$74:$AM$83</c:f>
                <c:numCache>
                  <c:formatCode>General</c:formatCode>
                  <c:ptCount val="10"/>
                  <c:pt idx="0">
                    <c:v>0.78883700634716469</c:v>
                  </c:pt>
                  <c:pt idx="1">
                    <c:v>0.32136080289076735</c:v>
                  </c:pt>
                  <c:pt idx="2">
                    <c:v>1.1512583107194962</c:v>
                  </c:pt>
                  <c:pt idx="3">
                    <c:v>1.0268887295991822</c:v>
                  </c:pt>
                  <c:pt idx="4">
                    <c:v>0.5623321440869038</c:v>
                  </c:pt>
                  <c:pt idx="5">
                    <c:v>0.31785973596924155</c:v>
                  </c:pt>
                  <c:pt idx="6">
                    <c:v>0.36874343002488302</c:v>
                  </c:pt>
                  <c:pt idx="7">
                    <c:v>0.26828999068553877</c:v>
                  </c:pt>
                  <c:pt idx="8">
                    <c:v>0.34252977076070551</c:v>
                  </c:pt>
                  <c:pt idx="9">
                    <c:v>1.0259536001839369</c:v>
                  </c:pt>
                </c:numCache>
              </c:numRef>
            </c:minus>
            <c:spPr>
              <a:ln w="25400">
                <a:solidFill>
                  <a:srgbClr val="7030A0"/>
                </a:solidFill>
              </a:ln>
            </c:spPr>
          </c:errBars>
          <c:xVal>
            <c:numRef>
              <c:f>Data!$F$74:$F$83</c:f>
              <c:numCache>
                <c:formatCode>0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Data!$S$74:$S$83</c:f>
              <c:numCache>
                <c:formatCode>0.000</c:formatCode>
                <c:ptCount val="10"/>
                <c:pt idx="0">
                  <c:v>2.9531090884534787</c:v>
                </c:pt>
                <c:pt idx="1">
                  <c:v>1.05055204127033</c:v>
                </c:pt>
                <c:pt idx="2">
                  <c:v>3.2749704739212913</c:v>
                </c:pt>
                <c:pt idx="3">
                  <c:v>2.7463957258174823</c:v>
                </c:pt>
                <c:pt idx="4">
                  <c:v>0.91884894123751071</c:v>
                </c:pt>
                <c:pt idx="5">
                  <c:v>0.16995904284850472</c:v>
                </c:pt>
                <c:pt idx="6">
                  <c:v>0.79244594102673283</c:v>
                </c:pt>
                <c:pt idx="7">
                  <c:v>0.68220744777081832</c:v>
                </c:pt>
                <c:pt idx="8">
                  <c:v>1.2570168082565025</c:v>
                </c:pt>
                <c:pt idx="9">
                  <c:v>2.7450154976827896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DFE-411A-B3FA-B0E7643D2D99}"/>
            </c:ext>
          </c:extLst>
        </c:ser>
        <c:ser>
          <c:idx val="4"/>
          <c:order val="4"/>
          <c:tx>
            <c:v>Se</c:v>
          </c:tx>
          <c:spPr>
            <a:ln w="28575">
              <a:solidFill>
                <a:schemeClr val="accent2">
                  <a:lumMod val="40000"/>
                  <a:lumOff val="60000"/>
                </a:schemeClr>
              </a:solidFill>
            </a:ln>
          </c:spPr>
          <c:marker>
            <c:spPr>
              <a:ln w="19050">
                <a:solidFill>
                  <a:schemeClr val="accent2">
                    <a:lumMod val="40000"/>
                    <a:lumOff val="60000"/>
                  </a:schemeClr>
                </a:solidFill>
              </a:ln>
            </c:spPr>
          </c:marker>
          <c:errBars>
            <c:errDir val="y"/>
            <c:errBarType val="both"/>
            <c:errValType val="cust"/>
            <c:noEndCap val="0"/>
            <c:plus>
              <c:numRef>
                <c:f>Data!$AI$74:$AI$83</c:f>
                <c:numCache>
                  <c:formatCode>General</c:formatCode>
                  <c:ptCount val="10"/>
                  <c:pt idx="0">
                    <c:v>0.91625887414342522</c:v>
                  </c:pt>
                  <c:pt idx="1">
                    <c:v>0.24879107334190184</c:v>
                  </c:pt>
                  <c:pt idx="2">
                    <c:v>0.60400900311161043</c:v>
                  </c:pt>
                  <c:pt idx="3">
                    <c:v>1.081402730452468</c:v>
                  </c:pt>
                  <c:pt idx="4">
                    <c:v>1.0834298228947259</c:v>
                  </c:pt>
                  <c:pt idx="5">
                    <c:v>1.2618623122033021</c:v>
                  </c:pt>
                  <c:pt idx="6">
                    <c:v>1.2165745538783574</c:v>
                  </c:pt>
                  <c:pt idx="7">
                    <c:v>0.23982878481367456</c:v>
                  </c:pt>
                  <c:pt idx="8">
                    <c:v>0.96752406609908614</c:v>
                  </c:pt>
                  <c:pt idx="9">
                    <c:v>1.239295896827912</c:v>
                  </c:pt>
                </c:numCache>
              </c:numRef>
            </c:plus>
            <c:minus>
              <c:numRef>
                <c:f>Data!$AI$74:$AI$83</c:f>
                <c:numCache>
                  <c:formatCode>General</c:formatCode>
                  <c:ptCount val="10"/>
                  <c:pt idx="0">
                    <c:v>0.91625887414342522</c:v>
                  </c:pt>
                  <c:pt idx="1">
                    <c:v>0.24879107334190184</c:v>
                  </c:pt>
                  <c:pt idx="2">
                    <c:v>0.60400900311161043</c:v>
                  </c:pt>
                  <c:pt idx="3">
                    <c:v>1.081402730452468</c:v>
                  </c:pt>
                  <c:pt idx="4">
                    <c:v>1.0834298228947259</c:v>
                  </c:pt>
                  <c:pt idx="5">
                    <c:v>1.2618623122033021</c:v>
                  </c:pt>
                  <c:pt idx="6">
                    <c:v>1.2165745538783574</c:v>
                  </c:pt>
                  <c:pt idx="7">
                    <c:v>0.23982878481367456</c:v>
                  </c:pt>
                  <c:pt idx="8">
                    <c:v>0.96752406609908614</c:v>
                  </c:pt>
                  <c:pt idx="9">
                    <c:v>1.239295896827912</c:v>
                  </c:pt>
                </c:numCache>
              </c:numRef>
            </c:minus>
            <c:spPr>
              <a:ln w="25400">
                <a:solidFill>
                  <a:schemeClr val="accent2">
                    <a:lumMod val="40000"/>
                    <a:lumOff val="60000"/>
                  </a:schemeClr>
                </a:solidFill>
              </a:ln>
            </c:spPr>
          </c:errBars>
          <c:xVal>
            <c:numRef>
              <c:f>Data!$F$74:$F$83</c:f>
              <c:numCache>
                <c:formatCode>0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Data!$O$74:$O$83</c:f>
              <c:numCache>
                <c:formatCode>0.000</c:formatCode>
                <c:ptCount val="10"/>
                <c:pt idx="0">
                  <c:v>2.7809031881328501</c:v>
                </c:pt>
                <c:pt idx="1">
                  <c:v>0.90049999999999997</c:v>
                </c:pt>
                <c:pt idx="2">
                  <c:v>2.8162932477043312</c:v>
                </c:pt>
                <c:pt idx="3">
                  <c:v>2.2380486848517194</c:v>
                </c:pt>
                <c:pt idx="4">
                  <c:v>2.6809340267172743</c:v>
                </c:pt>
                <c:pt idx="5">
                  <c:v>2.0907507802387899</c:v>
                </c:pt>
                <c:pt idx="6">
                  <c:v>2.0047468645068154</c:v>
                </c:pt>
                <c:pt idx="7">
                  <c:v>0.88849999999999996</c:v>
                </c:pt>
                <c:pt idx="8">
                  <c:v>2.0303720100843048</c:v>
                </c:pt>
                <c:pt idx="9">
                  <c:v>1.6754520991910695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DFE-411A-B3FA-B0E7643D2D99}"/>
            </c:ext>
          </c:extLst>
        </c:ser>
        <c:ser>
          <c:idx val="5"/>
          <c:order val="5"/>
          <c:tx>
            <c:v>Ag</c:v>
          </c:tx>
          <c:spPr>
            <a:ln w="28575">
              <a:solidFill>
                <a:schemeClr val="accent6"/>
              </a:solidFill>
            </a:ln>
          </c:spPr>
          <c:errBars>
            <c:errDir val="y"/>
            <c:errBarType val="both"/>
            <c:errValType val="cust"/>
            <c:noEndCap val="0"/>
            <c:plus>
              <c:numRef>
                <c:f>Data!$AK$74:$AK$83</c:f>
                <c:numCache>
                  <c:formatCode>General</c:formatCode>
                  <c:ptCount val="10"/>
                  <c:pt idx="0">
                    <c:v>9.0631642685408784E-2</c:v>
                  </c:pt>
                  <c:pt idx="1">
                    <c:v>8.8732365543620101E-2</c:v>
                  </c:pt>
                  <c:pt idx="2">
                    <c:v>8.2754076677257135E-2</c:v>
                  </c:pt>
                  <c:pt idx="3">
                    <c:v>0.14852788807989786</c:v>
                  </c:pt>
                  <c:pt idx="4">
                    <c:v>0.21170401312538514</c:v>
                  </c:pt>
                  <c:pt idx="5">
                    <c:v>2.6661586487079253E-2</c:v>
                  </c:pt>
                  <c:pt idx="6">
                    <c:v>0.10514753760536387</c:v>
                  </c:pt>
                  <c:pt idx="7">
                    <c:v>0.1612789482022855</c:v>
                  </c:pt>
                  <c:pt idx="8">
                    <c:v>2.53622801603113E-2</c:v>
                  </c:pt>
                  <c:pt idx="9">
                    <c:v>0.1097598835629521</c:v>
                  </c:pt>
                </c:numCache>
              </c:numRef>
            </c:plus>
            <c:minus>
              <c:numRef>
                <c:f>Data!$AK$74:$AK$83</c:f>
                <c:numCache>
                  <c:formatCode>General</c:formatCode>
                  <c:ptCount val="10"/>
                  <c:pt idx="0">
                    <c:v>9.0631642685408784E-2</c:v>
                  </c:pt>
                  <c:pt idx="1">
                    <c:v>8.8732365543620101E-2</c:v>
                  </c:pt>
                  <c:pt idx="2">
                    <c:v>8.2754076677257135E-2</c:v>
                  </c:pt>
                  <c:pt idx="3">
                    <c:v>0.14852788807989786</c:v>
                  </c:pt>
                  <c:pt idx="4">
                    <c:v>0.21170401312538514</c:v>
                  </c:pt>
                  <c:pt idx="5">
                    <c:v>2.6661586487079253E-2</c:v>
                  </c:pt>
                  <c:pt idx="6">
                    <c:v>0.10514753760536387</c:v>
                  </c:pt>
                  <c:pt idx="7">
                    <c:v>0.1612789482022855</c:v>
                  </c:pt>
                  <c:pt idx="8">
                    <c:v>2.53622801603113E-2</c:v>
                  </c:pt>
                  <c:pt idx="9">
                    <c:v>0.1097598835629521</c:v>
                  </c:pt>
                </c:numCache>
              </c:numRef>
            </c:minus>
            <c:spPr>
              <a:ln w="25400">
                <a:solidFill>
                  <a:srgbClr val="FFC000"/>
                </a:solidFill>
              </a:ln>
            </c:spPr>
          </c:errBars>
          <c:xVal>
            <c:numRef>
              <c:f>Data!$F$74:$F$83</c:f>
              <c:numCache>
                <c:formatCode>0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Data!$Q$74:$Q$83</c:f>
              <c:numCache>
                <c:formatCode>0.000</c:formatCode>
                <c:ptCount val="10"/>
                <c:pt idx="0">
                  <c:v>0.23341139615815837</c:v>
                </c:pt>
                <c:pt idx="1">
                  <c:v>0.16519309913653626</c:v>
                </c:pt>
                <c:pt idx="2">
                  <c:v>0.40953837833160778</c:v>
                </c:pt>
                <c:pt idx="3">
                  <c:v>0.30211290377834055</c:v>
                </c:pt>
                <c:pt idx="4">
                  <c:v>0.26069883104573499</c:v>
                </c:pt>
                <c:pt idx="5">
                  <c:v>5.6000000000000001E-2</c:v>
                </c:pt>
                <c:pt idx="6">
                  <c:v>0.16046286007257171</c:v>
                </c:pt>
                <c:pt idx="7">
                  <c:v>0.18720291395581451</c:v>
                </c:pt>
                <c:pt idx="8">
                  <c:v>5.1499999999999997E-2</c:v>
                </c:pt>
                <c:pt idx="9">
                  <c:v>0.39498669884462112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DFE-411A-B3FA-B0E7643D2D99}"/>
            </c:ext>
          </c:extLst>
        </c:ser>
        <c:ser>
          <c:idx val="6"/>
          <c:order val="6"/>
          <c:tx>
            <c:v>Cu</c:v>
          </c:tx>
          <c:spPr>
            <a:ln w="28575">
              <a:solidFill>
                <a:schemeClr val="accent1"/>
              </a:solidFill>
            </a:ln>
          </c:spPr>
          <c:marker>
            <c:spPr>
              <a:ln w="19050">
                <a:solidFill>
                  <a:schemeClr val="accent1"/>
                </a:solidFill>
              </a:ln>
            </c:spPr>
          </c:marker>
          <c:errBars>
            <c:errDir val="y"/>
            <c:errBarType val="both"/>
            <c:errValType val="cust"/>
            <c:noEndCap val="0"/>
            <c:plus>
              <c:numRef>
                <c:f>Data!$AF$74:$AF$83</c:f>
                <c:numCache>
                  <c:formatCode>General</c:formatCode>
                  <c:ptCount val="10"/>
                  <c:pt idx="0">
                    <c:v>224.12432649420958</c:v>
                  </c:pt>
                  <c:pt idx="1">
                    <c:v>579.57127116482877</c:v>
                  </c:pt>
                  <c:pt idx="2">
                    <c:v>539.30267610410738</c:v>
                  </c:pt>
                  <c:pt idx="3">
                    <c:v>892.62441919219339</c:v>
                  </c:pt>
                  <c:pt idx="4">
                    <c:v>1351.8200947748335</c:v>
                  </c:pt>
                  <c:pt idx="5">
                    <c:v>118.99253083780349</c:v>
                  </c:pt>
                  <c:pt idx="6">
                    <c:v>175.14976241838869</c:v>
                  </c:pt>
                  <c:pt idx="7">
                    <c:v>2073.21878468161</c:v>
                  </c:pt>
                  <c:pt idx="8">
                    <c:v>113.83093721734359</c:v>
                  </c:pt>
                  <c:pt idx="9">
                    <c:v>200.98041058697964</c:v>
                  </c:pt>
                </c:numCache>
              </c:numRef>
            </c:plus>
            <c:minus>
              <c:numRef>
                <c:f>Data!$AF$74:$AF$83</c:f>
                <c:numCache>
                  <c:formatCode>General</c:formatCode>
                  <c:ptCount val="10"/>
                  <c:pt idx="0">
                    <c:v>224.12432649420958</c:v>
                  </c:pt>
                  <c:pt idx="1">
                    <c:v>579.57127116482877</c:v>
                  </c:pt>
                  <c:pt idx="2">
                    <c:v>539.30267610410738</c:v>
                  </c:pt>
                  <c:pt idx="3">
                    <c:v>892.62441919219339</c:v>
                  </c:pt>
                  <c:pt idx="4">
                    <c:v>1351.8200947748335</c:v>
                  </c:pt>
                  <c:pt idx="5">
                    <c:v>118.99253083780349</c:v>
                  </c:pt>
                  <c:pt idx="6">
                    <c:v>175.14976241838869</c:v>
                  </c:pt>
                  <c:pt idx="7">
                    <c:v>2073.21878468161</c:v>
                  </c:pt>
                  <c:pt idx="8">
                    <c:v>113.83093721734359</c:v>
                  </c:pt>
                  <c:pt idx="9">
                    <c:v>200.98041058697964</c:v>
                  </c:pt>
                </c:numCache>
              </c:numRef>
            </c:minus>
            <c:spPr>
              <a:ln w="25400">
                <a:solidFill>
                  <a:schemeClr val="accent1"/>
                </a:solidFill>
              </a:ln>
            </c:spPr>
          </c:errBars>
          <c:xVal>
            <c:numRef>
              <c:f>Data!$F$74:$F$83</c:f>
              <c:numCache>
                <c:formatCode>0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Data!$L$74:$L$83</c:f>
              <c:numCache>
                <c:formatCode>0.000</c:formatCode>
                <c:ptCount val="10"/>
                <c:pt idx="0">
                  <c:v>517.37050550361573</c:v>
                </c:pt>
                <c:pt idx="1">
                  <c:v>576.75568073894465</c:v>
                </c:pt>
                <c:pt idx="2">
                  <c:v>1156.2254068317416</c:v>
                </c:pt>
                <c:pt idx="3">
                  <c:v>990.46505214838635</c:v>
                </c:pt>
                <c:pt idx="4">
                  <c:v>2214.8472470724009</c:v>
                </c:pt>
                <c:pt idx="5">
                  <c:v>404.01267815820893</c:v>
                </c:pt>
                <c:pt idx="6">
                  <c:v>580.41493890742572</c:v>
                </c:pt>
                <c:pt idx="7">
                  <c:v>1744.30337405928</c:v>
                </c:pt>
                <c:pt idx="8">
                  <c:v>156.49116305939879</c:v>
                </c:pt>
                <c:pt idx="9">
                  <c:v>1661.0121372544741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DDFE-411A-B3FA-B0E7643D2D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012224"/>
        <c:axId val="143013760"/>
      </c:scatterChart>
      <c:valAx>
        <c:axId val="143012224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013760"/>
        <c:crosses val="autoZero"/>
        <c:crossBetween val="midCat"/>
      </c:valAx>
      <c:valAx>
        <c:axId val="143013760"/>
        <c:scaling>
          <c:logBase val="10"/>
          <c:orientation val="minMax"/>
        </c:scaling>
        <c:delete val="0"/>
        <c:axPos val="l"/>
        <c:majorGridlines/>
        <c:numFmt formatCode="0.000" sourceLinked="1"/>
        <c:majorTickMark val="out"/>
        <c:minorTickMark val="none"/>
        <c:tickLblPos val="nextTo"/>
        <c:crossAx val="143012224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As</c:v>
          </c:tx>
          <c:spPr>
            <a:ln w="28575">
              <a:solidFill>
                <a:schemeClr val="accent1"/>
              </a:solidFill>
            </a:ln>
          </c:spPr>
          <c:errBars>
            <c:errDir val="y"/>
            <c:errBarType val="both"/>
            <c:errValType val="cust"/>
            <c:noEndCap val="0"/>
            <c:plus>
              <c:numRef>
                <c:f>Data!#REF!</c:f>
                <c:numCache>
                  <c:formatCode>General</c:formatCode>
                  <c:ptCount val="10"/>
                  <c:pt idx="0">
                    <c:v>595.88847915796407</c:v>
                  </c:pt>
                  <c:pt idx="1">
                    <c:v>96.360438185816122</c:v>
                  </c:pt>
                  <c:pt idx="2">
                    <c:v>42.941328044015926</c:v>
                  </c:pt>
                  <c:pt idx="3">
                    <c:v>44.872798031061123</c:v>
                  </c:pt>
                  <c:pt idx="4">
                    <c:v>165.00753552868952</c:v>
                  </c:pt>
                  <c:pt idx="5">
                    <c:v>36.600117754678507</c:v>
                  </c:pt>
                  <c:pt idx="6">
                    <c:v>60.096282966448925</c:v>
                  </c:pt>
                  <c:pt idx="7">
                    <c:v>113.95696380934821</c:v>
                  </c:pt>
                  <c:pt idx="8">
                    <c:v>458.98857069075467</c:v>
                  </c:pt>
                  <c:pt idx="9">
                    <c:v>181.54931682502163</c:v>
                  </c:pt>
                </c:numCache>
              </c:numRef>
            </c:plus>
            <c:minus>
              <c:numRef>
                <c:f>Data!#REF!</c:f>
                <c:numCache>
                  <c:formatCode>General</c:formatCode>
                  <c:ptCount val="10"/>
                  <c:pt idx="0">
                    <c:v>595.88847915796407</c:v>
                  </c:pt>
                  <c:pt idx="1">
                    <c:v>96.360438185816122</c:v>
                  </c:pt>
                  <c:pt idx="2">
                    <c:v>42.941328044015926</c:v>
                  </c:pt>
                  <c:pt idx="3">
                    <c:v>44.872798031061123</c:v>
                  </c:pt>
                  <c:pt idx="4">
                    <c:v>165.00753552868952</c:v>
                  </c:pt>
                  <c:pt idx="5">
                    <c:v>36.600117754678507</c:v>
                  </c:pt>
                  <c:pt idx="6">
                    <c:v>60.096282966448925</c:v>
                  </c:pt>
                  <c:pt idx="7">
                    <c:v>113.95696380934821</c:v>
                  </c:pt>
                  <c:pt idx="8">
                    <c:v>458.98857069075467</c:v>
                  </c:pt>
                  <c:pt idx="9">
                    <c:v>181.54931682502163</c:v>
                  </c:pt>
                </c:numCache>
              </c:numRef>
            </c:minus>
            <c:spPr>
              <a:ln w="25400">
                <a:solidFill>
                  <a:schemeClr val="accent1"/>
                </a:solidFill>
              </a:ln>
            </c:spPr>
          </c:errBars>
          <c:xVal>
            <c:numRef>
              <c:f>Data!#REF!</c:f>
              <c:numCache>
                <c:formatCode>0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Data!#REF!</c:f>
              <c:numCache>
                <c:formatCode>0.000</c:formatCode>
                <c:ptCount val="10"/>
                <c:pt idx="0">
                  <c:v>1047.204661718808</c:v>
                </c:pt>
                <c:pt idx="1">
                  <c:v>945.969041616916</c:v>
                </c:pt>
                <c:pt idx="2">
                  <c:v>324.36568846772764</c:v>
                </c:pt>
                <c:pt idx="3">
                  <c:v>324.3153335923239</c:v>
                </c:pt>
                <c:pt idx="4">
                  <c:v>750.68115477617039</c:v>
                </c:pt>
                <c:pt idx="5">
                  <c:v>266.72604378260905</c:v>
                </c:pt>
                <c:pt idx="6">
                  <c:v>415.95161939379034</c:v>
                </c:pt>
                <c:pt idx="7">
                  <c:v>740.30367193109942</c:v>
                </c:pt>
                <c:pt idx="8">
                  <c:v>2335.2710251619683</c:v>
                </c:pt>
                <c:pt idx="9">
                  <c:v>621.83558686653669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18E-4249-BE16-6E81E774450B}"/>
            </c:ext>
          </c:extLst>
        </c:ser>
        <c:ser>
          <c:idx val="1"/>
          <c:order val="1"/>
          <c:tx>
            <c:v>Ni</c:v>
          </c:tx>
          <c:spPr>
            <a:ln w="28575">
              <a:solidFill>
                <a:srgbClr val="FF0000"/>
              </a:solidFill>
            </a:ln>
          </c:spPr>
          <c:errBars>
            <c:errDir val="y"/>
            <c:errBarType val="both"/>
            <c:errValType val="cust"/>
            <c:noEndCap val="0"/>
            <c:plus>
              <c:numRef>
                <c:f>Data!#REF!</c:f>
                <c:numCache>
                  <c:formatCode>General</c:formatCode>
                  <c:ptCount val="10"/>
                  <c:pt idx="0">
                    <c:v>37.910518275420444</c:v>
                  </c:pt>
                  <c:pt idx="1">
                    <c:v>356.08532283862877</c:v>
                  </c:pt>
                  <c:pt idx="2">
                    <c:v>41.888175652041383</c:v>
                  </c:pt>
                  <c:pt idx="3">
                    <c:v>52.9989348753111</c:v>
                  </c:pt>
                  <c:pt idx="4">
                    <c:v>19.459136309655328</c:v>
                  </c:pt>
                  <c:pt idx="5">
                    <c:v>20.572268467081461</c:v>
                  </c:pt>
                  <c:pt idx="6">
                    <c:v>24.409975568610882</c:v>
                  </c:pt>
                  <c:pt idx="7">
                    <c:v>29.228077842235699</c:v>
                  </c:pt>
                  <c:pt idx="8">
                    <c:v>10.35110772206124</c:v>
                  </c:pt>
                  <c:pt idx="9">
                    <c:v>6.1722696373411248</c:v>
                  </c:pt>
                </c:numCache>
              </c:numRef>
            </c:plus>
            <c:minus>
              <c:numRef>
                <c:f>Data!#REF!</c:f>
                <c:numCache>
                  <c:formatCode>General</c:formatCode>
                  <c:ptCount val="10"/>
                  <c:pt idx="0">
                    <c:v>37.910518275420444</c:v>
                  </c:pt>
                  <c:pt idx="1">
                    <c:v>356.08532283862877</c:v>
                  </c:pt>
                  <c:pt idx="2">
                    <c:v>41.888175652041383</c:v>
                  </c:pt>
                  <c:pt idx="3">
                    <c:v>52.9989348753111</c:v>
                  </c:pt>
                  <c:pt idx="4">
                    <c:v>19.459136309655328</c:v>
                  </c:pt>
                  <c:pt idx="5">
                    <c:v>20.572268467081461</c:v>
                  </c:pt>
                  <c:pt idx="6">
                    <c:v>24.409975568610882</c:v>
                  </c:pt>
                  <c:pt idx="7">
                    <c:v>29.228077842235699</c:v>
                  </c:pt>
                  <c:pt idx="8">
                    <c:v>10.35110772206124</c:v>
                  </c:pt>
                  <c:pt idx="9">
                    <c:v>6.1722696373411248</c:v>
                  </c:pt>
                </c:numCache>
              </c:numRef>
            </c:minus>
            <c:spPr>
              <a:ln w="25400">
                <a:solidFill>
                  <a:srgbClr val="FF0000"/>
                </a:solidFill>
              </a:ln>
            </c:spPr>
          </c:errBars>
          <c:xVal>
            <c:numRef>
              <c:f>Data!#REF!</c:f>
              <c:numCache>
                <c:formatCode>0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Data!#REF!</c:f>
              <c:numCache>
                <c:formatCode>0.000</c:formatCode>
                <c:ptCount val="10"/>
                <c:pt idx="0">
                  <c:v>143.21133320556652</c:v>
                </c:pt>
                <c:pt idx="1">
                  <c:v>354.74371298645315</c:v>
                </c:pt>
                <c:pt idx="2">
                  <c:v>106.48505541902898</c:v>
                </c:pt>
                <c:pt idx="3">
                  <c:v>62.438928389833904</c:v>
                </c:pt>
                <c:pt idx="4">
                  <c:v>76.773406308528422</c:v>
                </c:pt>
                <c:pt idx="5">
                  <c:v>38.431892942414947</c:v>
                </c:pt>
                <c:pt idx="6">
                  <c:v>45.98480230638134</c:v>
                </c:pt>
                <c:pt idx="7">
                  <c:v>56.953228357998341</c:v>
                </c:pt>
                <c:pt idx="8">
                  <c:v>32.349946111896941</c:v>
                </c:pt>
                <c:pt idx="9">
                  <c:v>24.131067042469908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18E-4249-BE16-6E81E774450B}"/>
            </c:ext>
          </c:extLst>
        </c:ser>
        <c:ser>
          <c:idx val="2"/>
          <c:order val="2"/>
          <c:tx>
            <c:v>Co</c:v>
          </c:tx>
          <c:spPr>
            <a:ln w="28575">
              <a:solidFill>
                <a:srgbClr val="00B050"/>
              </a:solidFill>
            </a:ln>
          </c:spPr>
          <c:errBars>
            <c:errDir val="y"/>
            <c:errBarType val="both"/>
            <c:errValType val="cust"/>
            <c:noEndCap val="0"/>
            <c:plus>
              <c:numRef>
                <c:f>Data!#REF!</c:f>
                <c:numCache>
                  <c:formatCode>General</c:formatCode>
                  <c:ptCount val="10"/>
                  <c:pt idx="0">
                    <c:v>100.86623928062463</c:v>
                  </c:pt>
                  <c:pt idx="1">
                    <c:v>266.05819611115015</c:v>
                  </c:pt>
                  <c:pt idx="2">
                    <c:v>88.901670822698549</c:v>
                  </c:pt>
                  <c:pt idx="3">
                    <c:v>28.900729955180733</c:v>
                  </c:pt>
                  <c:pt idx="4">
                    <c:v>4.301538288517806</c:v>
                  </c:pt>
                  <c:pt idx="5">
                    <c:v>4.6366140485402445</c:v>
                  </c:pt>
                  <c:pt idx="6">
                    <c:v>11.655276846347602</c:v>
                  </c:pt>
                  <c:pt idx="7">
                    <c:v>8.7266269993376575</c:v>
                  </c:pt>
                  <c:pt idx="8">
                    <c:v>4.6961690205228814</c:v>
                  </c:pt>
                  <c:pt idx="9">
                    <c:v>1.044615875987331</c:v>
                  </c:pt>
                </c:numCache>
              </c:numRef>
            </c:plus>
            <c:minus>
              <c:numRef>
                <c:f>Data!#REF!</c:f>
                <c:numCache>
                  <c:formatCode>General</c:formatCode>
                  <c:ptCount val="10"/>
                  <c:pt idx="0">
                    <c:v>100.86623928062463</c:v>
                  </c:pt>
                  <c:pt idx="1">
                    <c:v>266.05819611115015</c:v>
                  </c:pt>
                  <c:pt idx="2">
                    <c:v>88.901670822698549</c:v>
                  </c:pt>
                  <c:pt idx="3">
                    <c:v>28.900729955180733</c:v>
                  </c:pt>
                  <c:pt idx="4">
                    <c:v>4.301538288517806</c:v>
                  </c:pt>
                  <c:pt idx="5">
                    <c:v>4.6366140485402445</c:v>
                  </c:pt>
                  <c:pt idx="6">
                    <c:v>11.655276846347602</c:v>
                  </c:pt>
                  <c:pt idx="7">
                    <c:v>8.7266269993376575</c:v>
                  </c:pt>
                  <c:pt idx="8">
                    <c:v>4.6961690205228814</c:v>
                  </c:pt>
                  <c:pt idx="9">
                    <c:v>1.044615875987331</c:v>
                  </c:pt>
                </c:numCache>
              </c:numRef>
            </c:minus>
            <c:spPr>
              <a:ln w="25400">
                <a:solidFill>
                  <a:srgbClr val="00B050"/>
                </a:solidFill>
              </a:ln>
            </c:spPr>
          </c:errBars>
          <c:xVal>
            <c:numRef>
              <c:f>Data!#REF!</c:f>
              <c:numCache>
                <c:formatCode>0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Data!#REF!</c:f>
              <c:numCache>
                <c:formatCode>0.000</c:formatCode>
                <c:ptCount val="10"/>
                <c:pt idx="0">
                  <c:v>137.96085878757185</c:v>
                </c:pt>
                <c:pt idx="1">
                  <c:v>326.80241636711253</c:v>
                </c:pt>
                <c:pt idx="2">
                  <c:v>156.09249666252401</c:v>
                </c:pt>
                <c:pt idx="3">
                  <c:v>20.688493216096532</c:v>
                </c:pt>
                <c:pt idx="4">
                  <c:v>20.085720786300797</c:v>
                </c:pt>
                <c:pt idx="5">
                  <c:v>6.4817208975546805</c:v>
                </c:pt>
                <c:pt idx="6">
                  <c:v>16.300399433167911</c:v>
                </c:pt>
                <c:pt idx="7">
                  <c:v>11.84413837109264</c:v>
                </c:pt>
                <c:pt idx="8">
                  <c:v>12.177266563492537</c:v>
                </c:pt>
                <c:pt idx="9">
                  <c:v>4.1894178982155239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18E-4249-BE16-6E81E774450B}"/>
            </c:ext>
          </c:extLst>
        </c:ser>
        <c:ser>
          <c:idx val="3"/>
          <c:order val="3"/>
          <c:tx>
            <c:v>Sb</c:v>
          </c:tx>
          <c:spPr>
            <a:ln w="28575">
              <a:solidFill>
                <a:srgbClr val="7030A0"/>
              </a:solidFill>
            </a:ln>
          </c:spPr>
          <c:marker>
            <c:spPr>
              <a:ln w="19050">
                <a:solidFill>
                  <a:srgbClr val="7030A0"/>
                </a:solidFill>
              </a:ln>
            </c:spPr>
          </c:marker>
          <c:errBars>
            <c:errDir val="y"/>
            <c:errBarType val="both"/>
            <c:errValType val="cust"/>
            <c:noEndCap val="0"/>
            <c:plus>
              <c:numRef>
                <c:f>Data!#REF!</c:f>
                <c:numCache>
                  <c:formatCode>General</c:formatCode>
                  <c:ptCount val="10"/>
                  <c:pt idx="0">
                    <c:v>12.198603991615569</c:v>
                  </c:pt>
                  <c:pt idx="1">
                    <c:v>6.1786267101458154</c:v>
                  </c:pt>
                  <c:pt idx="2">
                    <c:v>1.0202147526189829</c:v>
                  </c:pt>
                  <c:pt idx="3">
                    <c:v>3.9147218466765379</c:v>
                  </c:pt>
                  <c:pt idx="4">
                    <c:v>3.3969275060278803</c:v>
                  </c:pt>
                  <c:pt idx="5">
                    <c:v>1.8798644861245843</c:v>
                  </c:pt>
                  <c:pt idx="6">
                    <c:v>2.0406726589740676</c:v>
                  </c:pt>
                  <c:pt idx="7">
                    <c:v>5.5945703676591654</c:v>
                  </c:pt>
                  <c:pt idx="8">
                    <c:v>11.644222595350703</c:v>
                  </c:pt>
                  <c:pt idx="9">
                    <c:v>4.6290990197366799</c:v>
                  </c:pt>
                </c:numCache>
              </c:numRef>
            </c:plus>
            <c:minus>
              <c:numRef>
                <c:f>Data!#REF!</c:f>
                <c:numCache>
                  <c:formatCode>General</c:formatCode>
                  <c:ptCount val="10"/>
                  <c:pt idx="0">
                    <c:v>12.198603991615569</c:v>
                  </c:pt>
                  <c:pt idx="1">
                    <c:v>6.1786267101458154</c:v>
                  </c:pt>
                  <c:pt idx="2">
                    <c:v>1.0202147526189829</c:v>
                  </c:pt>
                  <c:pt idx="3">
                    <c:v>3.9147218466765379</c:v>
                  </c:pt>
                  <c:pt idx="4">
                    <c:v>3.3969275060278803</c:v>
                  </c:pt>
                  <c:pt idx="5">
                    <c:v>1.8798644861245843</c:v>
                  </c:pt>
                  <c:pt idx="6">
                    <c:v>2.0406726589740676</c:v>
                  </c:pt>
                  <c:pt idx="7">
                    <c:v>5.5945703676591654</c:v>
                  </c:pt>
                  <c:pt idx="8">
                    <c:v>11.644222595350703</c:v>
                  </c:pt>
                  <c:pt idx="9">
                    <c:v>4.6290990197366799</c:v>
                  </c:pt>
                </c:numCache>
              </c:numRef>
            </c:minus>
            <c:spPr>
              <a:ln w="25400">
                <a:solidFill>
                  <a:srgbClr val="7030A0"/>
                </a:solidFill>
              </a:ln>
            </c:spPr>
          </c:errBars>
          <c:xVal>
            <c:numRef>
              <c:f>Data!#REF!</c:f>
              <c:numCache>
                <c:formatCode>0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Data!#REF!</c:f>
              <c:numCache>
                <c:formatCode>0.000</c:formatCode>
                <c:ptCount val="10"/>
                <c:pt idx="0">
                  <c:v>29.725073511448898</c:v>
                </c:pt>
                <c:pt idx="1">
                  <c:v>21.356704088818674</c:v>
                </c:pt>
                <c:pt idx="2">
                  <c:v>17.453694323503981</c:v>
                </c:pt>
                <c:pt idx="3">
                  <c:v>13.455089609368258</c:v>
                </c:pt>
                <c:pt idx="4">
                  <c:v>24.346429940675606</c:v>
                </c:pt>
                <c:pt idx="5">
                  <c:v>8.3164561620574133</c:v>
                </c:pt>
                <c:pt idx="6">
                  <c:v>15.840683487988578</c:v>
                </c:pt>
                <c:pt idx="7">
                  <c:v>22.73926695365455</c:v>
                </c:pt>
                <c:pt idx="8">
                  <c:v>37.419481959221685</c:v>
                </c:pt>
                <c:pt idx="9">
                  <c:v>18.148721269097734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18E-4249-BE16-6E81E774450B}"/>
            </c:ext>
          </c:extLst>
        </c:ser>
        <c:ser>
          <c:idx val="4"/>
          <c:order val="4"/>
          <c:tx>
            <c:v>Se</c:v>
          </c:tx>
          <c:spPr>
            <a:ln w="28575">
              <a:solidFill>
                <a:schemeClr val="accent2">
                  <a:lumMod val="40000"/>
                  <a:lumOff val="60000"/>
                </a:schemeClr>
              </a:solidFill>
            </a:ln>
          </c:spPr>
          <c:marker>
            <c:spPr>
              <a:ln w="19050">
                <a:solidFill>
                  <a:schemeClr val="accent2">
                    <a:lumMod val="40000"/>
                    <a:lumOff val="60000"/>
                  </a:schemeClr>
                </a:solidFill>
              </a:ln>
            </c:spPr>
          </c:marker>
          <c:errBars>
            <c:errDir val="y"/>
            <c:errBarType val="both"/>
            <c:errValType val="cust"/>
            <c:noEndCap val="0"/>
            <c:plus>
              <c:numRef>
                <c:f>Data!#REF!</c:f>
                <c:numCache>
                  <c:formatCode>General</c:formatCode>
                  <c:ptCount val="10"/>
                  <c:pt idx="0">
                    <c:v>53.702877893921347</c:v>
                  </c:pt>
                  <c:pt idx="1">
                    <c:v>12.440503141173027</c:v>
                  </c:pt>
                  <c:pt idx="2">
                    <c:v>6.6693146073913248</c:v>
                  </c:pt>
                  <c:pt idx="3">
                    <c:v>10.962716043377023</c:v>
                  </c:pt>
                  <c:pt idx="4">
                    <c:v>21.059588899334031</c:v>
                  </c:pt>
                  <c:pt idx="5">
                    <c:v>5.7818325906963954</c:v>
                  </c:pt>
                  <c:pt idx="6">
                    <c:v>4.6788930098687187</c:v>
                  </c:pt>
                  <c:pt idx="7">
                    <c:v>17.571754699789331</c:v>
                  </c:pt>
                  <c:pt idx="8">
                    <c:v>34.967257008345939</c:v>
                  </c:pt>
                  <c:pt idx="9">
                    <c:v>16.170550809667908</c:v>
                  </c:pt>
                </c:numCache>
              </c:numRef>
            </c:plus>
            <c:minus>
              <c:numRef>
                <c:f>Data!#REF!</c:f>
                <c:numCache>
                  <c:formatCode>General</c:formatCode>
                  <c:ptCount val="10"/>
                  <c:pt idx="0">
                    <c:v>53.702877893921347</c:v>
                  </c:pt>
                  <c:pt idx="1">
                    <c:v>12.440503141173027</c:v>
                  </c:pt>
                  <c:pt idx="2">
                    <c:v>6.6693146073913248</c:v>
                  </c:pt>
                  <c:pt idx="3">
                    <c:v>10.962716043377023</c:v>
                  </c:pt>
                  <c:pt idx="4">
                    <c:v>21.059588899334031</c:v>
                  </c:pt>
                  <c:pt idx="5">
                    <c:v>5.7818325906963954</c:v>
                  </c:pt>
                  <c:pt idx="6">
                    <c:v>4.6788930098687187</c:v>
                  </c:pt>
                  <c:pt idx="7">
                    <c:v>17.571754699789331</c:v>
                  </c:pt>
                  <c:pt idx="8">
                    <c:v>34.967257008345939</c:v>
                  </c:pt>
                  <c:pt idx="9">
                    <c:v>16.170550809667908</c:v>
                  </c:pt>
                </c:numCache>
              </c:numRef>
            </c:minus>
            <c:spPr>
              <a:ln w="25400">
                <a:solidFill>
                  <a:schemeClr val="accent2">
                    <a:lumMod val="40000"/>
                    <a:lumOff val="60000"/>
                  </a:schemeClr>
                </a:solidFill>
              </a:ln>
            </c:spPr>
          </c:errBars>
          <c:xVal>
            <c:numRef>
              <c:f>Data!#REF!</c:f>
              <c:numCache>
                <c:formatCode>0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Data!#REF!</c:f>
              <c:numCache>
                <c:formatCode>0.000</c:formatCode>
                <c:ptCount val="10"/>
                <c:pt idx="0">
                  <c:v>96.663500129072872</c:v>
                </c:pt>
                <c:pt idx="1">
                  <c:v>90.317169189553425</c:v>
                </c:pt>
                <c:pt idx="2">
                  <c:v>32.549080830542678</c:v>
                </c:pt>
                <c:pt idx="3">
                  <c:v>35.97173560721285</c:v>
                </c:pt>
                <c:pt idx="4">
                  <c:v>91.588504048385403</c:v>
                </c:pt>
                <c:pt idx="5">
                  <c:v>26.711208747661061</c:v>
                </c:pt>
                <c:pt idx="6">
                  <c:v>35.763750073696173</c:v>
                </c:pt>
                <c:pt idx="7">
                  <c:v>97.608187818356612</c:v>
                </c:pt>
                <c:pt idx="8">
                  <c:v>235.04261826755521</c:v>
                </c:pt>
                <c:pt idx="9">
                  <c:v>74.244086451566332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18E-4249-BE16-6E81E774450B}"/>
            </c:ext>
          </c:extLst>
        </c:ser>
        <c:ser>
          <c:idx val="5"/>
          <c:order val="5"/>
          <c:tx>
            <c:v>Ag</c:v>
          </c:tx>
          <c:spPr>
            <a:ln w="28575">
              <a:solidFill>
                <a:schemeClr val="accent6"/>
              </a:solidFill>
            </a:ln>
          </c:spPr>
          <c:errBars>
            <c:errDir val="y"/>
            <c:errBarType val="both"/>
            <c:errValType val="cust"/>
            <c:noEndCap val="0"/>
            <c:plus>
              <c:numRef>
                <c:f>Data!#REF!</c:f>
                <c:numCache>
                  <c:formatCode>General</c:formatCode>
                  <c:ptCount val="10"/>
                  <c:pt idx="0">
                    <c:v>0.20838842833238971</c:v>
                  </c:pt>
                  <c:pt idx="1">
                    <c:v>0.306168686840042</c:v>
                  </c:pt>
                  <c:pt idx="2">
                    <c:v>0.83691173701881671</c:v>
                  </c:pt>
                  <c:pt idx="3">
                    <c:v>0.76966451451989837</c:v>
                  </c:pt>
                  <c:pt idx="4">
                    <c:v>0.18539719568610483</c:v>
                  </c:pt>
                  <c:pt idx="5">
                    <c:v>0.26104618909237687</c:v>
                  </c:pt>
                  <c:pt idx="6">
                    <c:v>0.20525477311740054</c:v>
                  </c:pt>
                  <c:pt idx="7">
                    <c:v>0.22345289620631476</c:v>
                  </c:pt>
                  <c:pt idx="8">
                    <c:v>0.296840016838952</c:v>
                  </c:pt>
                  <c:pt idx="9">
                    <c:v>0.11729459052485249</c:v>
                  </c:pt>
                </c:numCache>
              </c:numRef>
            </c:plus>
            <c:minus>
              <c:numRef>
                <c:f>Data!#REF!</c:f>
                <c:numCache>
                  <c:formatCode>General</c:formatCode>
                  <c:ptCount val="10"/>
                  <c:pt idx="0">
                    <c:v>0.20838842833238971</c:v>
                  </c:pt>
                  <c:pt idx="1">
                    <c:v>0.306168686840042</c:v>
                  </c:pt>
                  <c:pt idx="2">
                    <c:v>0.83691173701881671</c:v>
                  </c:pt>
                  <c:pt idx="3">
                    <c:v>0.76966451451989837</c:v>
                  </c:pt>
                  <c:pt idx="4">
                    <c:v>0.18539719568610483</c:v>
                  </c:pt>
                  <c:pt idx="5">
                    <c:v>0.26104618909237687</c:v>
                  </c:pt>
                  <c:pt idx="6">
                    <c:v>0.20525477311740054</c:v>
                  </c:pt>
                  <c:pt idx="7">
                    <c:v>0.22345289620631476</c:v>
                  </c:pt>
                  <c:pt idx="8">
                    <c:v>0.296840016838952</c:v>
                  </c:pt>
                  <c:pt idx="9">
                    <c:v>0.11729459052485249</c:v>
                  </c:pt>
                </c:numCache>
              </c:numRef>
            </c:minus>
            <c:spPr>
              <a:ln w="25400">
                <a:solidFill>
                  <a:srgbClr val="FFC000"/>
                </a:solidFill>
              </a:ln>
            </c:spPr>
          </c:errBars>
          <c:xVal>
            <c:numRef>
              <c:f>Data!#REF!</c:f>
              <c:numCache>
                <c:formatCode>0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Data!#REF!</c:f>
              <c:numCache>
                <c:formatCode>0.000</c:formatCode>
                <c:ptCount val="10"/>
                <c:pt idx="0">
                  <c:v>0.56127295743827066</c:v>
                </c:pt>
                <c:pt idx="1">
                  <c:v>0.50390704783199602</c:v>
                </c:pt>
                <c:pt idx="2">
                  <c:v>0.96988062185633961</c:v>
                </c:pt>
                <c:pt idx="3">
                  <c:v>0.64504815727414444</c:v>
                </c:pt>
                <c:pt idx="4">
                  <c:v>0.4521856713259842</c:v>
                </c:pt>
                <c:pt idx="5">
                  <c:v>0.31438875485961049</c:v>
                </c:pt>
                <c:pt idx="6">
                  <c:v>0.39381426061713576</c:v>
                </c:pt>
                <c:pt idx="7">
                  <c:v>0.45773096197851793</c:v>
                </c:pt>
                <c:pt idx="8">
                  <c:v>0.43567121168699074</c:v>
                </c:pt>
                <c:pt idx="9">
                  <c:v>0.19693607153002679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18E-4249-BE16-6E81E774450B}"/>
            </c:ext>
          </c:extLst>
        </c:ser>
        <c:ser>
          <c:idx val="6"/>
          <c:order val="6"/>
          <c:tx>
            <c:v>Cu</c:v>
          </c:tx>
          <c:spPr>
            <a:ln w="28575">
              <a:solidFill>
                <a:schemeClr val="accent1"/>
              </a:solidFill>
            </a:ln>
          </c:spPr>
          <c:marker>
            <c:spPr>
              <a:ln w="19050">
                <a:solidFill>
                  <a:schemeClr val="accent1"/>
                </a:solidFill>
              </a:ln>
            </c:spPr>
          </c:marker>
          <c:errBars>
            <c:errDir val="y"/>
            <c:errBarType val="both"/>
            <c:errValType val="cust"/>
            <c:noEndCap val="0"/>
            <c:plus>
              <c:numRef>
                <c:f>Data!#REF!</c:f>
                <c:numCache>
                  <c:formatCode>General</c:formatCode>
                  <c:ptCount val="10"/>
                  <c:pt idx="0">
                    <c:v>361.14282902030362</c:v>
                  </c:pt>
                  <c:pt idx="1">
                    <c:v>126.02491676588025</c:v>
                  </c:pt>
                  <c:pt idx="2">
                    <c:v>4905.7279210228335</c:v>
                  </c:pt>
                  <c:pt idx="3">
                    <c:v>1789.8602942663333</c:v>
                  </c:pt>
                  <c:pt idx="4">
                    <c:v>741.06340139300335</c:v>
                  </c:pt>
                  <c:pt idx="5">
                    <c:v>914.54754074182836</c:v>
                  </c:pt>
                  <c:pt idx="6">
                    <c:v>246.99876909587431</c:v>
                  </c:pt>
                  <c:pt idx="7">
                    <c:v>163.40524072828606</c:v>
                  </c:pt>
                  <c:pt idx="8">
                    <c:v>288.36860974831671</c:v>
                  </c:pt>
                  <c:pt idx="9">
                    <c:v>43.083696651242001</c:v>
                  </c:pt>
                </c:numCache>
              </c:numRef>
            </c:plus>
            <c:minus>
              <c:numRef>
                <c:f>Data!#REF!</c:f>
                <c:numCache>
                  <c:formatCode>General</c:formatCode>
                  <c:ptCount val="10"/>
                  <c:pt idx="0">
                    <c:v>361.14282902030362</c:v>
                  </c:pt>
                  <c:pt idx="1">
                    <c:v>126.02491676588025</c:v>
                  </c:pt>
                  <c:pt idx="2">
                    <c:v>4905.7279210228335</c:v>
                  </c:pt>
                  <c:pt idx="3">
                    <c:v>1789.8602942663333</c:v>
                  </c:pt>
                  <c:pt idx="4">
                    <c:v>741.06340139300335</c:v>
                  </c:pt>
                  <c:pt idx="5">
                    <c:v>914.54754074182836</c:v>
                  </c:pt>
                  <c:pt idx="6">
                    <c:v>246.99876909587431</c:v>
                  </c:pt>
                  <c:pt idx="7">
                    <c:v>163.40524072828606</c:v>
                  </c:pt>
                  <c:pt idx="8">
                    <c:v>288.36860974831671</c:v>
                  </c:pt>
                  <c:pt idx="9">
                    <c:v>43.083696651242001</c:v>
                  </c:pt>
                </c:numCache>
              </c:numRef>
            </c:minus>
            <c:spPr>
              <a:ln w="25400">
                <a:solidFill>
                  <a:schemeClr val="accent1"/>
                </a:solidFill>
              </a:ln>
            </c:spPr>
          </c:errBars>
          <c:xVal>
            <c:numRef>
              <c:f>Data!#REF!</c:f>
              <c:numCache>
                <c:formatCode>0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Data!#REF!</c:f>
              <c:numCache>
                <c:formatCode>0.000</c:formatCode>
                <c:ptCount val="10"/>
                <c:pt idx="0">
                  <c:v>371.09320720526443</c:v>
                </c:pt>
                <c:pt idx="1">
                  <c:v>72.946965779425</c:v>
                </c:pt>
                <c:pt idx="2">
                  <c:v>2983.5959004122778</c:v>
                </c:pt>
                <c:pt idx="3">
                  <c:v>1013.5063647948664</c:v>
                </c:pt>
                <c:pt idx="4">
                  <c:v>549.3718080378876</c:v>
                </c:pt>
                <c:pt idx="5">
                  <c:v>460.13580250043378</c:v>
                </c:pt>
                <c:pt idx="6">
                  <c:v>472.21029825055984</c:v>
                </c:pt>
                <c:pt idx="7">
                  <c:v>183.01793880850164</c:v>
                </c:pt>
                <c:pt idx="8">
                  <c:v>424.29399771137105</c:v>
                </c:pt>
                <c:pt idx="9">
                  <c:v>70.723949755845865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118E-4249-BE16-6E81E77445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074304"/>
        <c:axId val="85075840"/>
      </c:scatterChart>
      <c:valAx>
        <c:axId val="85074304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075840"/>
        <c:crosses val="autoZero"/>
        <c:crossBetween val="midCat"/>
      </c:valAx>
      <c:valAx>
        <c:axId val="85075840"/>
        <c:scaling>
          <c:logBase val="10"/>
          <c:orientation val="minMax"/>
        </c:scaling>
        <c:delete val="0"/>
        <c:axPos val="l"/>
        <c:majorGridlines/>
        <c:numFmt formatCode="0.000" sourceLinked="1"/>
        <c:majorTickMark val="out"/>
        <c:minorTickMark val="none"/>
        <c:tickLblPos val="nextTo"/>
        <c:crossAx val="85074304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As</c:v>
          </c:tx>
          <c:spPr>
            <a:ln w="28575">
              <a:solidFill>
                <a:schemeClr val="accent1"/>
              </a:solidFill>
            </a:ln>
          </c:spPr>
          <c:errBars>
            <c:errDir val="y"/>
            <c:errBarType val="both"/>
            <c:errValType val="cust"/>
            <c:noEndCap val="0"/>
            <c:plus>
              <c:numRef>
                <c:f>Data!#REF!</c:f>
                <c:numCache>
                  <c:formatCode>General</c:formatCode>
                  <c:ptCount val="9"/>
                  <c:pt idx="0">
                    <c:v>50.319725480155455</c:v>
                  </c:pt>
                  <c:pt idx="1">
                    <c:v>34.451609961171528</c:v>
                  </c:pt>
                  <c:pt idx="2">
                    <c:v>6.4130955854596845</c:v>
                  </c:pt>
                  <c:pt idx="3">
                    <c:v>116.74994218576403</c:v>
                  </c:pt>
                  <c:pt idx="4">
                    <c:v>66.624647127233885</c:v>
                  </c:pt>
                  <c:pt idx="5">
                    <c:v>210.48072737414992</c:v>
                  </c:pt>
                  <c:pt idx="6">
                    <c:v>130.08698044576695</c:v>
                  </c:pt>
                  <c:pt idx="7">
                    <c:v>100.23540451710753</c:v>
                  </c:pt>
                  <c:pt idx="8">
                    <c:v>37.962733383651006</c:v>
                  </c:pt>
                </c:numCache>
              </c:numRef>
            </c:plus>
            <c:minus>
              <c:numRef>
                <c:f>Data!#REF!</c:f>
                <c:numCache>
                  <c:formatCode>General</c:formatCode>
                  <c:ptCount val="9"/>
                  <c:pt idx="0">
                    <c:v>50.319725480155455</c:v>
                  </c:pt>
                  <c:pt idx="1">
                    <c:v>34.451609961171528</c:v>
                  </c:pt>
                  <c:pt idx="2">
                    <c:v>6.4130955854596845</c:v>
                  </c:pt>
                  <c:pt idx="3">
                    <c:v>116.74994218576403</c:v>
                  </c:pt>
                  <c:pt idx="4">
                    <c:v>66.624647127233885</c:v>
                  </c:pt>
                  <c:pt idx="5">
                    <c:v>210.48072737414992</c:v>
                  </c:pt>
                  <c:pt idx="6">
                    <c:v>130.08698044576695</c:v>
                  </c:pt>
                  <c:pt idx="7">
                    <c:v>100.23540451710753</c:v>
                  </c:pt>
                  <c:pt idx="8">
                    <c:v>37.962733383651006</c:v>
                  </c:pt>
                </c:numCache>
              </c:numRef>
            </c:minus>
            <c:spPr>
              <a:ln w="25400">
                <a:solidFill>
                  <a:schemeClr val="accent1"/>
                </a:solidFill>
              </a:ln>
            </c:spPr>
          </c:errBars>
          <c:xVal>
            <c:numRef>
              <c:f>Data!#REF!</c:f>
              <c:numCache>
                <c:formatCode>0</c:formatCod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numCache>
            </c:numRef>
          </c:xVal>
          <c:yVal>
            <c:numRef>
              <c:f>Data!#REF!</c:f>
              <c:numCache>
                <c:formatCode>0.000</c:formatCode>
                <c:ptCount val="9"/>
                <c:pt idx="0">
                  <c:v>249.13536205002069</c:v>
                </c:pt>
                <c:pt idx="1">
                  <c:v>115.67904878522654</c:v>
                </c:pt>
                <c:pt idx="2">
                  <c:v>28.340676308402088</c:v>
                </c:pt>
                <c:pt idx="3">
                  <c:v>137.61094859947519</c:v>
                </c:pt>
                <c:pt idx="4">
                  <c:v>261.47831730531288</c:v>
                </c:pt>
                <c:pt idx="5">
                  <c:v>361.94762749738425</c:v>
                </c:pt>
                <c:pt idx="6">
                  <c:v>590.4248985035091</c:v>
                </c:pt>
                <c:pt idx="7">
                  <c:v>177.79708814542414</c:v>
                </c:pt>
                <c:pt idx="8">
                  <c:v>26.861954621238681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0E3-4866-8295-7DC267D1E303}"/>
            </c:ext>
          </c:extLst>
        </c:ser>
        <c:ser>
          <c:idx val="1"/>
          <c:order val="1"/>
          <c:tx>
            <c:v>Ni</c:v>
          </c:tx>
          <c:spPr>
            <a:ln w="28575">
              <a:solidFill>
                <a:srgbClr val="FF0000"/>
              </a:solidFill>
            </a:ln>
          </c:spPr>
          <c:errBars>
            <c:errDir val="y"/>
            <c:errBarType val="both"/>
            <c:errValType val="cust"/>
            <c:noEndCap val="0"/>
            <c:plus>
              <c:numRef>
                <c:f>Data!#REF!</c:f>
                <c:numCache>
                  <c:formatCode>General</c:formatCode>
                  <c:ptCount val="9"/>
                  <c:pt idx="0">
                    <c:v>67.134965546546425</c:v>
                  </c:pt>
                  <c:pt idx="1">
                    <c:v>5.6939383323043407</c:v>
                  </c:pt>
                  <c:pt idx="2">
                    <c:v>7.3412312574005902</c:v>
                  </c:pt>
                  <c:pt idx="3">
                    <c:v>5.1482493547010888</c:v>
                  </c:pt>
                  <c:pt idx="4">
                    <c:v>24.792066174353732</c:v>
                  </c:pt>
                  <c:pt idx="5">
                    <c:v>8.0962824436561007</c:v>
                  </c:pt>
                  <c:pt idx="6">
                    <c:v>18.911596163695911</c:v>
                  </c:pt>
                  <c:pt idx="7">
                    <c:v>16.285949249138429</c:v>
                  </c:pt>
                  <c:pt idx="8">
                    <c:v>4.4180483984514689</c:v>
                  </c:pt>
                </c:numCache>
              </c:numRef>
            </c:plus>
            <c:minus>
              <c:numRef>
                <c:f>Data!#REF!</c:f>
                <c:numCache>
                  <c:formatCode>General</c:formatCode>
                  <c:ptCount val="9"/>
                  <c:pt idx="0">
                    <c:v>67.134965546546425</c:v>
                  </c:pt>
                  <c:pt idx="1">
                    <c:v>5.6939383323043407</c:v>
                  </c:pt>
                  <c:pt idx="2">
                    <c:v>7.3412312574005902</c:v>
                  </c:pt>
                  <c:pt idx="3">
                    <c:v>5.1482493547010888</c:v>
                  </c:pt>
                  <c:pt idx="4">
                    <c:v>24.792066174353732</c:v>
                  </c:pt>
                  <c:pt idx="5">
                    <c:v>8.0962824436561007</c:v>
                  </c:pt>
                  <c:pt idx="6">
                    <c:v>18.911596163695911</c:v>
                  </c:pt>
                  <c:pt idx="7">
                    <c:v>16.285949249138429</c:v>
                  </c:pt>
                  <c:pt idx="8">
                    <c:v>4.4180483984514689</c:v>
                  </c:pt>
                </c:numCache>
              </c:numRef>
            </c:minus>
            <c:spPr>
              <a:ln w="25400">
                <a:solidFill>
                  <a:srgbClr val="FF0000"/>
                </a:solidFill>
              </a:ln>
            </c:spPr>
          </c:errBars>
          <c:xVal>
            <c:numRef>
              <c:f>Data!#REF!</c:f>
              <c:numCache>
                <c:formatCode>0</c:formatCod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numCache>
            </c:numRef>
          </c:xVal>
          <c:yVal>
            <c:numRef>
              <c:f>Data!#REF!</c:f>
              <c:numCache>
                <c:formatCode>0.000</c:formatCode>
                <c:ptCount val="9"/>
                <c:pt idx="0">
                  <c:v>14.70445161566829</c:v>
                </c:pt>
                <c:pt idx="1">
                  <c:v>18.93321298184074</c:v>
                </c:pt>
                <c:pt idx="2">
                  <c:v>30.300896401709423</c:v>
                </c:pt>
                <c:pt idx="3">
                  <c:v>28.617022287156196</c:v>
                </c:pt>
                <c:pt idx="4">
                  <c:v>58.121863868308935</c:v>
                </c:pt>
                <c:pt idx="5">
                  <c:v>29.435394528202316</c:v>
                </c:pt>
                <c:pt idx="6">
                  <c:v>48.29851446526969</c:v>
                </c:pt>
                <c:pt idx="7">
                  <c:v>30.240231376371597</c:v>
                </c:pt>
                <c:pt idx="8">
                  <c:v>11.107542363293383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0E3-4866-8295-7DC267D1E303}"/>
            </c:ext>
          </c:extLst>
        </c:ser>
        <c:ser>
          <c:idx val="2"/>
          <c:order val="2"/>
          <c:tx>
            <c:v>Co</c:v>
          </c:tx>
          <c:spPr>
            <a:ln w="28575">
              <a:solidFill>
                <a:srgbClr val="00B050"/>
              </a:solidFill>
            </a:ln>
          </c:spPr>
          <c:errBars>
            <c:errDir val="y"/>
            <c:errBarType val="both"/>
            <c:errValType val="cust"/>
            <c:noEndCap val="0"/>
            <c:plus>
              <c:numRef>
                <c:f>Data!#REF!</c:f>
                <c:numCache>
                  <c:formatCode>General</c:formatCode>
                  <c:ptCount val="9"/>
                  <c:pt idx="0">
                    <c:v>12.300440165631533</c:v>
                  </c:pt>
                  <c:pt idx="1">
                    <c:v>3.9189007031678025</c:v>
                  </c:pt>
                  <c:pt idx="2">
                    <c:v>2.0031328282684164</c:v>
                  </c:pt>
                  <c:pt idx="3">
                    <c:v>2.0960420250335674</c:v>
                  </c:pt>
                  <c:pt idx="4">
                    <c:v>10.602001226603839</c:v>
                  </c:pt>
                  <c:pt idx="5">
                    <c:v>2.743483931042257</c:v>
                  </c:pt>
                  <c:pt idx="6">
                    <c:v>6.8391043508831277</c:v>
                  </c:pt>
                  <c:pt idx="7">
                    <c:v>5.4697676522985983</c:v>
                  </c:pt>
                  <c:pt idx="8">
                    <c:v>0.90321532407072558</c:v>
                  </c:pt>
                </c:numCache>
              </c:numRef>
            </c:plus>
            <c:minus>
              <c:numRef>
                <c:f>Data!#REF!</c:f>
                <c:numCache>
                  <c:formatCode>General</c:formatCode>
                  <c:ptCount val="9"/>
                  <c:pt idx="0">
                    <c:v>12.300440165631533</c:v>
                  </c:pt>
                  <c:pt idx="1">
                    <c:v>3.9189007031678025</c:v>
                  </c:pt>
                  <c:pt idx="2">
                    <c:v>2.0031328282684164</c:v>
                  </c:pt>
                  <c:pt idx="3">
                    <c:v>2.0960420250335674</c:v>
                  </c:pt>
                  <c:pt idx="4">
                    <c:v>10.602001226603839</c:v>
                  </c:pt>
                  <c:pt idx="5">
                    <c:v>2.743483931042257</c:v>
                  </c:pt>
                  <c:pt idx="6">
                    <c:v>6.8391043508831277</c:v>
                  </c:pt>
                  <c:pt idx="7">
                    <c:v>5.4697676522985983</c:v>
                  </c:pt>
                  <c:pt idx="8">
                    <c:v>0.90321532407072558</c:v>
                  </c:pt>
                </c:numCache>
              </c:numRef>
            </c:minus>
            <c:spPr>
              <a:ln w="25400">
                <a:solidFill>
                  <a:srgbClr val="00B050"/>
                </a:solidFill>
              </a:ln>
            </c:spPr>
          </c:errBars>
          <c:xVal>
            <c:numRef>
              <c:f>Data!#REF!</c:f>
              <c:numCache>
                <c:formatCode>0</c:formatCod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numCache>
            </c:numRef>
          </c:xVal>
          <c:yVal>
            <c:numRef>
              <c:f>Data!#REF!</c:f>
              <c:numCache>
                <c:formatCode>0.000</c:formatCode>
                <c:ptCount val="9"/>
                <c:pt idx="0">
                  <c:v>12.92757432175415</c:v>
                </c:pt>
                <c:pt idx="1">
                  <c:v>9.1956747340680494</c:v>
                </c:pt>
                <c:pt idx="2">
                  <c:v>8.4203970787432567</c:v>
                </c:pt>
                <c:pt idx="3">
                  <c:v>9.2606630189057295</c:v>
                </c:pt>
                <c:pt idx="4">
                  <c:v>24.132375768088821</c:v>
                </c:pt>
                <c:pt idx="5">
                  <c:v>7.1405544520513491</c:v>
                </c:pt>
                <c:pt idx="6">
                  <c:v>17.531029728575501</c:v>
                </c:pt>
                <c:pt idx="7">
                  <c:v>8.4273739355942752</c:v>
                </c:pt>
                <c:pt idx="8">
                  <c:v>2.3423419936881142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0E3-4866-8295-7DC267D1E303}"/>
            </c:ext>
          </c:extLst>
        </c:ser>
        <c:ser>
          <c:idx val="3"/>
          <c:order val="3"/>
          <c:tx>
            <c:v>Sb</c:v>
          </c:tx>
          <c:spPr>
            <a:ln w="28575">
              <a:solidFill>
                <a:srgbClr val="7030A0"/>
              </a:solidFill>
            </a:ln>
          </c:spPr>
          <c:marker>
            <c:spPr>
              <a:ln w="19050">
                <a:solidFill>
                  <a:srgbClr val="7030A0"/>
                </a:solidFill>
              </a:ln>
            </c:spPr>
          </c:marker>
          <c:errBars>
            <c:errDir val="y"/>
            <c:errBarType val="both"/>
            <c:errValType val="cust"/>
            <c:noEndCap val="0"/>
            <c:plus>
              <c:numRef>
                <c:f>Data!#REF!</c:f>
                <c:numCache>
                  <c:formatCode>General</c:formatCode>
                  <c:ptCount val="9"/>
                  <c:pt idx="0">
                    <c:v>9.8495478504230274</c:v>
                  </c:pt>
                  <c:pt idx="1">
                    <c:v>5.632293865354689</c:v>
                  </c:pt>
                  <c:pt idx="2">
                    <c:v>9.5350906491398586</c:v>
                  </c:pt>
                  <c:pt idx="3">
                    <c:v>9.2262610753194814</c:v>
                  </c:pt>
                  <c:pt idx="4">
                    <c:v>12.109863890757781</c:v>
                  </c:pt>
                  <c:pt idx="5">
                    <c:v>14.28470982216974</c:v>
                  </c:pt>
                  <c:pt idx="6">
                    <c:v>5.6692907653600102</c:v>
                  </c:pt>
                  <c:pt idx="7">
                    <c:v>3.3285598878925131</c:v>
                  </c:pt>
                  <c:pt idx="8">
                    <c:v>12.568417763196477</c:v>
                  </c:pt>
                </c:numCache>
              </c:numRef>
            </c:plus>
            <c:minus>
              <c:numRef>
                <c:f>Data!#REF!</c:f>
                <c:numCache>
                  <c:formatCode>General</c:formatCode>
                  <c:ptCount val="9"/>
                  <c:pt idx="0">
                    <c:v>9.8495478504230274</c:v>
                  </c:pt>
                  <c:pt idx="1">
                    <c:v>5.632293865354689</c:v>
                  </c:pt>
                  <c:pt idx="2">
                    <c:v>9.5350906491398586</c:v>
                  </c:pt>
                  <c:pt idx="3">
                    <c:v>9.2262610753194814</c:v>
                  </c:pt>
                  <c:pt idx="4">
                    <c:v>12.109863890757781</c:v>
                  </c:pt>
                  <c:pt idx="5">
                    <c:v>14.28470982216974</c:v>
                  </c:pt>
                  <c:pt idx="6">
                    <c:v>5.6692907653600102</c:v>
                  </c:pt>
                  <c:pt idx="7">
                    <c:v>3.3285598878925131</c:v>
                  </c:pt>
                  <c:pt idx="8">
                    <c:v>12.568417763196477</c:v>
                  </c:pt>
                </c:numCache>
              </c:numRef>
            </c:minus>
            <c:spPr>
              <a:ln w="25400">
                <a:solidFill>
                  <a:srgbClr val="7030A0"/>
                </a:solidFill>
              </a:ln>
            </c:spPr>
          </c:errBars>
          <c:xVal>
            <c:numRef>
              <c:f>Data!#REF!</c:f>
              <c:numCache>
                <c:formatCode>0</c:formatCod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numCache>
            </c:numRef>
          </c:xVal>
          <c:yVal>
            <c:numRef>
              <c:f>Data!#REF!</c:f>
              <c:numCache>
                <c:formatCode>0.000</c:formatCode>
                <c:ptCount val="9"/>
                <c:pt idx="0">
                  <c:v>49.168445882985395</c:v>
                </c:pt>
                <c:pt idx="1">
                  <c:v>63.983994023358918</c:v>
                </c:pt>
                <c:pt idx="2">
                  <c:v>55.273341267833871</c:v>
                </c:pt>
                <c:pt idx="3">
                  <c:v>61.700132737039937</c:v>
                </c:pt>
                <c:pt idx="4">
                  <c:v>96.813034752090473</c:v>
                </c:pt>
                <c:pt idx="5">
                  <c:v>44.01994426882311</c:v>
                </c:pt>
                <c:pt idx="6">
                  <c:v>96.903473523289051</c:v>
                </c:pt>
                <c:pt idx="7">
                  <c:v>44.611010747373562</c:v>
                </c:pt>
                <c:pt idx="8">
                  <c:v>64.215892344957922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0E3-4866-8295-7DC267D1E303}"/>
            </c:ext>
          </c:extLst>
        </c:ser>
        <c:ser>
          <c:idx val="4"/>
          <c:order val="4"/>
          <c:tx>
            <c:v>Se</c:v>
          </c:tx>
          <c:spPr>
            <a:ln w="28575">
              <a:solidFill>
                <a:schemeClr val="accent2">
                  <a:lumMod val="40000"/>
                  <a:lumOff val="60000"/>
                </a:schemeClr>
              </a:solidFill>
            </a:ln>
          </c:spPr>
          <c:marker>
            <c:spPr>
              <a:ln w="19050">
                <a:solidFill>
                  <a:schemeClr val="accent2">
                    <a:lumMod val="40000"/>
                    <a:lumOff val="60000"/>
                  </a:schemeClr>
                </a:solidFill>
              </a:ln>
            </c:spPr>
          </c:marker>
          <c:errBars>
            <c:errDir val="y"/>
            <c:errBarType val="both"/>
            <c:errValType val="cust"/>
            <c:noEndCap val="0"/>
            <c:plus>
              <c:numRef>
                <c:f>Data!#REF!</c:f>
                <c:numCache>
                  <c:formatCode>General</c:formatCode>
                  <c:ptCount val="9"/>
                  <c:pt idx="0">
                    <c:v>1.1938162814380302</c:v>
                  </c:pt>
                  <c:pt idx="1">
                    <c:v>0.70417803984570004</c:v>
                  </c:pt>
                  <c:pt idx="2">
                    <c:v>0.75151414193883492</c:v>
                  </c:pt>
                  <c:pt idx="3">
                    <c:v>1.7404778212961776</c:v>
                  </c:pt>
                  <c:pt idx="4">
                    <c:v>1.1221661490233448</c:v>
                  </c:pt>
                  <c:pt idx="5">
                    <c:v>2.8269492245088141</c:v>
                  </c:pt>
                  <c:pt idx="6">
                    <c:v>1.8617418878809049</c:v>
                  </c:pt>
                  <c:pt idx="7">
                    <c:v>0.75509287578043871</c:v>
                  </c:pt>
                  <c:pt idx="8">
                    <c:v>1.2720709640860843</c:v>
                  </c:pt>
                </c:numCache>
              </c:numRef>
            </c:plus>
            <c:minus>
              <c:numRef>
                <c:f>Data!#REF!</c:f>
                <c:numCache>
                  <c:formatCode>General</c:formatCode>
                  <c:ptCount val="9"/>
                  <c:pt idx="0">
                    <c:v>1.1938162814380302</c:v>
                  </c:pt>
                  <c:pt idx="1">
                    <c:v>0.70417803984570004</c:v>
                  </c:pt>
                  <c:pt idx="2">
                    <c:v>0.75151414193883492</c:v>
                  </c:pt>
                  <c:pt idx="3">
                    <c:v>1.7404778212961776</c:v>
                  </c:pt>
                  <c:pt idx="4">
                    <c:v>1.1221661490233448</c:v>
                  </c:pt>
                  <c:pt idx="5">
                    <c:v>2.8269492245088141</c:v>
                  </c:pt>
                  <c:pt idx="6">
                    <c:v>1.8617418878809049</c:v>
                  </c:pt>
                  <c:pt idx="7">
                    <c:v>0.75509287578043871</c:v>
                  </c:pt>
                  <c:pt idx="8">
                    <c:v>1.2720709640860843</c:v>
                  </c:pt>
                </c:numCache>
              </c:numRef>
            </c:minus>
            <c:spPr>
              <a:ln w="25400">
                <a:solidFill>
                  <a:schemeClr val="accent2">
                    <a:lumMod val="40000"/>
                    <a:lumOff val="60000"/>
                  </a:schemeClr>
                </a:solidFill>
              </a:ln>
            </c:spPr>
          </c:errBars>
          <c:xVal>
            <c:numRef>
              <c:f>Data!#REF!</c:f>
              <c:numCache>
                <c:formatCode>0</c:formatCod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numCache>
            </c:numRef>
          </c:xVal>
          <c:yVal>
            <c:numRef>
              <c:f>Data!#REF!</c:f>
              <c:numCache>
                <c:formatCode>0.000</c:formatCode>
                <c:ptCount val="9"/>
                <c:pt idx="0">
                  <c:v>3.8078074759875928</c:v>
                </c:pt>
                <c:pt idx="1">
                  <c:v>4.1139038291139265</c:v>
                </c:pt>
                <c:pt idx="2">
                  <c:v>4.1194000095907519</c:v>
                </c:pt>
                <c:pt idx="3">
                  <c:v>4.3629772310173127</c:v>
                </c:pt>
                <c:pt idx="4">
                  <c:v>3.6246386138260593</c:v>
                </c:pt>
                <c:pt idx="5">
                  <c:v>1.052</c:v>
                </c:pt>
                <c:pt idx="6">
                  <c:v>0.80600000000000005</c:v>
                </c:pt>
                <c:pt idx="7">
                  <c:v>3.0568090018415113</c:v>
                </c:pt>
                <c:pt idx="8">
                  <c:v>0.91700000000000004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0E3-4866-8295-7DC267D1E303}"/>
            </c:ext>
          </c:extLst>
        </c:ser>
        <c:ser>
          <c:idx val="5"/>
          <c:order val="5"/>
          <c:tx>
            <c:v>Ag</c:v>
          </c:tx>
          <c:spPr>
            <a:ln w="28575">
              <a:solidFill>
                <a:schemeClr val="accent6"/>
              </a:solidFill>
            </a:ln>
          </c:spPr>
          <c:errBars>
            <c:errDir val="y"/>
            <c:errBarType val="both"/>
            <c:errValType val="cust"/>
            <c:noEndCap val="0"/>
            <c:plus>
              <c:numRef>
                <c:f>Data!#REF!</c:f>
                <c:numCache>
                  <c:formatCode>General</c:formatCode>
                  <c:ptCount val="9"/>
                  <c:pt idx="0">
                    <c:v>0.57489943908417362</c:v>
                  </c:pt>
                  <c:pt idx="1">
                    <c:v>0.11769473558398456</c:v>
                  </c:pt>
                  <c:pt idx="2">
                    <c:v>6.8884571650826232E-2</c:v>
                  </c:pt>
                  <c:pt idx="3">
                    <c:v>0.10316939363246261</c:v>
                  </c:pt>
                  <c:pt idx="4">
                    <c:v>0.14073447759911933</c:v>
                  </c:pt>
                  <c:pt idx="5">
                    <c:v>0.17837700173002666</c:v>
                  </c:pt>
                  <c:pt idx="6">
                    <c:v>0.10362285204077108</c:v>
                  </c:pt>
                  <c:pt idx="7">
                    <c:v>0.11422264922690255</c:v>
                  </c:pt>
                  <c:pt idx="8">
                    <c:v>0.14169724351959637</c:v>
                  </c:pt>
                </c:numCache>
              </c:numRef>
            </c:plus>
            <c:minus>
              <c:numRef>
                <c:f>Data!#REF!</c:f>
                <c:numCache>
                  <c:formatCode>General</c:formatCode>
                  <c:ptCount val="9"/>
                  <c:pt idx="0">
                    <c:v>0.57489943908417362</c:v>
                  </c:pt>
                  <c:pt idx="1">
                    <c:v>0.11769473558398456</c:v>
                  </c:pt>
                  <c:pt idx="2">
                    <c:v>6.8884571650826232E-2</c:v>
                  </c:pt>
                  <c:pt idx="3">
                    <c:v>0.10316939363246261</c:v>
                  </c:pt>
                  <c:pt idx="4">
                    <c:v>0.14073447759911933</c:v>
                  </c:pt>
                  <c:pt idx="5">
                    <c:v>0.17837700173002666</c:v>
                  </c:pt>
                  <c:pt idx="6">
                    <c:v>0.10362285204077108</c:v>
                  </c:pt>
                  <c:pt idx="7">
                    <c:v>0.11422264922690255</c:v>
                  </c:pt>
                  <c:pt idx="8">
                    <c:v>0.14169724351959637</c:v>
                  </c:pt>
                </c:numCache>
              </c:numRef>
            </c:minus>
            <c:spPr>
              <a:ln w="25400">
                <a:solidFill>
                  <a:srgbClr val="FFC000"/>
                </a:solidFill>
              </a:ln>
            </c:spPr>
          </c:errBars>
          <c:xVal>
            <c:numRef>
              <c:f>Data!#REF!</c:f>
              <c:numCache>
                <c:formatCode>0</c:formatCod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numCache>
            </c:numRef>
          </c:xVal>
          <c:yVal>
            <c:numRef>
              <c:f>Data!#REF!</c:f>
              <c:numCache>
                <c:formatCode>0.000</c:formatCode>
                <c:ptCount val="9"/>
                <c:pt idx="0">
                  <c:v>0.19160589651083582</c:v>
                </c:pt>
                <c:pt idx="1">
                  <c:v>0.33694451805547798</c:v>
                </c:pt>
                <c:pt idx="2">
                  <c:v>0.29534630887906987</c:v>
                </c:pt>
                <c:pt idx="3">
                  <c:v>0.45946704237650271</c:v>
                </c:pt>
                <c:pt idx="4">
                  <c:v>0.86287410764831729</c:v>
                </c:pt>
                <c:pt idx="5">
                  <c:v>0.52000310895719837</c:v>
                </c:pt>
                <c:pt idx="6">
                  <c:v>0.59735097146358584</c:v>
                </c:pt>
                <c:pt idx="7">
                  <c:v>0.25914292737650829</c:v>
                </c:pt>
                <c:pt idx="8">
                  <c:v>0.22814882558123095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0E3-4866-8295-7DC267D1E303}"/>
            </c:ext>
          </c:extLst>
        </c:ser>
        <c:ser>
          <c:idx val="6"/>
          <c:order val="6"/>
          <c:tx>
            <c:v>Cu</c:v>
          </c:tx>
          <c:spPr>
            <a:ln w="28575">
              <a:solidFill>
                <a:schemeClr val="accent1"/>
              </a:solidFill>
            </a:ln>
          </c:spPr>
          <c:marker>
            <c:spPr>
              <a:ln w="19050">
                <a:solidFill>
                  <a:schemeClr val="accent1"/>
                </a:solidFill>
              </a:ln>
            </c:spPr>
          </c:marker>
          <c:errBars>
            <c:errDir val="y"/>
            <c:errBarType val="both"/>
            <c:errValType val="cust"/>
            <c:noEndCap val="0"/>
            <c:plus>
              <c:numRef>
                <c:f>Data!#REF!</c:f>
                <c:numCache>
                  <c:formatCode>General</c:formatCode>
                  <c:ptCount val="9"/>
                  <c:pt idx="0">
                    <c:v>26.84240814301717</c:v>
                  </c:pt>
                  <c:pt idx="1">
                    <c:v>2.3599600302288066</c:v>
                  </c:pt>
                  <c:pt idx="2">
                    <c:v>4.5324099576226153</c:v>
                  </c:pt>
                  <c:pt idx="3">
                    <c:v>5.6742702899194306</c:v>
                  </c:pt>
                  <c:pt idx="4">
                    <c:v>2.8672930221341577</c:v>
                  </c:pt>
                  <c:pt idx="5">
                    <c:v>7.0034404287407419</c:v>
                  </c:pt>
                  <c:pt idx="6">
                    <c:v>7.4527190671791876</c:v>
                  </c:pt>
                  <c:pt idx="7">
                    <c:v>3.7786256446573816</c:v>
                  </c:pt>
                  <c:pt idx="8">
                    <c:v>3.2936935127251736</c:v>
                  </c:pt>
                </c:numCache>
              </c:numRef>
            </c:plus>
            <c:minus>
              <c:numRef>
                <c:f>Data!#REF!</c:f>
                <c:numCache>
                  <c:formatCode>General</c:formatCode>
                  <c:ptCount val="9"/>
                  <c:pt idx="0">
                    <c:v>26.84240814301717</c:v>
                  </c:pt>
                  <c:pt idx="1">
                    <c:v>2.3599600302288066</c:v>
                  </c:pt>
                  <c:pt idx="2">
                    <c:v>4.5324099576226153</c:v>
                  </c:pt>
                  <c:pt idx="3">
                    <c:v>5.6742702899194306</c:v>
                  </c:pt>
                  <c:pt idx="4">
                    <c:v>2.8672930221341577</c:v>
                  </c:pt>
                  <c:pt idx="5">
                    <c:v>7.0034404287407419</c:v>
                  </c:pt>
                  <c:pt idx="6">
                    <c:v>7.4527190671791876</c:v>
                  </c:pt>
                  <c:pt idx="7">
                    <c:v>3.7786256446573816</c:v>
                  </c:pt>
                  <c:pt idx="8">
                    <c:v>3.2936935127251736</c:v>
                  </c:pt>
                </c:numCache>
              </c:numRef>
            </c:minus>
            <c:spPr>
              <a:ln w="25400">
                <a:solidFill>
                  <a:schemeClr val="accent1"/>
                </a:solidFill>
              </a:ln>
            </c:spPr>
          </c:errBars>
          <c:xVal>
            <c:numRef>
              <c:f>Data!#REF!</c:f>
              <c:numCache>
                <c:formatCode>0</c:formatCod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numCache>
            </c:numRef>
          </c:xVal>
          <c:yVal>
            <c:numRef>
              <c:f>Data!#REF!</c:f>
              <c:numCache>
                <c:formatCode>0.000</c:formatCode>
                <c:ptCount val="9"/>
                <c:pt idx="0">
                  <c:v>33.122926790696141</c:v>
                </c:pt>
                <c:pt idx="1">
                  <c:v>37.949976833795141</c:v>
                </c:pt>
                <c:pt idx="2">
                  <c:v>41.57305313176321</c:v>
                </c:pt>
                <c:pt idx="3">
                  <c:v>38.196152880759186</c:v>
                </c:pt>
                <c:pt idx="4">
                  <c:v>45.547029970668738</c:v>
                </c:pt>
                <c:pt idx="5">
                  <c:v>51.513818925224598</c:v>
                </c:pt>
                <c:pt idx="6">
                  <c:v>57.715779923439385</c:v>
                </c:pt>
                <c:pt idx="7">
                  <c:v>34.101655676003084</c:v>
                </c:pt>
                <c:pt idx="8">
                  <c:v>35.282817030865672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90E3-4866-8295-7DC267D1E3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414848"/>
        <c:axId val="86416384"/>
      </c:scatterChart>
      <c:valAx>
        <c:axId val="86414848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416384"/>
        <c:crosses val="autoZero"/>
        <c:crossBetween val="midCat"/>
      </c:valAx>
      <c:valAx>
        <c:axId val="86416384"/>
        <c:scaling>
          <c:logBase val="10"/>
          <c:orientation val="minMax"/>
        </c:scaling>
        <c:delete val="0"/>
        <c:axPos val="l"/>
        <c:majorGridlines/>
        <c:numFmt formatCode="0.000" sourceLinked="1"/>
        <c:majorTickMark val="out"/>
        <c:minorTickMark val="none"/>
        <c:tickLblPos val="nextTo"/>
        <c:crossAx val="86414848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As</c:v>
          </c:tx>
          <c:spPr>
            <a:ln w="28575">
              <a:solidFill>
                <a:schemeClr val="accent1"/>
              </a:solidFill>
            </a:ln>
          </c:spPr>
          <c:errBars>
            <c:errDir val="y"/>
            <c:errBarType val="both"/>
            <c:errValType val="cust"/>
            <c:noEndCap val="0"/>
            <c:plus>
              <c:numRef>
                <c:f>Data!#REF!</c:f>
                <c:numCache>
                  <c:formatCode>General</c:formatCode>
                  <c:ptCount val="11"/>
                  <c:pt idx="0">
                    <c:v>79.254908800793601</c:v>
                  </c:pt>
                  <c:pt idx="1">
                    <c:v>600.59439790794954</c:v>
                  </c:pt>
                  <c:pt idx="2">
                    <c:v>1933.5823092260584</c:v>
                  </c:pt>
                  <c:pt idx="3">
                    <c:v>503.61467996894038</c:v>
                  </c:pt>
                  <c:pt idx="4">
                    <c:v>1971.5951300469092</c:v>
                  </c:pt>
                  <c:pt idx="5">
                    <c:v>431.45304675708599</c:v>
                  </c:pt>
                  <c:pt idx="6">
                    <c:v>202.7082867052182</c:v>
                  </c:pt>
                  <c:pt idx="7">
                    <c:v>1013.3550577715514</c:v>
                  </c:pt>
                  <c:pt idx="8">
                    <c:v>820.15234777737749</c:v>
                  </c:pt>
                  <c:pt idx="9">
                    <c:v>983.33923394300416</c:v>
                  </c:pt>
                  <c:pt idx="10">
                    <c:v>634.17816320714871</c:v>
                  </c:pt>
                </c:numCache>
              </c:numRef>
            </c:plus>
            <c:minus>
              <c:numRef>
                <c:f>Data!#REF!</c:f>
                <c:numCache>
                  <c:formatCode>General</c:formatCode>
                  <c:ptCount val="11"/>
                  <c:pt idx="0">
                    <c:v>79.254908800793601</c:v>
                  </c:pt>
                  <c:pt idx="1">
                    <c:v>600.59439790794954</c:v>
                  </c:pt>
                  <c:pt idx="2">
                    <c:v>1933.5823092260584</c:v>
                  </c:pt>
                  <c:pt idx="3">
                    <c:v>503.61467996894038</c:v>
                  </c:pt>
                  <c:pt idx="4">
                    <c:v>1971.5951300469092</c:v>
                  </c:pt>
                  <c:pt idx="5">
                    <c:v>431.45304675708599</c:v>
                  </c:pt>
                  <c:pt idx="6">
                    <c:v>202.7082867052182</c:v>
                  </c:pt>
                  <c:pt idx="7">
                    <c:v>1013.3550577715514</c:v>
                  </c:pt>
                  <c:pt idx="8">
                    <c:v>820.15234777737749</c:v>
                  </c:pt>
                  <c:pt idx="9">
                    <c:v>983.33923394300416</c:v>
                  </c:pt>
                  <c:pt idx="10">
                    <c:v>634.17816320714871</c:v>
                  </c:pt>
                </c:numCache>
              </c:numRef>
            </c:minus>
            <c:spPr>
              <a:ln w="25400">
                <a:solidFill>
                  <a:schemeClr val="accent1"/>
                </a:solidFill>
              </a:ln>
            </c:spPr>
          </c:errBars>
          <c:xVal>
            <c:numRef>
              <c:f>Data!#REF!</c:f>
              <c:numCache>
                <c:formatCode>0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xVal>
          <c:yVal>
            <c:numRef>
              <c:f>Data!#REF!</c:f>
              <c:numCache>
                <c:formatCode>0.000</c:formatCode>
                <c:ptCount val="11"/>
                <c:pt idx="0">
                  <c:v>677.12800448358848</c:v>
                </c:pt>
                <c:pt idx="1">
                  <c:v>2825.3507088562092</c:v>
                </c:pt>
                <c:pt idx="2">
                  <c:v>4257.8853746672339</c:v>
                </c:pt>
                <c:pt idx="3">
                  <c:v>2679.8054483526739</c:v>
                </c:pt>
                <c:pt idx="4">
                  <c:v>8373.3856644518746</c:v>
                </c:pt>
                <c:pt idx="5">
                  <c:v>3476.895816193874</c:v>
                </c:pt>
                <c:pt idx="6">
                  <c:v>3630.2287592382963</c:v>
                </c:pt>
                <c:pt idx="7">
                  <c:v>4141.5964199018017</c:v>
                </c:pt>
                <c:pt idx="8">
                  <c:v>2892.2438619760087</c:v>
                </c:pt>
                <c:pt idx="9">
                  <c:v>3800.4857478372805</c:v>
                </c:pt>
                <c:pt idx="10">
                  <c:v>5567.3942620811176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C3F-4432-8D11-62A369EF420D}"/>
            </c:ext>
          </c:extLst>
        </c:ser>
        <c:ser>
          <c:idx val="1"/>
          <c:order val="1"/>
          <c:tx>
            <c:v>Ni</c:v>
          </c:tx>
          <c:spPr>
            <a:ln w="28575">
              <a:solidFill>
                <a:srgbClr val="FF0000"/>
              </a:solidFill>
            </a:ln>
          </c:spPr>
          <c:errBars>
            <c:errDir val="y"/>
            <c:errBarType val="both"/>
            <c:errValType val="cust"/>
            <c:noEndCap val="0"/>
            <c:plus>
              <c:numRef>
                <c:f>Data!#REF!</c:f>
                <c:numCache>
                  <c:formatCode>General</c:formatCode>
                  <c:ptCount val="11"/>
                  <c:pt idx="0">
                    <c:v>18.484345557267666</c:v>
                  </c:pt>
                  <c:pt idx="1">
                    <c:v>47.409471745592391</c:v>
                  </c:pt>
                  <c:pt idx="2">
                    <c:v>130.43138600534624</c:v>
                  </c:pt>
                  <c:pt idx="3">
                    <c:v>56.01523006746848</c:v>
                  </c:pt>
                  <c:pt idx="4">
                    <c:v>21.339613782857462</c:v>
                  </c:pt>
                  <c:pt idx="5">
                    <c:v>30.11878932613547</c:v>
                  </c:pt>
                  <c:pt idx="6">
                    <c:v>41.444862297869236</c:v>
                  </c:pt>
                  <c:pt idx="7">
                    <c:v>193.11905229028392</c:v>
                  </c:pt>
                  <c:pt idx="8">
                    <c:v>81.45649855055197</c:v>
                  </c:pt>
                  <c:pt idx="9">
                    <c:v>38.544803570805207</c:v>
                  </c:pt>
                  <c:pt idx="10">
                    <c:v>30.382682501917277</c:v>
                  </c:pt>
                </c:numCache>
              </c:numRef>
            </c:plus>
            <c:minus>
              <c:numRef>
                <c:f>Data!#REF!</c:f>
                <c:numCache>
                  <c:formatCode>General</c:formatCode>
                  <c:ptCount val="11"/>
                  <c:pt idx="0">
                    <c:v>18.484345557267666</c:v>
                  </c:pt>
                  <c:pt idx="1">
                    <c:v>47.409471745592391</c:v>
                  </c:pt>
                  <c:pt idx="2">
                    <c:v>130.43138600534624</c:v>
                  </c:pt>
                  <c:pt idx="3">
                    <c:v>56.01523006746848</c:v>
                  </c:pt>
                  <c:pt idx="4">
                    <c:v>21.339613782857462</c:v>
                  </c:pt>
                  <c:pt idx="5">
                    <c:v>30.11878932613547</c:v>
                  </c:pt>
                  <c:pt idx="6">
                    <c:v>41.444862297869236</c:v>
                  </c:pt>
                  <c:pt idx="7">
                    <c:v>193.11905229028392</c:v>
                  </c:pt>
                  <c:pt idx="8">
                    <c:v>81.45649855055197</c:v>
                  </c:pt>
                  <c:pt idx="9">
                    <c:v>38.544803570805207</c:v>
                  </c:pt>
                  <c:pt idx="10">
                    <c:v>30.382682501917277</c:v>
                  </c:pt>
                </c:numCache>
              </c:numRef>
            </c:minus>
            <c:spPr>
              <a:ln w="25400">
                <a:solidFill>
                  <a:srgbClr val="FF0000"/>
                </a:solidFill>
              </a:ln>
            </c:spPr>
          </c:errBars>
          <c:xVal>
            <c:numRef>
              <c:f>Data!#REF!</c:f>
              <c:numCache>
                <c:formatCode>0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xVal>
          <c:yVal>
            <c:numRef>
              <c:f>Data!#REF!</c:f>
              <c:numCache>
                <c:formatCode>0.000</c:formatCode>
                <c:ptCount val="11"/>
                <c:pt idx="0">
                  <c:v>30.582956105979804</c:v>
                </c:pt>
                <c:pt idx="1">
                  <c:v>258.06357811832925</c:v>
                </c:pt>
                <c:pt idx="2">
                  <c:v>405.90952679266741</c:v>
                </c:pt>
                <c:pt idx="3">
                  <c:v>135.93060275362973</c:v>
                </c:pt>
                <c:pt idx="4">
                  <c:v>56.008092924230311</c:v>
                </c:pt>
                <c:pt idx="5">
                  <c:v>183.25871743656353</c:v>
                </c:pt>
                <c:pt idx="6">
                  <c:v>228.68090578718534</c:v>
                </c:pt>
                <c:pt idx="7">
                  <c:v>262.53592405555054</c:v>
                </c:pt>
                <c:pt idx="8">
                  <c:v>98.485227602626992</c:v>
                </c:pt>
                <c:pt idx="9">
                  <c:v>182.07557313096902</c:v>
                </c:pt>
                <c:pt idx="10">
                  <c:v>79.309403520691717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C3F-4432-8D11-62A369EF420D}"/>
            </c:ext>
          </c:extLst>
        </c:ser>
        <c:ser>
          <c:idx val="2"/>
          <c:order val="2"/>
          <c:tx>
            <c:v>Co</c:v>
          </c:tx>
          <c:spPr>
            <a:ln w="28575">
              <a:solidFill>
                <a:srgbClr val="00B050"/>
              </a:solidFill>
            </a:ln>
          </c:spPr>
          <c:errBars>
            <c:errDir val="y"/>
            <c:errBarType val="both"/>
            <c:errValType val="cust"/>
            <c:noEndCap val="0"/>
            <c:plus>
              <c:numRef>
                <c:f>Data!#REF!</c:f>
                <c:numCache>
                  <c:formatCode>General</c:formatCode>
                  <c:ptCount val="11"/>
                  <c:pt idx="0">
                    <c:v>14.215100408221192</c:v>
                  </c:pt>
                  <c:pt idx="1">
                    <c:v>96.888847147797364</c:v>
                  </c:pt>
                  <c:pt idx="2">
                    <c:v>94.857753612610423</c:v>
                  </c:pt>
                  <c:pt idx="3">
                    <c:v>69.368210618309448</c:v>
                  </c:pt>
                  <c:pt idx="4">
                    <c:v>41.434655307299863</c:v>
                  </c:pt>
                  <c:pt idx="5">
                    <c:v>41.265204765397229</c:v>
                  </c:pt>
                  <c:pt idx="6">
                    <c:v>19.733921090513732</c:v>
                  </c:pt>
                  <c:pt idx="7">
                    <c:v>52.088684367328909</c:v>
                  </c:pt>
                  <c:pt idx="8">
                    <c:v>99.402476736731217</c:v>
                  </c:pt>
                  <c:pt idx="9">
                    <c:v>49.213733915614348</c:v>
                  </c:pt>
                  <c:pt idx="10">
                    <c:v>96.630889985038593</c:v>
                  </c:pt>
                </c:numCache>
              </c:numRef>
            </c:plus>
            <c:minus>
              <c:numRef>
                <c:f>Data!#REF!</c:f>
                <c:numCache>
                  <c:formatCode>General</c:formatCode>
                  <c:ptCount val="11"/>
                  <c:pt idx="0">
                    <c:v>14.215100408221192</c:v>
                  </c:pt>
                  <c:pt idx="1">
                    <c:v>96.888847147797364</c:v>
                  </c:pt>
                  <c:pt idx="2">
                    <c:v>94.857753612610423</c:v>
                  </c:pt>
                  <c:pt idx="3">
                    <c:v>69.368210618309448</c:v>
                  </c:pt>
                  <c:pt idx="4">
                    <c:v>41.434655307299863</c:v>
                  </c:pt>
                  <c:pt idx="5">
                    <c:v>41.265204765397229</c:v>
                  </c:pt>
                  <c:pt idx="6">
                    <c:v>19.733921090513732</c:v>
                  </c:pt>
                  <c:pt idx="7">
                    <c:v>52.088684367328909</c:v>
                  </c:pt>
                  <c:pt idx="8">
                    <c:v>99.402476736731217</c:v>
                  </c:pt>
                  <c:pt idx="9">
                    <c:v>49.213733915614348</c:v>
                  </c:pt>
                  <c:pt idx="10">
                    <c:v>96.630889985038593</c:v>
                  </c:pt>
                </c:numCache>
              </c:numRef>
            </c:minus>
            <c:spPr>
              <a:ln w="25400">
                <a:solidFill>
                  <a:srgbClr val="00B050"/>
                </a:solidFill>
              </a:ln>
            </c:spPr>
          </c:errBars>
          <c:xVal>
            <c:numRef>
              <c:f>Data!#REF!</c:f>
              <c:numCache>
                <c:formatCode>0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xVal>
          <c:yVal>
            <c:numRef>
              <c:f>Data!#REF!</c:f>
              <c:numCache>
                <c:formatCode>0.000</c:formatCode>
                <c:ptCount val="11"/>
                <c:pt idx="0">
                  <c:v>8.0743256322891739</c:v>
                </c:pt>
                <c:pt idx="1">
                  <c:v>442.25350018321387</c:v>
                </c:pt>
                <c:pt idx="2">
                  <c:v>311.548627072052</c:v>
                </c:pt>
                <c:pt idx="3">
                  <c:v>214.74037529622956</c:v>
                </c:pt>
                <c:pt idx="4">
                  <c:v>67.726522829115993</c:v>
                </c:pt>
                <c:pt idx="5">
                  <c:v>187.59521990800499</c:v>
                </c:pt>
                <c:pt idx="6">
                  <c:v>239.06390644283147</c:v>
                </c:pt>
                <c:pt idx="7">
                  <c:v>187.21725824215522</c:v>
                </c:pt>
                <c:pt idx="8">
                  <c:v>32.061313447597968</c:v>
                </c:pt>
                <c:pt idx="9">
                  <c:v>233.31369736487548</c:v>
                </c:pt>
                <c:pt idx="10">
                  <c:v>217.52600693226668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C3F-4432-8D11-62A369EF420D}"/>
            </c:ext>
          </c:extLst>
        </c:ser>
        <c:ser>
          <c:idx val="3"/>
          <c:order val="3"/>
          <c:tx>
            <c:v>Sb</c:v>
          </c:tx>
          <c:spPr>
            <a:ln w="28575">
              <a:solidFill>
                <a:srgbClr val="7030A0"/>
              </a:solidFill>
            </a:ln>
          </c:spPr>
          <c:marker>
            <c:spPr>
              <a:ln w="19050">
                <a:solidFill>
                  <a:srgbClr val="7030A0"/>
                </a:solidFill>
              </a:ln>
            </c:spPr>
          </c:marker>
          <c:errBars>
            <c:errDir val="y"/>
            <c:errBarType val="both"/>
            <c:errValType val="cust"/>
            <c:noEndCap val="0"/>
            <c:plus>
              <c:numRef>
                <c:f>Data!#REF!</c:f>
                <c:numCache>
                  <c:formatCode>General</c:formatCode>
                  <c:ptCount val="11"/>
                  <c:pt idx="0">
                    <c:v>17.961505287074473</c:v>
                  </c:pt>
                  <c:pt idx="1">
                    <c:v>21.309228896835485</c:v>
                  </c:pt>
                  <c:pt idx="2">
                    <c:v>33.663344139962774</c:v>
                  </c:pt>
                  <c:pt idx="3">
                    <c:v>48.836697423853806</c:v>
                  </c:pt>
                  <c:pt idx="4">
                    <c:v>114.69997576667562</c:v>
                  </c:pt>
                  <c:pt idx="5">
                    <c:v>11.865011451154082</c:v>
                  </c:pt>
                  <c:pt idx="6">
                    <c:v>5.2306902958869399</c:v>
                  </c:pt>
                  <c:pt idx="7">
                    <c:v>60.381769634028693</c:v>
                  </c:pt>
                  <c:pt idx="8">
                    <c:v>20.205274237564712</c:v>
                  </c:pt>
                  <c:pt idx="9">
                    <c:v>20.290140107870712</c:v>
                  </c:pt>
                  <c:pt idx="10">
                    <c:v>23.704699201224685</c:v>
                  </c:pt>
                </c:numCache>
              </c:numRef>
            </c:plus>
            <c:minus>
              <c:numRef>
                <c:f>Data!#REF!</c:f>
                <c:numCache>
                  <c:formatCode>General</c:formatCode>
                  <c:ptCount val="11"/>
                  <c:pt idx="0">
                    <c:v>17.961505287074473</c:v>
                  </c:pt>
                  <c:pt idx="1">
                    <c:v>21.309228896835485</c:v>
                  </c:pt>
                  <c:pt idx="2">
                    <c:v>33.663344139962774</c:v>
                  </c:pt>
                  <c:pt idx="3">
                    <c:v>48.836697423853806</c:v>
                  </c:pt>
                  <c:pt idx="4">
                    <c:v>114.69997576667562</c:v>
                  </c:pt>
                  <c:pt idx="5">
                    <c:v>11.865011451154082</c:v>
                  </c:pt>
                  <c:pt idx="6">
                    <c:v>5.2306902958869399</c:v>
                  </c:pt>
                  <c:pt idx="7">
                    <c:v>60.381769634028693</c:v>
                  </c:pt>
                  <c:pt idx="8">
                    <c:v>20.205274237564712</c:v>
                  </c:pt>
                  <c:pt idx="9">
                    <c:v>20.290140107870712</c:v>
                  </c:pt>
                  <c:pt idx="10">
                    <c:v>23.704699201224685</c:v>
                  </c:pt>
                </c:numCache>
              </c:numRef>
            </c:minus>
            <c:spPr>
              <a:ln w="25400">
                <a:solidFill>
                  <a:srgbClr val="7030A0"/>
                </a:solidFill>
              </a:ln>
            </c:spPr>
          </c:errBars>
          <c:xVal>
            <c:numRef>
              <c:f>Data!#REF!</c:f>
              <c:numCache>
                <c:formatCode>0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xVal>
          <c:yVal>
            <c:numRef>
              <c:f>Data!#REF!</c:f>
              <c:numCache>
                <c:formatCode>0.000</c:formatCode>
                <c:ptCount val="11"/>
                <c:pt idx="0">
                  <c:v>51.730491145317842</c:v>
                </c:pt>
                <c:pt idx="1">
                  <c:v>178.95071192670594</c:v>
                </c:pt>
                <c:pt idx="2">
                  <c:v>158.91535280954963</c:v>
                </c:pt>
                <c:pt idx="3">
                  <c:v>298.37156228293304</c:v>
                </c:pt>
                <c:pt idx="4">
                  <c:v>523.93158528569711</c:v>
                </c:pt>
                <c:pt idx="5">
                  <c:v>137.30741925296354</c:v>
                </c:pt>
                <c:pt idx="6">
                  <c:v>141.95917334013052</c:v>
                </c:pt>
                <c:pt idx="7">
                  <c:v>112.51950051083048</c:v>
                </c:pt>
                <c:pt idx="8">
                  <c:v>131.37683889839673</c:v>
                </c:pt>
                <c:pt idx="9">
                  <c:v>118.67697065412682</c:v>
                </c:pt>
                <c:pt idx="10">
                  <c:v>96.126334854781391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C3F-4432-8D11-62A369EF420D}"/>
            </c:ext>
          </c:extLst>
        </c:ser>
        <c:ser>
          <c:idx val="4"/>
          <c:order val="4"/>
          <c:tx>
            <c:v>Se</c:v>
          </c:tx>
          <c:spPr>
            <a:ln w="28575">
              <a:solidFill>
                <a:schemeClr val="accent2">
                  <a:lumMod val="40000"/>
                  <a:lumOff val="60000"/>
                </a:schemeClr>
              </a:solidFill>
            </a:ln>
          </c:spPr>
          <c:marker>
            <c:spPr>
              <a:ln w="19050">
                <a:solidFill>
                  <a:schemeClr val="accent2">
                    <a:lumMod val="40000"/>
                    <a:lumOff val="60000"/>
                  </a:schemeClr>
                </a:solidFill>
              </a:ln>
            </c:spPr>
          </c:marker>
          <c:errBars>
            <c:errDir val="y"/>
            <c:errBarType val="both"/>
            <c:errValType val="cust"/>
            <c:noEndCap val="0"/>
            <c:plus>
              <c:numRef>
                <c:f>Data!#REF!</c:f>
                <c:numCache>
                  <c:formatCode>General</c:formatCode>
                  <c:ptCount val="11"/>
                  <c:pt idx="0">
                    <c:v>0.3303355576146319</c:v>
                  </c:pt>
                  <c:pt idx="1">
                    <c:v>1.3832148110051832</c:v>
                  </c:pt>
                  <c:pt idx="2">
                    <c:v>1.9761338386023355</c:v>
                  </c:pt>
                  <c:pt idx="3">
                    <c:v>8.1883233765066166</c:v>
                  </c:pt>
                  <c:pt idx="4">
                    <c:v>6.6775822295534235</c:v>
                  </c:pt>
                  <c:pt idx="5">
                    <c:v>1.0894064727827244</c:v>
                  </c:pt>
                  <c:pt idx="6">
                    <c:v>1.4741510733806718</c:v>
                  </c:pt>
                  <c:pt idx="7">
                    <c:v>1.2018164153912132</c:v>
                  </c:pt>
                  <c:pt idx="8">
                    <c:v>0.93277841954076535</c:v>
                  </c:pt>
                  <c:pt idx="9">
                    <c:v>1.2060339141548326</c:v>
                  </c:pt>
                  <c:pt idx="10">
                    <c:v>0.875940121210801</c:v>
                  </c:pt>
                </c:numCache>
              </c:numRef>
            </c:plus>
            <c:minus>
              <c:numRef>
                <c:f>Data!#REF!</c:f>
                <c:numCache>
                  <c:formatCode>General</c:formatCode>
                  <c:ptCount val="11"/>
                  <c:pt idx="0">
                    <c:v>0.3303355576146319</c:v>
                  </c:pt>
                  <c:pt idx="1">
                    <c:v>1.3832148110051832</c:v>
                  </c:pt>
                  <c:pt idx="2">
                    <c:v>1.9761338386023355</c:v>
                  </c:pt>
                  <c:pt idx="3">
                    <c:v>8.1883233765066166</c:v>
                  </c:pt>
                  <c:pt idx="4">
                    <c:v>6.6775822295534235</c:v>
                  </c:pt>
                  <c:pt idx="5">
                    <c:v>1.0894064727827244</c:v>
                  </c:pt>
                  <c:pt idx="6">
                    <c:v>1.4741510733806718</c:v>
                  </c:pt>
                  <c:pt idx="7">
                    <c:v>1.2018164153912132</c:v>
                  </c:pt>
                  <c:pt idx="8">
                    <c:v>0.93277841954076535</c:v>
                  </c:pt>
                  <c:pt idx="9">
                    <c:v>1.2060339141548326</c:v>
                  </c:pt>
                  <c:pt idx="10">
                    <c:v>0.875940121210801</c:v>
                  </c:pt>
                </c:numCache>
              </c:numRef>
            </c:minus>
            <c:spPr>
              <a:ln w="25400">
                <a:solidFill>
                  <a:schemeClr val="accent2">
                    <a:lumMod val="40000"/>
                    <a:lumOff val="60000"/>
                  </a:schemeClr>
                </a:solidFill>
              </a:ln>
            </c:spPr>
          </c:errBars>
          <c:xVal>
            <c:numRef>
              <c:f>Data!#REF!</c:f>
              <c:numCache>
                <c:formatCode>0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xVal>
          <c:yVal>
            <c:numRef>
              <c:f>Data!#REF!</c:f>
              <c:numCache>
                <c:formatCode>0.000</c:formatCode>
                <c:ptCount val="11"/>
                <c:pt idx="0">
                  <c:v>0.72299999999999998</c:v>
                </c:pt>
                <c:pt idx="1">
                  <c:v>5.7111189245949134</c:v>
                </c:pt>
                <c:pt idx="2">
                  <c:v>8.5721125781086087</c:v>
                </c:pt>
                <c:pt idx="3">
                  <c:v>29.331035475048594</c:v>
                </c:pt>
                <c:pt idx="4">
                  <c:v>29.784966068779141</c:v>
                </c:pt>
                <c:pt idx="5">
                  <c:v>2.8363433592391605</c:v>
                </c:pt>
                <c:pt idx="6">
                  <c:v>4.1839026613418078</c:v>
                </c:pt>
                <c:pt idx="7">
                  <c:v>0.754</c:v>
                </c:pt>
                <c:pt idx="8">
                  <c:v>1.7272974685934894</c:v>
                </c:pt>
                <c:pt idx="9">
                  <c:v>2.5854763859365395</c:v>
                </c:pt>
                <c:pt idx="10">
                  <c:v>2.9615742703299555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C3F-4432-8D11-62A369EF420D}"/>
            </c:ext>
          </c:extLst>
        </c:ser>
        <c:ser>
          <c:idx val="5"/>
          <c:order val="5"/>
          <c:tx>
            <c:v>Ag</c:v>
          </c:tx>
          <c:spPr>
            <a:ln w="28575">
              <a:solidFill>
                <a:schemeClr val="accent6"/>
              </a:solidFill>
            </a:ln>
          </c:spPr>
          <c:errBars>
            <c:errDir val="y"/>
            <c:errBarType val="both"/>
            <c:errValType val="cust"/>
            <c:noEndCap val="0"/>
            <c:plus>
              <c:numRef>
                <c:f>Data!#REF!</c:f>
                <c:numCache>
                  <c:formatCode>General</c:formatCode>
                  <c:ptCount val="11"/>
                  <c:pt idx="0">
                    <c:v>0.1741989110317439</c:v>
                  </c:pt>
                  <c:pt idx="1">
                    <c:v>1.9966959049642883</c:v>
                  </c:pt>
                  <c:pt idx="2">
                    <c:v>1.1985566495448932</c:v>
                  </c:pt>
                  <c:pt idx="3">
                    <c:v>0.68526804085156978</c:v>
                  </c:pt>
                  <c:pt idx="4">
                    <c:v>0.80200901384885159</c:v>
                  </c:pt>
                  <c:pt idx="5">
                    <c:v>0.71472455363218002</c:v>
                  </c:pt>
                  <c:pt idx="6">
                    <c:v>0.46231440327340756</c:v>
                  </c:pt>
                  <c:pt idx="7">
                    <c:v>1.935323724185505</c:v>
                  </c:pt>
                  <c:pt idx="8">
                    <c:v>1.763319264074956</c:v>
                  </c:pt>
                  <c:pt idx="9">
                    <c:v>1.5549468248304077</c:v>
                  </c:pt>
                  <c:pt idx="10">
                    <c:v>1.6630598848674676</c:v>
                  </c:pt>
                </c:numCache>
              </c:numRef>
            </c:plus>
            <c:minus>
              <c:numRef>
                <c:f>Data!#REF!</c:f>
                <c:numCache>
                  <c:formatCode>General</c:formatCode>
                  <c:ptCount val="11"/>
                  <c:pt idx="0">
                    <c:v>0.1741989110317439</c:v>
                  </c:pt>
                  <c:pt idx="1">
                    <c:v>1.9966959049642883</c:v>
                  </c:pt>
                  <c:pt idx="2">
                    <c:v>1.1985566495448932</c:v>
                  </c:pt>
                  <c:pt idx="3">
                    <c:v>0.68526804085156978</c:v>
                  </c:pt>
                  <c:pt idx="4">
                    <c:v>0.80200901384885159</c:v>
                  </c:pt>
                  <c:pt idx="5">
                    <c:v>0.71472455363218002</c:v>
                  </c:pt>
                  <c:pt idx="6">
                    <c:v>0.46231440327340756</c:v>
                  </c:pt>
                  <c:pt idx="7">
                    <c:v>1.935323724185505</c:v>
                  </c:pt>
                  <c:pt idx="8">
                    <c:v>1.763319264074956</c:v>
                  </c:pt>
                  <c:pt idx="9">
                    <c:v>1.5549468248304077</c:v>
                  </c:pt>
                  <c:pt idx="10">
                    <c:v>1.6630598848674676</c:v>
                  </c:pt>
                </c:numCache>
              </c:numRef>
            </c:minus>
            <c:spPr>
              <a:ln w="25400">
                <a:solidFill>
                  <a:srgbClr val="FFC000"/>
                </a:solidFill>
              </a:ln>
            </c:spPr>
          </c:errBars>
          <c:xVal>
            <c:numRef>
              <c:f>Data!#REF!</c:f>
              <c:numCache>
                <c:formatCode>0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xVal>
          <c:yVal>
            <c:numRef>
              <c:f>Data!#REF!</c:f>
              <c:numCache>
                <c:formatCode>0.000</c:formatCode>
                <c:ptCount val="11"/>
                <c:pt idx="0">
                  <c:v>0.15566807435676466</c:v>
                </c:pt>
                <c:pt idx="1">
                  <c:v>7.6111108325314376</c:v>
                </c:pt>
                <c:pt idx="2">
                  <c:v>6.7277549562861623</c:v>
                </c:pt>
                <c:pt idx="3">
                  <c:v>9.118743972259999</c:v>
                </c:pt>
                <c:pt idx="4">
                  <c:v>3.203981140953573</c:v>
                </c:pt>
                <c:pt idx="5">
                  <c:v>6.1813272609014529</c:v>
                </c:pt>
                <c:pt idx="6">
                  <c:v>5.5998807026547208</c:v>
                </c:pt>
                <c:pt idx="7">
                  <c:v>4.1256238095193041</c:v>
                </c:pt>
                <c:pt idx="8">
                  <c:v>3.3743409642561772</c:v>
                </c:pt>
                <c:pt idx="9">
                  <c:v>4.3300543449675626</c:v>
                </c:pt>
                <c:pt idx="10">
                  <c:v>3.0692574540201241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C3F-4432-8D11-62A369EF420D}"/>
            </c:ext>
          </c:extLst>
        </c:ser>
        <c:ser>
          <c:idx val="6"/>
          <c:order val="6"/>
          <c:tx>
            <c:v>Cu</c:v>
          </c:tx>
          <c:spPr>
            <a:ln w="28575">
              <a:solidFill>
                <a:schemeClr val="accent1"/>
              </a:solidFill>
            </a:ln>
          </c:spPr>
          <c:marker>
            <c:spPr>
              <a:ln w="19050">
                <a:solidFill>
                  <a:schemeClr val="accent1"/>
                </a:solidFill>
              </a:ln>
            </c:spPr>
          </c:marker>
          <c:errBars>
            <c:errDir val="y"/>
            <c:errBarType val="both"/>
            <c:errValType val="cust"/>
            <c:noEndCap val="0"/>
            <c:plus>
              <c:numRef>
                <c:f>Data!#REF!</c:f>
                <c:numCache>
                  <c:formatCode>General</c:formatCode>
                  <c:ptCount val="11"/>
                  <c:pt idx="0">
                    <c:v>68.108376697906706</c:v>
                  </c:pt>
                  <c:pt idx="1">
                    <c:v>223.25510889716139</c:v>
                  </c:pt>
                  <c:pt idx="2">
                    <c:v>1377.1721198906828</c:v>
                  </c:pt>
                  <c:pt idx="3">
                    <c:v>143.12352523558232</c:v>
                  </c:pt>
                  <c:pt idx="4">
                    <c:v>135.13663536795212</c:v>
                  </c:pt>
                  <c:pt idx="5">
                    <c:v>89.830830102748365</c:v>
                  </c:pt>
                  <c:pt idx="6">
                    <c:v>214.98407281899432</c:v>
                  </c:pt>
                  <c:pt idx="7">
                    <c:v>48.083268373468158</c:v>
                  </c:pt>
                  <c:pt idx="8">
                    <c:v>735.16490313755628</c:v>
                  </c:pt>
                  <c:pt idx="9">
                    <c:v>697.09311327251498</c:v>
                  </c:pt>
                  <c:pt idx="10">
                    <c:v>144.32455771536158</c:v>
                  </c:pt>
                </c:numCache>
              </c:numRef>
            </c:plus>
            <c:minus>
              <c:numRef>
                <c:f>Data!#REF!</c:f>
                <c:numCache>
                  <c:formatCode>General</c:formatCode>
                  <c:ptCount val="11"/>
                  <c:pt idx="0">
                    <c:v>68.108376697906706</c:v>
                  </c:pt>
                  <c:pt idx="1">
                    <c:v>223.25510889716139</c:v>
                  </c:pt>
                  <c:pt idx="2">
                    <c:v>1377.1721198906828</c:v>
                  </c:pt>
                  <c:pt idx="3">
                    <c:v>143.12352523558232</c:v>
                  </c:pt>
                  <c:pt idx="4">
                    <c:v>135.13663536795212</c:v>
                  </c:pt>
                  <c:pt idx="5">
                    <c:v>89.830830102748365</c:v>
                  </c:pt>
                  <c:pt idx="6">
                    <c:v>214.98407281899432</c:v>
                  </c:pt>
                  <c:pt idx="7">
                    <c:v>48.083268373468158</c:v>
                  </c:pt>
                  <c:pt idx="8">
                    <c:v>735.16490313755628</c:v>
                  </c:pt>
                  <c:pt idx="9">
                    <c:v>697.09311327251498</c:v>
                  </c:pt>
                  <c:pt idx="10">
                    <c:v>144.32455771536158</c:v>
                  </c:pt>
                </c:numCache>
              </c:numRef>
            </c:minus>
            <c:spPr>
              <a:ln w="25400">
                <a:solidFill>
                  <a:schemeClr val="accent1"/>
                </a:solidFill>
              </a:ln>
            </c:spPr>
          </c:errBars>
          <c:xVal>
            <c:numRef>
              <c:f>Data!#REF!</c:f>
              <c:numCache>
                <c:formatCode>0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xVal>
          <c:yVal>
            <c:numRef>
              <c:f>Data!#REF!</c:f>
              <c:numCache>
                <c:formatCode>0.000</c:formatCode>
                <c:ptCount val="11"/>
                <c:pt idx="0">
                  <c:v>27.880983463425764</c:v>
                </c:pt>
                <c:pt idx="1">
                  <c:v>738.98186635936258</c:v>
                </c:pt>
                <c:pt idx="2">
                  <c:v>766.31143755874007</c:v>
                </c:pt>
                <c:pt idx="3">
                  <c:v>590.02001519190105</c:v>
                </c:pt>
                <c:pt idx="4">
                  <c:v>187.87320600198836</c:v>
                </c:pt>
                <c:pt idx="5">
                  <c:v>175.85668086364461</c:v>
                </c:pt>
                <c:pt idx="6">
                  <c:v>220.51782566676775</c:v>
                </c:pt>
                <c:pt idx="7">
                  <c:v>200.90155895642141</c:v>
                </c:pt>
                <c:pt idx="8">
                  <c:v>0</c:v>
                </c:pt>
                <c:pt idx="9">
                  <c:v>1253.1404642595517</c:v>
                </c:pt>
                <c:pt idx="10">
                  <c:v>55.008443792161643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8C3F-4432-8D11-62A369EF42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792448"/>
        <c:axId val="86810624"/>
      </c:scatterChart>
      <c:valAx>
        <c:axId val="86792448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810624"/>
        <c:crosses val="autoZero"/>
        <c:crossBetween val="midCat"/>
      </c:valAx>
      <c:valAx>
        <c:axId val="86810624"/>
        <c:scaling>
          <c:logBase val="10"/>
          <c:orientation val="minMax"/>
        </c:scaling>
        <c:delete val="0"/>
        <c:axPos val="l"/>
        <c:majorGridlines/>
        <c:numFmt formatCode="0.000" sourceLinked="1"/>
        <c:majorTickMark val="out"/>
        <c:minorTickMark val="none"/>
        <c:tickLblPos val="nextTo"/>
        <c:crossAx val="86792448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As</c:v>
          </c:tx>
          <c:spPr>
            <a:ln w="28575">
              <a:solidFill>
                <a:schemeClr val="accent1"/>
              </a:solidFill>
            </a:ln>
          </c:spPr>
          <c:errBars>
            <c:errDir val="y"/>
            <c:errBarType val="both"/>
            <c:errValType val="cust"/>
            <c:noEndCap val="0"/>
            <c:plus>
              <c:numRef>
                <c:f>Data!#REF!</c:f>
                <c:numCache>
                  <c:formatCode>General</c:formatCode>
                  <c:ptCount val="11"/>
                  <c:pt idx="0">
                    <c:v>252.10735576992576</c:v>
                  </c:pt>
                  <c:pt idx="1">
                    <c:v>1097.9348857903508</c:v>
                  </c:pt>
                  <c:pt idx="2">
                    <c:v>653.03741801760634</c:v>
                  </c:pt>
                  <c:pt idx="3">
                    <c:v>188.30707525569036</c:v>
                  </c:pt>
                  <c:pt idx="4">
                    <c:v>3061.0807535847707</c:v>
                  </c:pt>
                  <c:pt idx="5">
                    <c:v>442.4473888805793</c:v>
                  </c:pt>
                  <c:pt idx="6">
                    <c:v>1198.2395994001463</c:v>
                  </c:pt>
                  <c:pt idx="7">
                    <c:v>1067.4984503236258</c:v>
                  </c:pt>
                  <c:pt idx="8">
                    <c:v>364.12776431563896</c:v>
                  </c:pt>
                  <c:pt idx="9">
                    <c:v>164.18884741434181</c:v>
                  </c:pt>
                  <c:pt idx="10">
                    <c:v>212.5275842680127</c:v>
                  </c:pt>
                </c:numCache>
              </c:numRef>
            </c:plus>
            <c:minus>
              <c:numRef>
                <c:f>Data!#REF!</c:f>
                <c:numCache>
                  <c:formatCode>General</c:formatCode>
                  <c:ptCount val="11"/>
                  <c:pt idx="0">
                    <c:v>252.10735576992576</c:v>
                  </c:pt>
                  <c:pt idx="1">
                    <c:v>1097.9348857903508</c:v>
                  </c:pt>
                  <c:pt idx="2">
                    <c:v>653.03741801760634</c:v>
                  </c:pt>
                  <c:pt idx="3">
                    <c:v>188.30707525569036</c:v>
                  </c:pt>
                  <c:pt idx="4">
                    <c:v>3061.0807535847707</c:v>
                  </c:pt>
                  <c:pt idx="5">
                    <c:v>442.4473888805793</c:v>
                  </c:pt>
                  <c:pt idx="6">
                    <c:v>1198.2395994001463</c:v>
                  </c:pt>
                  <c:pt idx="7">
                    <c:v>1067.4984503236258</c:v>
                  </c:pt>
                  <c:pt idx="8">
                    <c:v>364.12776431563896</c:v>
                  </c:pt>
                  <c:pt idx="9">
                    <c:v>164.18884741434181</c:v>
                  </c:pt>
                  <c:pt idx="10">
                    <c:v>212.5275842680127</c:v>
                  </c:pt>
                </c:numCache>
              </c:numRef>
            </c:minus>
            <c:spPr>
              <a:ln w="25400">
                <a:solidFill>
                  <a:schemeClr val="accent1"/>
                </a:solidFill>
              </a:ln>
            </c:spPr>
          </c:errBars>
          <c:xVal>
            <c:numRef>
              <c:f>Data!#REF!</c:f>
              <c:numCache>
                <c:formatCode>0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xVal>
          <c:yVal>
            <c:numRef>
              <c:f>Data!#REF!</c:f>
              <c:numCache>
                <c:formatCode>0.000</c:formatCode>
                <c:ptCount val="11"/>
                <c:pt idx="0">
                  <c:v>1070.4383196137696</c:v>
                </c:pt>
                <c:pt idx="1">
                  <c:v>2222.1655064803313</c:v>
                </c:pt>
                <c:pt idx="2">
                  <c:v>1387.6246547211408</c:v>
                </c:pt>
                <c:pt idx="3">
                  <c:v>940.80551532753736</c:v>
                </c:pt>
                <c:pt idx="4">
                  <c:v>9650.4912288260784</c:v>
                </c:pt>
                <c:pt idx="5">
                  <c:v>1461.820344183202</c:v>
                </c:pt>
                <c:pt idx="6">
                  <c:v>2722.5147074561701</c:v>
                </c:pt>
                <c:pt idx="7">
                  <c:v>4600.4069144771311</c:v>
                </c:pt>
                <c:pt idx="8">
                  <c:v>1352.5850977315686</c:v>
                </c:pt>
                <c:pt idx="9">
                  <c:v>2179.9109280442349</c:v>
                </c:pt>
                <c:pt idx="10">
                  <c:v>1264.2747075291509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FF4-4461-B3C5-C460B1EBC5CA}"/>
            </c:ext>
          </c:extLst>
        </c:ser>
        <c:ser>
          <c:idx val="1"/>
          <c:order val="1"/>
          <c:tx>
            <c:v>Ni</c:v>
          </c:tx>
          <c:spPr>
            <a:ln w="28575">
              <a:solidFill>
                <a:srgbClr val="FF0000"/>
              </a:solidFill>
            </a:ln>
          </c:spPr>
          <c:errBars>
            <c:errDir val="y"/>
            <c:errBarType val="both"/>
            <c:errValType val="cust"/>
            <c:noEndCap val="0"/>
            <c:plus>
              <c:numRef>
                <c:f>Data!#REF!</c:f>
                <c:numCache>
                  <c:formatCode>General</c:formatCode>
                  <c:ptCount val="11"/>
                  <c:pt idx="0">
                    <c:v>30.536478107849124</c:v>
                  </c:pt>
                  <c:pt idx="1">
                    <c:v>74.110851674601278</c:v>
                  </c:pt>
                  <c:pt idx="2">
                    <c:v>210.60232824470731</c:v>
                  </c:pt>
                  <c:pt idx="3">
                    <c:v>8.9543617027146105</c:v>
                  </c:pt>
                  <c:pt idx="4">
                    <c:v>272.4633744539928</c:v>
                  </c:pt>
                  <c:pt idx="5">
                    <c:v>26.181977930665344</c:v>
                  </c:pt>
                  <c:pt idx="6">
                    <c:v>327.09023120770399</c:v>
                  </c:pt>
                  <c:pt idx="7">
                    <c:v>27.408271455525306</c:v>
                  </c:pt>
                  <c:pt idx="8">
                    <c:v>34.913292197286559</c:v>
                  </c:pt>
                  <c:pt idx="9">
                    <c:v>80.615579307041855</c:v>
                  </c:pt>
                  <c:pt idx="10">
                    <c:v>100.0248558298765</c:v>
                  </c:pt>
                </c:numCache>
              </c:numRef>
            </c:plus>
            <c:minus>
              <c:numRef>
                <c:f>Data!#REF!</c:f>
                <c:numCache>
                  <c:formatCode>General</c:formatCode>
                  <c:ptCount val="11"/>
                  <c:pt idx="0">
                    <c:v>30.536478107849124</c:v>
                  </c:pt>
                  <c:pt idx="1">
                    <c:v>74.110851674601278</c:v>
                  </c:pt>
                  <c:pt idx="2">
                    <c:v>210.60232824470731</c:v>
                  </c:pt>
                  <c:pt idx="3">
                    <c:v>8.9543617027146105</c:v>
                  </c:pt>
                  <c:pt idx="4">
                    <c:v>272.4633744539928</c:v>
                  </c:pt>
                  <c:pt idx="5">
                    <c:v>26.181977930665344</c:v>
                  </c:pt>
                  <c:pt idx="6">
                    <c:v>327.09023120770399</c:v>
                  </c:pt>
                  <c:pt idx="7">
                    <c:v>27.408271455525306</c:v>
                  </c:pt>
                  <c:pt idx="8">
                    <c:v>34.913292197286559</c:v>
                  </c:pt>
                  <c:pt idx="9">
                    <c:v>80.615579307041855</c:v>
                  </c:pt>
                  <c:pt idx="10">
                    <c:v>100.0248558298765</c:v>
                  </c:pt>
                </c:numCache>
              </c:numRef>
            </c:minus>
            <c:spPr>
              <a:ln w="25400">
                <a:solidFill>
                  <a:srgbClr val="FF0000"/>
                </a:solidFill>
              </a:ln>
            </c:spPr>
          </c:errBars>
          <c:xVal>
            <c:numRef>
              <c:f>Data!#REF!</c:f>
              <c:numCache>
                <c:formatCode>0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xVal>
          <c:yVal>
            <c:numRef>
              <c:f>Data!#REF!</c:f>
              <c:numCache>
                <c:formatCode>0.000</c:formatCode>
                <c:ptCount val="11"/>
                <c:pt idx="0">
                  <c:v>142.22027466251154</c:v>
                </c:pt>
                <c:pt idx="1">
                  <c:v>203.18396726418257</c:v>
                </c:pt>
                <c:pt idx="2">
                  <c:v>402.13320756967744</c:v>
                </c:pt>
                <c:pt idx="3">
                  <c:v>116.78425828342252</c:v>
                </c:pt>
                <c:pt idx="4">
                  <c:v>769.48511152138599</c:v>
                </c:pt>
                <c:pt idx="5">
                  <c:v>147.50365978566316</c:v>
                </c:pt>
                <c:pt idx="6">
                  <c:v>431.74930404758499</c:v>
                </c:pt>
                <c:pt idx="7">
                  <c:v>199.39608762732121</c:v>
                </c:pt>
                <c:pt idx="8">
                  <c:v>150.62830619776736</c:v>
                </c:pt>
                <c:pt idx="9">
                  <c:v>435.49430863612349</c:v>
                </c:pt>
                <c:pt idx="10">
                  <c:v>123.35310126658544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FF4-4461-B3C5-C460B1EBC5CA}"/>
            </c:ext>
          </c:extLst>
        </c:ser>
        <c:ser>
          <c:idx val="2"/>
          <c:order val="2"/>
          <c:tx>
            <c:v>Co</c:v>
          </c:tx>
          <c:spPr>
            <a:ln w="28575">
              <a:solidFill>
                <a:srgbClr val="00B050"/>
              </a:solidFill>
            </a:ln>
          </c:spPr>
          <c:errBars>
            <c:errDir val="y"/>
            <c:errBarType val="both"/>
            <c:errValType val="cust"/>
            <c:noEndCap val="0"/>
            <c:plus>
              <c:numRef>
                <c:f>Data!#REF!</c:f>
                <c:numCache>
                  <c:formatCode>General</c:formatCode>
                  <c:ptCount val="11"/>
                  <c:pt idx="0">
                    <c:v>117.38359049691036</c:v>
                  </c:pt>
                  <c:pt idx="1">
                    <c:v>73.159677063663338</c:v>
                  </c:pt>
                  <c:pt idx="2">
                    <c:v>175.27301832874338</c:v>
                  </c:pt>
                  <c:pt idx="3">
                    <c:v>11.898453580044682</c:v>
                  </c:pt>
                  <c:pt idx="4">
                    <c:v>105.16184631714307</c:v>
                  </c:pt>
                  <c:pt idx="5">
                    <c:v>53.41131607743975</c:v>
                  </c:pt>
                  <c:pt idx="6">
                    <c:v>428.62530717102504</c:v>
                  </c:pt>
                  <c:pt idx="7">
                    <c:v>129.98424494530775</c:v>
                  </c:pt>
                  <c:pt idx="8">
                    <c:v>74.842956361673131</c:v>
                  </c:pt>
                  <c:pt idx="9">
                    <c:v>33.5400313889293</c:v>
                  </c:pt>
                  <c:pt idx="10">
                    <c:v>164.17981374080088</c:v>
                  </c:pt>
                </c:numCache>
              </c:numRef>
            </c:plus>
            <c:minus>
              <c:numRef>
                <c:f>Data!#REF!</c:f>
                <c:numCache>
                  <c:formatCode>General</c:formatCode>
                  <c:ptCount val="11"/>
                  <c:pt idx="0">
                    <c:v>117.38359049691036</c:v>
                  </c:pt>
                  <c:pt idx="1">
                    <c:v>73.159677063663338</c:v>
                  </c:pt>
                  <c:pt idx="2">
                    <c:v>175.27301832874338</c:v>
                  </c:pt>
                  <c:pt idx="3">
                    <c:v>11.898453580044682</c:v>
                  </c:pt>
                  <c:pt idx="4">
                    <c:v>105.16184631714307</c:v>
                  </c:pt>
                  <c:pt idx="5">
                    <c:v>53.41131607743975</c:v>
                  </c:pt>
                  <c:pt idx="6">
                    <c:v>428.62530717102504</c:v>
                  </c:pt>
                  <c:pt idx="7">
                    <c:v>129.98424494530775</c:v>
                  </c:pt>
                  <c:pt idx="8">
                    <c:v>74.842956361673131</c:v>
                  </c:pt>
                  <c:pt idx="9">
                    <c:v>33.5400313889293</c:v>
                  </c:pt>
                  <c:pt idx="10">
                    <c:v>164.17981374080088</c:v>
                  </c:pt>
                </c:numCache>
              </c:numRef>
            </c:minus>
            <c:spPr>
              <a:ln w="25400">
                <a:solidFill>
                  <a:srgbClr val="00B050"/>
                </a:solidFill>
              </a:ln>
            </c:spPr>
          </c:errBars>
          <c:xVal>
            <c:numRef>
              <c:f>Data!#REF!</c:f>
              <c:numCache>
                <c:formatCode>0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xVal>
          <c:yVal>
            <c:numRef>
              <c:f>Data!#REF!</c:f>
              <c:numCache>
                <c:formatCode>0.000</c:formatCode>
                <c:ptCount val="11"/>
                <c:pt idx="0">
                  <c:v>386.36656609945612</c:v>
                </c:pt>
                <c:pt idx="1">
                  <c:v>489.82091870901479</c:v>
                </c:pt>
                <c:pt idx="2">
                  <c:v>509.24800256911931</c:v>
                </c:pt>
                <c:pt idx="3">
                  <c:v>372.36605663868289</c:v>
                </c:pt>
                <c:pt idx="4">
                  <c:v>634.8049337939832</c:v>
                </c:pt>
                <c:pt idx="5">
                  <c:v>297.54913963139978</c:v>
                </c:pt>
                <c:pt idx="6">
                  <c:v>662.56787918268958</c:v>
                </c:pt>
                <c:pt idx="7">
                  <c:v>541.175940109355</c:v>
                </c:pt>
                <c:pt idx="8">
                  <c:v>409.3702453206339</c:v>
                </c:pt>
                <c:pt idx="9">
                  <c:v>633.33235388669675</c:v>
                </c:pt>
                <c:pt idx="10">
                  <c:v>236.27121092081757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FF4-4461-B3C5-C460B1EBC5CA}"/>
            </c:ext>
          </c:extLst>
        </c:ser>
        <c:ser>
          <c:idx val="3"/>
          <c:order val="3"/>
          <c:tx>
            <c:v>Sb</c:v>
          </c:tx>
          <c:spPr>
            <a:ln w="28575">
              <a:solidFill>
                <a:srgbClr val="7030A0"/>
              </a:solidFill>
            </a:ln>
          </c:spPr>
          <c:marker>
            <c:spPr>
              <a:ln w="19050">
                <a:solidFill>
                  <a:srgbClr val="7030A0"/>
                </a:solidFill>
              </a:ln>
            </c:spPr>
          </c:marker>
          <c:errBars>
            <c:errDir val="y"/>
            <c:errBarType val="both"/>
            <c:errValType val="cust"/>
            <c:noEndCap val="0"/>
            <c:plus>
              <c:numRef>
                <c:f>Data!#REF!</c:f>
                <c:numCache>
                  <c:formatCode>General</c:formatCode>
                  <c:ptCount val="11"/>
                  <c:pt idx="0">
                    <c:v>15.455475766720616</c:v>
                  </c:pt>
                  <c:pt idx="1">
                    <c:v>12.710632119163549</c:v>
                  </c:pt>
                  <c:pt idx="2">
                    <c:v>17.728890807213237</c:v>
                  </c:pt>
                  <c:pt idx="3">
                    <c:v>17.174301341212029</c:v>
                  </c:pt>
                  <c:pt idx="4">
                    <c:v>20.7314167195678</c:v>
                  </c:pt>
                  <c:pt idx="5">
                    <c:v>5.7521015080009628</c:v>
                  </c:pt>
                  <c:pt idx="6">
                    <c:v>24.323273866718985</c:v>
                  </c:pt>
                  <c:pt idx="7">
                    <c:v>14.091073320304904</c:v>
                  </c:pt>
                  <c:pt idx="8">
                    <c:v>13.331992235541207</c:v>
                  </c:pt>
                  <c:pt idx="9">
                    <c:v>29.575976847945199</c:v>
                  </c:pt>
                  <c:pt idx="10">
                    <c:v>8.8142474406961213</c:v>
                  </c:pt>
                </c:numCache>
              </c:numRef>
            </c:plus>
            <c:minus>
              <c:numRef>
                <c:f>Data!#REF!</c:f>
                <c:numCache>
                  <c:formatCode>General</c:formatCode>
                  <c:ptCount val="11"/>
                  <c:pt idx="0">
                    <c:v>15.455475766720616</c:v>
                  </c:pt>
                  <c:pt idx="1">
                    <c:v>12.710632119163549</c:v>
                  </c:pt>
                  <c:pt idx="2">
                    <c:v>17.728890807213237</c:v>
                  </c:pt>
                  <c:pt idx="3">
                    <c:v>17.174301341212029</c:v>
                  </c:pt>
                  <c:pt idx="4">
                    <c:v>20.7314167195678</c:v>
                  </c:pt>
                  <c:pt idx="5">
                    <c:v>5.7521015080009628</c:v>
                  </c:pt>
                  <c:pt idx="6">
                    <c:v>24.323273866718985</c:v>
                  </c:pt>
                  <c:pt idx="7">
                    <c:v>14.091073320304904</c:v>
                  </c:pt>
                  <c:pt idx="8">
                    <c:v>13.331992235541207</c:v>
                  </c:pt>
                  <c:pt idx="9">
                    <c:v>29.575976847945199</c:v>
                  </c:pt>
                  <c:pt idx="10">
                    <c:v>8.8142474406961213</c:v>
                  </c:pt>
                </c:numCache>
              </c:numRef>
            </c:minus>
            <c:spPr>
              <a:ln w="25400">
                <a:solidFill>
                  <a:srgbClr val="7030A0"/>
                </a:solidFill>
              </a:ln>
            </c:spPr>
          </c:errBars>
          <c:xVal>
            <c:numRef>
              <c:f>Data!#REF!</c:f>
              <c:numCache>
                <c:formatCode>0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xVal>
          <c:yVal>
            <c:numRef>
              <c:f>Data!#REF!</c:f>
              <c:numCache>
                <c:formatCode>0.000</c:formatCode>
                <c:ptCount val="11"/>
                <c:pt idx="0">
                  <c:v>53.283344229306522</c:v>
                </c:pt>
                <c:pt idx="1">
                  <c:v>70.949833782676734</c:v>
                </c:pt>
                <c:pt idx="2">
                  <c:v>76.258569574181223</c:v>
                </c:pt>
                <c:pt idx="3">
                  <c:v>58.558325109131118</c:v>
                </c:pt>
                <c:pt idx="4">
                  <c:v>171.82519601818043</c:v>
                </c:pt>
                <c:pt idx="5">
                  <c:v>75.180233630026564</c:v>
                </c:pt>
                <c:pt idx="6">
                  <c:v>74.937742459506211</c:v>
                </c:pt>
                <c:pt idx="7">
                  <c:v>42.808138503589959</c:v>
                </c:pt>
                <c:pt idx="8">
                  <c:v>69.095907102035042</c:v>
                </c:pt>
                <c:pt idx="9">
                  <c:v>178.18526272637106</c:v>
                </c:pt>
                <c:pt idx="10">
                  <c:v>26.303697923296852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FF4-4461-B3C5-C460B1EBC5CA}"/>
            </c:ext>
          </c:extLst>
        </c:ser>
        <c:ser>
          <c:idx val="4"/>
          <c:order val="4"/>
          <c:tx>
            <c:v>Se</c:v>
          </c:tx>
          <c:spPr>
            <a:ln w="28575">
              <a:solidFill>
                <a:schemeClr val="accent2">
                  <a:lumMod val="40000"/>
                  <a:lumOff val="60000"/>
                </a:schemeClr>
              </a:solidFill>
            </a:ln>
          </c:spPr>
          <c:marker>
            <c:spPr>
              <a:ln w="19050">
                <a:solidFill>
                  <a:schemeClr val="accent2">
                    <a:lumMod val="40000"/>
                    <a:lumOff val="60000"/>
                  </a:schemeClr>
                </a:solidFill>
              </a:ln>
            </c:spPr>
          </c:marker>
          <c:errBars>
            <c:errDir val="y"/>
            <c:errBarType val="both"/>
            <c:errValType val="cust"/>
            <c:noEndCap val="0"/>
            <c:plus>
              <c:numRef>
                <c:f>Data!#REF!</c:f>
                <c:numCache>
                  <c:formatCode>General</c:formatCode>
                  <c:ptCount val="11"/>
                  <c:pt idx="0">
                    <c:v>26.200507803379111</c:v>
                  </c:pt>
                  <c:pt idx="1">
                    <c:v>10.574939806779396</c:v>
                  </c:pt>
                  <c:pt idx="2">
                    <c:v>73.245852075278037</c:v>
                  </c:pt>
                  <c:pt idx="3">
                    <c:v>17.053160712245692</c:v>
                  </c:pt>
                  <c:pt idx="4">
                    <c:v>20.730548815266907</c:v>
                  </c:pt>
                  <c:pt idx="5">
                    <c:v>12.100664241647941</c:v>
                  </c:pt>
                  <c:pt idx="6">
                    <c:v>7.8323743149754037</c:v>
                  </c:pt>
                  <c:pt idx="7">
                    <c:v>13.294732134223326</c:v>
                  </c:pt>
                  <c:pt idx="8">
                    <c:v>2.779925607192625</c:v>
                  </c:pt>
                  <c:pt idx="9">
                    <c:v>10.671307734849385</c:v>
                  </c:pt>
                  <c:pt idx="10">
                    <c:v>8.3502402473675676</c:v>
                  </c:pt>
                </c:numCache>
              </c:numRef>
            </c:plus>
            <c:minus>
              <c:numRef>
                <c:f>Data!#REF!</c:f>
                <c:numCache>
                  <c:formatCode>General</c:formatCode>
                  <c:ptCount val="11"/>
                  <c:pt idx="0">
                    <c:v>26.200507803379111</c:v>
                  </c:pt>
                  <c:pt idx="1">
                    <c:v>10.574939806779396</c:v>
                  </c:pt>
                  <c:pt idx="2">
                    <c:v>73.245852075278037</c:v>
                  </c:pt>
                  <c:pt idx="3">
                    <c:v>17.053160712245692</c:v>
                  </c:pt>
                  <c:pt idx="4">
                    <c:v>20.730548815266907</c:v>
                  </c:pt>
                  <c:pt idx="5">
                    <c:v>12.100664241647941</c:v>
                  </c:pt>
                  <c:pt idx="6">
                    <c:v>7.8323743149754037</c:v>
                  </c:pt>
                  <c:pt idx="7">
                    <c:v>13.294732134223326</c:v>
                  </c:pt>
                  <c:pt idx="8">
                    <c:v>2.779925607192625</c:v>
                  </c:pt>
                  <c:pt idx="9">
                    <c:v>10.671307734849385</c:v>
                  </c:pt>
                  <c:pt idx="10">
                    <c:v>8.3502402473675676</c:v>
                  </c:pt>
                </c:numCache>
              </c:numRef>
            </c:minus>
            <c:spPr>
              <a:ln w="25400">
                <a:solidFill>
                  <a:schemeClr val="accent2">
                    <a:lumMod val="40000"/>
                    <a:lumOff val="60000"/>
                  </a:schemeClr>
                </a:solidFill>
              </a:ln>
            </c:spPr>
          </c:errBars>
          <c:xVal>
            <c:numRef>
              <c:f>Data!#REF!</c:f>
              <c:numCache>
                <c:formatCode>0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xVal>
          <c:yVal>
            <c:numRef>
              <c:f>Data!#REF!</c:f>
              <c:numCache>
                <c:formatCode>0.000</c:formatCode>
                <c:ptCount val="11"/>
                <c:pt idx="0">
                  <c:v>205.77859027579586</c:v>
                </c:pt>
                <c:pt idx="1">
                  <c:v>37.469649578870744</c:v>
                </c:pt>
                <c:pt idx="2">
                  <c:v>162.71996631357024</c:v>
                </c:pt>
                <c:pt idx="3">
                  <c:v>46.165958591865298</c:v>
                </c:pt>
                <c:pt idx="4">
                  <c:v>19.81911803978744</c:v>
                </c:pt>
                <c:pt idx="5">
                  <c:v>54.464702513142079</c:v>
                </c:pt>
                <c:pt idx="6">
                  <c:v>39.961784970133621</c:v>
                </c:pt>
                <c:pt idx="7">
                  <c:v>1.2705</c:v>
                </c:pt>
                <c:pt idx="8">
                  <c:v>21.08177705698758</c:v>
                </c:pt>
                <c:pt idx="9">
                  <c:v>90.277959332455609</c:v>
                </c:pt>
                <c:pt idx="10">
                  <c:v>27.27892738110522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FF4-4461-B3C5-C460B1EBC5CA}"/>
            </c:ext>
          </c:extLst>
        </c:ser>
        <c:ser>
          <c:idx val="5"/>
          <c:order val="5"/>
          <c:tx>
            <c:v>Ag</c:v>
          </c:tx>
          <c:spPr>
            <a:ln w="28575">
              <a:solidFill>
                <a:schemeClr val="accent6"/>
              </a:solidFill>
            </a:ln>
          </c:spPr>
          <c:errBars>
            <c:errDir val="y"/>
            <c:errBarType val="both"/>
            <c:errValType val="cust"/>
            <c:noEndCap val="0"/>
            <c:plus>
              <c:numRef>
                <c:f>Data!#REF!</c:f>
                <c:numCache>
                  <c:formatCode>General</c:formatCode>
                  <c:ptCount val="11"/>
                  <c:pt idx="0">
                    <c:v>1.5025132118726028</c:v>
                  </c:pt>
                  <c:pt idx="1">
                    <c:v>3.2912135480148952</c:v>
                  </c:pt>
                  <c:pt idx="2">
                    <c:v>2.6857079904352701</c:v>
                  </c:pt>
                  <c:pt idx="3">
                    <c:v>0.66559285425532799</c:v>
                  </c:pt>
                  <c:pt idx="4">
                    <c:v>2.6007839223234579</c:v>
                  </c:pt>
                  <c:pt idx="5">
                    <c:v>1.4480839513604438</c:v>
                  </c:pt>
                  <c:pt idx="6">
                    <c:v>2.7242472695048225</c:v>
                  </c:pt>
                  <c:pt idx="7">
                    <c:v>1.5648530756649355</c:v>
                  </c:pt>
                  <c:pt idx="8">
                    <c:v>0.66368642584136939</c:v>
                  </c:pt>
                  <c:pt idx="9">
                    <c:v>0.98563350220787882</c:v>
                  </c:pt>
                  <c:pt idx="10">
                    <c:v>0.82673847659407296</c:v>
                  </c:pt>
                </c:numCache>
              </c:numRef>
            </c:plus>
            <c:minus>
              <c:numRef>
                <c:f>Data!#REF!</c:f>
                <c:numCache>
                  <c:formatCode>General</c:formatCode>
                  <c:ptCount val="11"/>
                  <c:pt idx="0">
                    <c:v>1.5025132118726028</c:v>
                  </c:pt>
                  <c:pt idx="1">
                    <c:v>3.2912135480148952</c:v>
                  </c:pt>
                  <c:pt idx="2">
                    <c:v>2.6857079904352701</c:v>
                  </c:pt>
                  <c:pt idx="3">
                    <c:v>0.66559285425532799</c:v>
                  </c:pt>
                  <c:pt idx="4">
                    <c:v>2.6007839223234579</c:v>
                  </c:pt>
                  <c:pt idx="5">
                    <c:v>1.4480839513604438</c:v>
                  </c:pt>
                  <c:pt idx="6">
                    <c:v>2.7242472695048225</c:v>
                  </c:pt>
                  <c:pt idx="7">
                    <c:v>1.5648530756649355</c:v>
                  </c:pt>
                  <c:pt idx="8">
                    <c:v>0.66368642584136939</c:v>
                  </c:pt>
                  <c:pt idx="9">
                    <c:v>0.98563350220787882</c:v>
                  </c:pt>
                  <c:pt idx="10">
                    <c:v>0.82673847659407296</c:v>
                  </c:pt>
                </c:numCache>
              </c:numRef>
            </c:minus>
            <c:spPr>
              <a:ln w="25400">
                <a:solidFill>
                  <a:srgbClr val="FFC000"/>
                </a:solidFill>
              </a:ln>
            </c:spPr>
          </c:errBars>
          <c:xVal>
            <c:numRef>
              <c:f>Data!#REF!</c:f>
              <c:numCache>
                <c:formatCode>0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xVal>
          <c:yVal>
            <c:numRef>
              <c:f>Data!#REF!</c:f>
              <c:numCache>
                <c:formatCode>0.000</c:formatCode>
                <c:ptCount val="11"/>
                <c:pt idx="0">
                  <c:v>4.9975281033377641</c:v>
                </c:pt>
                <c:pt idx="1">
                  <c:v>10.50855685483155</c:v>
                </c:pt>
                <c:pt idx="2">
                  <c:v>7.3108677462057141</c:v>
                </c:pt>
                <c:pt idx="3">
                  <c:v>6.6479989469539209</c:v>
                </c:pt>
                <c:pt idx="4">
                  <c:v>10.795534303625562</c:v>
                </c:pt>
                <c:pt idx="5">
                  <c:v>5.9799867910279412</c:v>
                </c:pt>
                <c:pt idx="6">
                  <c:v>12.937887147755134</c:v>
                </c:pt>
                <c:pt idx="7">
                  <c:v>1.1734666686775839</c:v>
                </c:pt>
                <c:pt idx="8">
                  <c:v>5.7265476616451192</c:v>
                </c:pt>
                <c:pt idx="9">
                  <c:v>6.8050853742739639</c:v>
                </c:pt>
                <c:pt idx="10">
                  <c:v>0.93739486373913117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FF4-4461-B3C5-C460B1EBC5CA}"/>
            </c:ext>
          </c:extLst>
        </c:ser>
        <c:ser>
          <c:idx val="6"/>
          <c:order val="6"/>
          <c:tx>
            <c:v>Cu</c:v>
          </c:tx>
          <c:spPr>
            <a:ln w="28575">
              <a:solidFill>
                <a:schemeClr val="accent1"/>
              </a:solidFill>
            </a:ln>
          </c:spPr>
          <c:marker>
            <c:spPr>
              <a:ln w="19050">
                <a:solidFill>
                  <a:schemeClr val="accent1"/>
                </a:solidFill>
              </a:ln>
            </c:spPr>
          </c:marker>
          <c:errBars>
            <c:errDir val="y"/>
            <c:errBarType val="both"/>
            <c:errValType val="cust"/>
            <c:noEndCap val="0"/>
            <c:plus>
              <c:numRef>
                <c:f>Data!#REF!</c:f>
                <c:numCache>
                  <c:formatCode>General</c:formatCode>
                  <c:ptCount val="11"/>
                  <c:pt idx="0">
                    <c:v>366.19357547571423</c:v>
                  </c:pt>
                  <c:pt idx="1">
                    <c:v>491.10404827364141</c:v>
                  </c:pt>
                  <c:pt idx="2">
                    <c:v>695.88289999375718</c:v>
                  </c:pt>
                  <c:pt idx="3">
                    <c:v>1010.8736065857295</c:v>
                  </c:pt>
                  <c:pt idx="4">
                    <c:v>184.81784115715172</c:v>
                  </c:pt>
                  <c:pt idx="5">
                    <c:v>602.46662361282313</c:v>
                  </c:pt>
                  <c:pt idx="6">
                    <c:v>315.49735615763979</c:v>
                  </c:pt>
                  <c:pt idx="7">
                    <c:v>293.94436938811839</c:v>
                  </c:pt>
                  <c:pt idx="8">
                    <c:v>518.21909873660184</c:v>
                  </c:pt>
                  <c:pt idx="9">
                    <c:v>26.1397410731295</c:v>
                  </c:pt>
                  <c:pt idx="10">
                    <c:v>2.5748154979601585</c:v>
                  </c:pt>
                </c:numCache>
              </c:numRef>
            </c:plus>
            <c:minus>
              <c:numRef>
                <c:f>Data!#REF!</c:f>
                <c:numCache>
                  <c:formatCode>General</c:formatCode>
                  <c:ptCount val="11"/>
                  <c:pt idx="0">
                    <c:v>366.19357547571423</c:v>
                  </c:pt>
                  <c:pt idx="1">
                    <c:v>491.10404827364141</c:v>
                  </c:pt>
                  <c:pt idx="2">
                    <c:v>695.88289999375718</c:v>
                  </c:pt>
                  <c:pt idx="3">
                    <c:v>1010.8736065857295</c:v>
                  </c:pt>
                  <c:pt idx="4">
                    <c:v>184.81784115715172</c:v>
                  </c:pt>
                  <c:pt idx="5">
                    <c:v>602.46662361282313</c:v>
                  </c:pt>
                  <c:pt idx="6">
                    <c:v>315.49735615763979</c:v>
                  </c:pt>
                  <c:pt idx="7">
                    <c:v>293.94436938811839</c:v>
                  </c:pt>
                  <c:pt idx="8">
                    <c:v>518.21909873660184</c:v>
                  </c:pt>
                  <c:pt idx="9">
                    <c:v>26.1397410731295</c:v>
                  </c:pt>
                  <c:pt idx="10">
                    <c:v>2.5748154979601585</c:v>
                  </c:pt>
                </c:numCache>
              </c:numRef>
            </c:minus>
            <c:spPr>
              <a:ln w="25400">
                <a:solidFill>
                  <a:schemeClr val="accent1"/>
                </a:solidFill>
              </a:ln>
            </c:spPr>
          </c:errBars>
          <c:xVal>
            <c:numRef>
              <c:f>Data!#REF!</c:f>
              <c:numCache>
                <c:formatCode>0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xVal>
          <c:yVal>
            <c:numRef>
              <c:f>Data!#REF!</c:f>
              <c:numCache>
                <c:formatCode>0.000</c:formatCode>
                <c:ptCount val="11"/>
                <c:pt idx="0">
                  <c:v>1416.8356953399475</c:v>
                </c:pt>
                <c:pt idx="1">
                  <c:v>2193.9693850756444</c:v>
                </c:pt>
                <c:pt idx="2">
                  <c:v>1634.1556968321729</c:v>
                </c:pt>
                <c:pt idx="3">
                  <c:v>2703.7208859701796</c:v>
                </c:pt>
                <c:pt idx="4">
                  <c:v>845.14842797401741</c:v>
                </c:pt>
                <c:pt idx="5">
                  <c:v>1396.0612712109564</c:v>
                </c:pt>
                <c:pt idx="6">
                  <c:v>1441.0979230039056</c:v>
                </c:pt>
                <c:pt idx="7">
                  <c:v>701.88436694067195</c:v>
                </c:pt>
                <c:pt idx="8">
                  <c:v>1087.2485301053098</c:v>
                </c:pt>
                <c:pt idx="9">
                  <c:v>334.29719227920282</c:v>
                </c:pt>
                <c:pt idx="10">
                  <c:v>55.388557631888943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DFF4-4461-B3C5-C460B1EBC5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965632"/>
        <c:axId val="87045248"/>
      </c:scatterChart>
      <c:valAx>
        <c:axId val="86965632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045248"/>
        <c:crosses val="autoZero"/>
        <c:crossBetween val="midCat"/>
      </c:valAx>
      <c:valAx>
        <c:axId val="87045248"/>
        <c:scaling>
          <c:logBase val="10"/>
          <c:orientation val="minMax"/>
        </c:scaling>
        <c:delete val="0"/>
        <c:axPos val="l"/>
        <c:majorGridlines/>
        <c:numFmt formatCode="0.000" sourceLinked="1"/>
        <c:majorTickMark val="out"/>
        <c:minorTickMark val="none"/>
        <c:tickLblPos val="nextTo"/>
        <c:crossAx val="8696563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110" workbookViewId="0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zoomScale="110" workbookViewId="0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>
  <sheetPr/>
  <sheetViews>
    <sheetView zoomScale="110" workbookViewId="0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>
  <sheetPr/>
  <sheetViews>
    <sheetView zoomScale="110" workbookViewId="0"/>
  </sheetViews>
  <pageMargins left="0.7" right="0.7" top="0.75" bottom="0.75" header="0.3" footer="0.3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>
  <sheetPr/>
  <sheetViews>
    <sheetView zoomScale="110" workbookViewId="0"/>
  </sheetViews>
  <pageMargins left="0.7" right="0.7" top="0.75" bottom="0.75" header="0.3" footer="0.3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>
  <sheetPr/>
  <sheetViews>
    <sheetView zoomScale="110" workbookViewId="0"/>
  </sheetViews>
  <pageMargins left="0.7" right="0.7" top="0.75" bottom="0.75" header="0.3" footer="0.3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>
  <sheetPr/>
  <sheetViews>
    <sheetView zoomScale="110" workbookViewId="0"/>
  </sheetViews>
  <pageMargins left="0.7" right="0.7" top="0.75" bottom="0.75" header="0.3" footer="0.3"/>
  <drawing r:id="rId1"/>
</chartsheet>
</file>

<file path=xl/chartsheets/sheet8.xml><?xml version="1.0" encoding="utf-8"?>
<chartsheet xmlns="http://schemas.openxmlformats.org/spreadsheetml/2006/main" xmlns:r="http://schemas.openxmlformats.org/officeDocument/2006/relationships">
  <sheetPr/>
  <sheetViews>
    <sheetView zoomScale="110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89473" cy="606136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289473" cy="606136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289473" cy="606136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9289473" cy="606136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9289473" cy="606136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9289473" cy="606136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9289473" cy="606136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9289473" cy="606136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96"/>
  <sheetViews>
    <sheetView tabSelected="1" topLeftCell="A82" workbookViewId="0">
      <selection activeCell="E4" sqref="E4"/>
    </sheetView>
  </sheetViews>
  <sheetFormatPr defaultRowHeight="12.5"/>
  <cols>
    <col min="3" max="5" width="22.08984375" customWidth="1"/>
    <col min="6" max="6" width="19.08984375" customWidth="1"/>
    <col min="7" max="7" width="11.54296875" bestFit="1" customWidth="1"/>
    <col min="8" max="8" width="9.453125" bestFit="1" customWidth="1"/>
    <col min="9" max="9" width="11.54296875" bestFit="1" customWidth="1"/>
    <col min="10" max="11" width="9.453125" bestFit="1" customWidth="1"/>
    <col min="12" max="12" width="11.54296875" bestFit="1" customWidth="1"/>
    <col min="13" max="13" width="9.453125" bestFit="1" customWidth="1"/>
    <col min="14" max="14" width="10.453125" bestFit="1" customWidth="1"/>
    <col min="15" max="23" width="9.453125" bestFit="1" customWidth="1"/>
    <col min="24" max="26" width="10.453125" bestFit="1" customWidth="1"/>
    <col min="27" max="27" width="9.453125" bestFit="1" customWidth="1"/>
    <col min="29" max="29" width="10.54296875" customWidth="1"/>
    <col min="30" max="30" width="11.453125" customWidth="1"/>
    <col min="31" max="31" width="10.1796875" customWidth="1"/>
    <col min="32" max="32" width="11.36328125" customWidth="1"/>
    <col min="33" max="33" width="11.08984375" customWidth="1"/>
    <col min="34" max="34" width="10.90625" customWidth="1"/>
    <col min="35" max="35" width="10.6328125" customWidth="1"/>
    <col min="36" max="36" width="9.81640625" customWidth="1"/>
    <col min="37" max="37" width="8" customWidth="1"/>
  </cols>
  <sheetData>
    <row r="1" spans="1:45" ht="18.5">
      <c r="A1" s="2" t="s">
        <v>0</v>
      </c>
      <c r="B1" s="1" t="s">
        <v>1</v>
      </c>
      <c r="C1" s="3" t="s">
        <v>2</v>
      </c>
      <c r="D1" s="20"/>
      <c r="E1" s="20" t="s">
        <v>144</v>
      </c>
      <c r="F1" s="21"/>
      <c r="G1" s="4" t="s">
        <v>3</v>
      </c>
      <c r="H1" s="5" t="s">
        <v>4</v>
      </c>
      <c r="I1" s="5" t="s">
        <v>5</v>
      </c>
      <c r="J1" s="5" t="s">
        <v>6</v>
      </c>
      <c r="K1" s="6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4" t="s">
        <v>13</v>
      </c>
      <c r="R1" s="4" t="s">
        <v>14</v>
      </c>
      <c r="S1" s="4" t="s">
        <v>15</v>
      </c>
      <c r="T1" s="4" t="s">
        <v>16</v>
      </c>
      <c r="U1" s="4" t="s">
        <v>17</v>
      </c>
      <c r="V1" s="4" t="s">
        <v>18</v>
      </c>
      <c r="W1" s="4" t="s">
        <v>19</v>
      </c>
      <c r="X1" s="4" t="s">
        <v>20</v>
      </c>
      <c r="Y1" s="4" t="s">
        <v>20</v>
      </c>
      <c r="Z1" s="4" t="s">
        <v>20</v>
      </c>
      <c r="AA1" s="4" t="s">
        <v>21</v>
      </c>
      <c r="AC1" s="16" t="s">
        <v>127</v>
      </c>
      <c r="AD1" s="16" t="s">
        <v>128</v>
      </c>
      <c r="AE1" s="16" t="s">
        <v>129</v>
      </c>
      <c r="AF1" s="16" t="s">
        <v>130</v>
      </c>
      <c r="AG1" s="16" t="s">
        <v>131</v>
      </c>
      <c r="AH1" s="16" t="s">
        <v>132</v>
      </c>
      <c r="AI1" s="16" t="s">
        <v>133</v>
      </c>
      <c r="AJ1" s="16" t="s">
        <v>134</v>
      </c>
      <c r="AK1" s="16" t="s">
        <v>135</v>
      </c>
      <c r="AL1" s="16" t="s">
        <v>136</v>
      </c>
      <c r="AM1" s="16" t="s">
        <v>137</v>
      </c>
      <c r="AN1" s="16" t="s">
        <v>138</v>
      </c>
      <c r="AO1" s="16" t="s">
        <v>139</v>
      </c>
      <c r="AP1" s="16" t="s">
        <v>140</v>
      </c>
      <c r="AQ1" s="16" t="s">
        <v>141</v>
      </c>
      <c r="AR1" s="16" t="s">
        <v>142</v>
      </c>
      <c r="AS1" s="16" t="s">
        <v>143</v>
      </c>
    </row>
    <row r="2" spans="1:45" ht="15.5">
      <c r="A2" s="8" t="s">
        <v>22</v>
      </c>
      <c r="B2" s="7"/>
      <c r="C2" s="14" t="s">
        <v>35</v>
      </c>
      <c r="D2" s="15" t="s">
        <v>119</v>
      </c>
      <c r="E2" s="15">
        <f>MEDIAN(K2:K10)</f>
        <v>430.55954865658259</v>
      </c>
      <c r="F2" s="15">
        <v>1</v>
      </c>
      <c r="G2" s="19">
        <v>496584.13188257144</v>
      </c>
      <c r="H2" s="19">
        <v>4178.926555392205</v>
      </c>
      <c r="I2" s="19">
        <v>489400.52213984518</v>
      </c>
      <c r="J2" s="19">
        <v>3.5878838943097406</v>
      </c>
      <c r="K2" s="19">
        <v>139.64926633714589</v>
      </c>
      <c r="L2" s="19">
        <v>5863.3047630435249</v>
      </c>
      <c r="M2" s="19">
        <v>4.7513436638754829</v>
      </c>
      <c r="N2" s="19">
        <v>48.381581111933258</v>
      </c>
      <c r="O2" s="19">
        <v>45.261953678965597</v>
      </c>
      <c r="P2" s="19">
        <v>0.2188314623775145</v>
      </c>
      <c r="Q2" s="19">
        <v>1706.2022267309003</v>
      </c>
      <c r="R2" s="19">
        <f>0.5*0.218</f>
        <v>0.109</v>
      </c>
      <c r="S2" s="19">
        <v>0.34792705833928927</v>
      </c>
      <c r="T2" s="19">
        <v>0.87605689195680769</v>
      </c>
      <c r="U2" s="19">
        <f>0.5*0.036</f>
        <v>1.7999999999999999E-2</v>
      </c>
      <c r="V2" s="19">
        <v>0.28518399355819141</v>
      </c>
      <c r="W2" s="19">
        <v>0.7888844374352102</v>
      </c>
      <c r="X2" s="19">
        <v>22.436497526967663</v>
      </c>
      <c r="Y2" s="19">
        <v>20.637879889961933</v>
      </c>
      <c r="Z2" s="19">
        <v>20.711271148716961</v>
      </c>
      <c r="AA2" s="19">
        <v>3.5713027549228171E-2</v>
      </c>
      <c r="AC2" s="17">
        <v>3637.137690367832</v>
      </c>
      <c r="AD2" s="17">
        <v>5.3737694958466813</v>
      </c>
      <c r="AE2" s="17">
        <v>50.527332918779251</v>
      </c>
      <c r="AF2" s="17">
        <v>2997.3220049147899</v>
      </c>
      <c r="AG2" s="17">
        <v>1.9366624012560758</v>
      </c>
      <c r="AH2" s="17">
        <v>23.926230962685995</v>
      </c>
      <c r="AI2" s="17">
        <v>9.6524623871189448</v>
      </c>
      <c r="AJ2" s="17">
        <v>8.0935439865437317E-2</v>
      </c>
      <c r="AK2" s="17">
        <v>238.71263156423029</v>
      </c>
      <c r="AL2" s="17">
        <v>3.631731401203659E-2</v>
      </c>
      <c r="AM2" s="17">
        <v>0.2095011704126494</v>
      </c>
      <c r="AN2" s="17">
        <v>0.66121539826302245</v>
      </c>
      <c r="AO2" s="17">
        <v>4.8688723344675567E-3</v>
      </c>
      <c r="AP2" s="17">
        <v>7.9124810862907499E-2</v>
      </c>
      <c r="AQ2" s="17">
        <v>0.10729571165437882</v>
      </c>
      <c r="AR2" s="17">
        <v>3.8966829657268729</v>
      </c>
      <c r="AS2" s="17">
        <v>4.4072535607208911E-2</v>
      </c>
    </row>
    <row r="3" spans="1:45" ht="15.5">
      <c r="A3" s="8" t="s">
        <v>22</v>
      </c>
      <c r="B3" s="7"/>
      <c r="C3" s="14" t="s">
        <v>36</v>
      </c>
      <c r="D3" s="15" t="s">
        <v>119</v>
      </c>
      <c r="E3" s="15"/>
      <c r="F3" s="15">
        <v>2</v>
      </c>
      <c r="G3" s="19">
        <v>508472.57126250537</v>
      </c>
      <c r="H3" s="19">
        <v>864.7662293021167</v>
      </c>
      <c r="I3" s="19">
        <v>480179.22260532959</v>
      </c>
      <c r="J3" s="19">
        <v>23.631122042049842</v>
      </c>
      <c r="K3" s="19">
        <v>248.10556448267846</v>
      </c>
      <c r="L3" s="19">
        <v>2824.3343077988211</v>
      </c>
      <c r="M3" s="19">
        <v>41.830466704636819</v>
      </c>
      <c r="N3" s="19">
        <v>43.251174886217335</v>
      </c>
      <c r="O3" s="19">
        <v>23.798842101551056</v>
      </c>
      <c r="P3" s="19">
        <v>0.11032658799853445</v>
      </c>
      <c r="Q3" s="19">
        <v>1485.22143935744</v>
      </c>
      <c r="R3" s="19">
        <f>0.5*0.217</f>
        <v>0.1085</v>
      </c>
      <c r="S3" s="19">
        <v>0.29270442529118501</v>
      </c>
      <c r="T3" s="19">
        <f>0.5*0.826</f>
        <v>0.41299999999999998</v>
      </c>
      <c r="U3" s="19">
        <f>0.5*0.036</f>
        <v>1.7999999999999999E-2</v>
      </c>
      <c r="V3" s="19">
        <v>9.0181957193086137E-2</v>
      </c>
      <c r="W3" s="19">
        <v>0.18961379213409824</v>
      </c>
      <c r="X3" s="19">
        <v>13.965440492511817</v>
      </c>
      <c r="Y3" s="19">
        <v>11.697910031246678</v>
      </c>
      <c r="Z3" s="19">
        <v>12.964474228395947</v>
      </c>
      <c r="AA3" s="19">
        <v>0.12400367940148405</v>
      </c>
      <c r="AC3" s="17">
        <v>355.76820518486591</v>
      </c>
      <c r="AD3" s="17">
        <v>20.871247552399073</v>
      </c>
      <c r="AE3" s="17">
        <v>114.45090546903522</v>
      </c>
      <c r="AF3" s="17">
        <v>1070.1217815371158</v>
      </c>
      <c r="AG3" s="17">
        <v>41.87590951443039</v>
      </c>
      <c r="AH3" s="17">
        <v>16.516040847054057</v>
      </c>
      <c r="AI3" s="17">
        <v>8.0561949304019045</v>
      </c>
      <c r="AJ3" s="17">
        <v>4.1433276732789744E-2</v>
      </c>
      <c r="AK3" s="17">
        <v>864.07914281222179</v>
      </c>
      <c r="AL3" s="17">
        <v>3.2657486410785329E-2</v>
      </c>
      <c r="AM3" s="17">
        <v>0.1284132438951841</v>
      </c>
      <c r="AN3" s="17">
        <v>0.13455454964341151</v>
      </c>
      <c r="AO3" s="17">
        <v>9.5542368079267661E-3</v>
      </c>
      <c r="AP3" s="17">
        <v>4.0655365383710881E-2</v>
      </c>
      <c r="AQ3" s="17">
        <v>3.3155785079255318E-2</v>
      </c>
      <c r="AR3" s="17">
        <v>4.9331425083109162</v>
      </c>
      <c r="AS3" s="17">
        <v>8.7409009003253574E-2</v>
      </c>
    </row>
    <row r="4" spans="1:45" ht="15.5">
      <c r="A4" s="8" t="s">
        <v>22</v>
      </c>
      <c r="B4" s="7"/>
      <c r="C4" s="14" t="s">
        <v>37</v>
      </c>
      <c r="D4" s="15" t="s">
        <v>119</v>
      </c>
      <c r="E4" s="15"/>
      <c r="F4" s="15">
        <v>3</v>
      </c>
      <c r="G4" s="19">
        <v>503007.83152762486</v>
      </c>
      <c r="H4" s="19">
        <v>2164.2843067449676</v>
      </c>
      <c r="I4" s="19">
        <v>489646.29136712645</v>
      </c>
      <c r="J4" s="19">
        <v>52.78790188147866</v>
      </c>
      <c r="K4" s="19">
        <v>382.34158834731761</v>
      </c>
      <c r="L4" s="19">
        <v>2659.6266878620227</v>
      </c>
      <c r="M4" s="19">
        <v>3.718910359648099</v>
      </c>
      <c r="N4" s="19">
        <v>79.108335803337525</v>
      </c>
      <c r="O4" s="19">
        <v>49.134086725166526</v>
      </c>
      <c r="P4" s="19">
        <v>0.151444783745181</v>
      </c>
      <c r="Q4" s="19">
        <v>560.30051911519513</v>
      </c>
      <c r="R4" s="19">
        <f>0.5*0.225</f>
        <v>0.1125</v>
      </c>
      <c r="S4" s="19">
        <v>1.5574843372825624</v>
      </c>
      <c r="T4" s="19">
        <f>0.5*0.855</f>
        <v>0.42749999999999999</v>
      </c>
      <c r="U4" s="19">
        <f>0.5*0.037</f>
        <v>1.8499999999999999E-2</v>
      </c>
      <c r="V4" s="19">
        <v>6.9693993533726961E-2</v>
      </c>
      <c r="W4" s="19">
        <v>0.29064874359025417</v>
      </c>
      <c r="X4" s="19">
        <v>57.323342873693775</v>
      </c>
      <c r="Y4" s="19">
        <v>52.328146134445348</v>
      </c>
      <c r="Z4" s="19">
        <v>52.583673464293469</v>
      </c>
      <c r="AA4" s="19">
        <v>0.40288565618395444</v>
      </c>
      <c r="AC4" s="17">
        <v>482.71362644897732</v>
      </c>
      <c r="AD4" s="17">
        <v>21.902700427548339</v>
      </c>
      <c r="AE4" s="17">
        <v>152.87372449496982</v>
      </c>
      <c r="AF4" s="17">
        <v>2169.331287187812</v>
      </c>
      <c r="AG4" s="17">
        <v>2.6353643440488699</v>
      </c>
      <c r="AH4" s="17">
        <v>32.080386187585184</v>
      </c>
      <c r="AI4" s="17">
        <v>6.1724193346793816</v>
      </c>
      <c r="AJ4" s="17">
        <v>0.13074178579354434</v>
      </c>
      <c r="AK4" s="17">
        <v>624.91263354975922</v>
      </c>
      <c r="AL4" s="17">
        <v>3.6094678614861472E-2</v>
      </c>
      <c r="AM4" s="17">
        <v>0.30756500416820814</v>
      </c>
      <c r="AN4" s="17">
        <v>0.51469170975709744</v>
      </c>
      <c r="AO4" s="17">
        <v>4.919108517371611E-3</v>
      </c>
      <c r="AP4" s="17">
        <v>5.3098316709241151E-2</v>
      </c>
      <c r="AQ4" s="17">
        <v>3.3174722498068542E-2</v>
      </c>
      <c r="AR4" s="17">
        <v>13.065236806933479</v>
      </c>
      <c r="AS4" s="17">
        <v>8.6440179084548416E-2</v>
      </c>
    </row>
    <row r="5" spans="1:45" ht="15.5">
      <c r="A5" s="8" t="s">
        <v>22</v>
      </c>
      <c r="B5" s="7"/>
      <c r="C5" s="14" t="s">
        <v>38</v>
      </c>
      <c r="D5" s="15" t="s">
        <v>119</v>
      </c>
      <c r="E5" s="15"/>
      <c r="F5" s="15">
        <v>4</v>
      </c>
      <c r="G5" s="19">
        <v>493951.2589192423</v>
      </c>
      <c r="H5" s="19">
        <v>5481.6388630577894</v>
      </c>
      <c r="I5" s="19">
        <v>484550.96362529235</v>
      </c>
      <c r="J5" s="19">
        <v>22.399554563395256</v>
      </c>
      <c r="K5" s="19">
        <v>430.55954865658259</v>
      </c>
      <c r="L5" s="19">
        <v>8047.6070330643515</v>
      </c>
      <c r="M5" s="19">
        <v>13.604723216458765</v>
      </c>
      <c r="N5" s="19">
        <v>59.136645644563345</v>
      </c>
      <c r="O5" s="19">
        <v>18.983966341892138</v>
      </c>
      <c r="P5" s="19">
        <v>1.1351199617238725</v>
      </c>
      <c r="Q5" s="19">
        <v>1826.5077357350629</v>
      </c>
      <c r="R5" s="19">
        <f>0.5*0.225</f>
        <v>0.1125</v>
      </c>
      <c r="S5" s="19">
        <v>1.2486615826412324</v>
      </c>
      <c r="T5" s="19">
        <f>0.5*0.854</f>
        <v>0.42699999999999999</v>
      </c>
      <c r="U5" s="19">
        <f>0.5*0.037</f>
        <v>1.8499999999999999E-2</v>
      </c>
      <c r="V5" s="19">
        <v>0.11450101703147314</v>
      </c>
      <c r="W5" s="19">
        <v>0.49730774549841494</v>
      </c>
      <c r="X5" s="19">
        <v>51.970676023622417</v>
      </c>
      <c r="Y5" s="19">
        <v>51.106568380233199</v>
      </c>
      <c r="Z5" s="19">
        <v>50.841266779428622</v>
      </c>
      <c r="AA5" s="19">
        <v>0.29193438028144469</v>
      </c>
      <c r="AC5" s="17">
        <v>4422.2784908501499</v>
      </c>
      <c r="AD5" s="17">
        <v>22.479551052218952</v>
      </c>
      <c r="AE5" s="17">
        <v>228.81789998380822</v>
      </c>
      <c r="AF5" s="17">
        <v>4809.1683792437652</v>
      </c>
      <c r="AG5" s="17">
        <v>11.899717515630746</v>
      </c>
      <c r="AH5" s="17">
        <v>27.749045219893741</v>
      </c>
      <c r="AI5" s="17">
        <v>9.7695376123697333</v>
      </c>
      <c r="AJ5" s="17">
        <v>0.36936874834685651</v>
      </c>
      <c r="AK5" s="17">
        <v>1169.3989829954644</v>
      </c>
      <c r="AL5" s="17">
        <v>0.12616934376889516</v>
      </c>
      <c r="AM5" s="17">
        <v>1.4523039980570875</v>
      </c>
      <c r="AN5" s="17">
        <v>0.66336464562671027</v>
      </c>
      <c r="AO5" s="17">
        <v>5.9805466837605618E-3</v>
      </c>
      <c r="AP5" s="17">
        <v>4.1946821795429072E-2</v>
      </c>
      <c r="AQ5" s="17">
        <v>0.20234629888545724</v>
      </c>
      <c r="AR5" s="17">
        <v>48.150505250989461</v>
      </c>
      <c r="AS5" s="17">
        <v>0.36165312510362624</v>
      </c>
    </row>
    <row r="6" spans="1:45" ht="15.5">
      <c r="A6" s="8" t="s">
        <v>22</v>
      </c>
      <c r="B6" s="7"/>
      <c r="C6" s="14" t="s">
        <v>39</v>
      </c>
      <c r="D6" s="15" t="s">
        <v>119</v>
      </c>
      <c r="E6" s="15"/>
      <c r="F6" s="15">
        <v>5</v>
      </c>
      <c r="G6" s="19">
        <v>511403.06259358645</v>
      </c>
      <c r="H6" s="19">
        <v>257.96802191024136</v>
      </c>
      <c r="I6" s="19">
        <v>480888.22500574205</v>
      </c>
      <c r="J6" s="19">
        <v>42.435152187566757</v>
      </c>
      <c r="K6" s="19">
        <v>923.99552403174675</v>
      </c>
      <c r="L6" s="19">
        <v>5584.3016329716711</v>
      </c>
      <c r="M6" s="19">
        <v>7.5325153519748547</v>
      </c>
      <c r="N6" s="19">
        <v>20.464155725456948</v>
      </c>
      <c r="O6" s="19">
        <v>6.9373879392751574</v>
      </c>
      <c r="P6" s="19">
        <f>0.5*0.074</f>
        <v>3.6999999999999998E-2</v>
      </c>
      <c r="Q6" s="19">
        <v>434.36282824291447</v>
      </c>
      <c r="R6" s="19">
        <f>0.5*0.224</f>
        <v>0.112</v>
      </c>
      <c r="S6" s="19">
        <v>0.64994921964510022</v>
      </c>
      <c r="T6" s="19">
        <f>0.5*0.85</f>
        <v>0.42499999999999999</v>
      </c>
      <c r="U6" s="19">
        <f>0.5*0.037</f>
        <v>1.8499999999999999E-2</v>
      </c>
      <c r="V6" s="19">
        <v>2.9994084599828177E-2</v>
      </c>
      <c r="W6" s="19">
        <v>0.43381307124291135</v>
      </c>
      <c r="X6" s="19">
        <v>29.178379433139128</v>
      </c>
      <c r="Y6" s="19">
        <v>26.361852442893223</v>
      </c>
      <c r="Z6" s="19">
        <v>27.115271176754305</v>
      </c>
      <c r="AA6" s="19">
        <v>0.1866292196067092</v>
      </c>
      <c r="AC6" s="17">
        <v>163.78714478731015</v>
      </c>
      <c r="AD6" s="17">
        <v>32.742844502032149</v>
      </c>
      <c r="AE6" s="17">
        <v>829.41403039585134</v>
      </c>
      <c r="AF6" s="17">
        <v>3385.0779281691825</v>
      </c>
      <c r="AG6" s="17">
        <v>7.1534507987026004</v>
      </c>
      <c r="AH6" s="17">
        <v>7.8007440278763571</v>
      </c>
      <c r="AI6" s="17">
        <v>0.80347772379850491</v>
      </c>
      <c r="AJ6" s="17">
        <v>2.7989179338945246E-2</v>
      </c>
      <c r="AK6" s="17">
        <v>542.61801291960876</v>
      </c>
      <c r="AL6" s="17">
        <v>0.13157851939614576</v>
      </c>
      <c r="AM6" s="17">
        <v>0.32724872869935429</v>
      </c>
      <c r="AN6" s="17">
        <v>0.3037551909634657</v>
      </c>
      <c r="AO6" s="17">
        <v>5.6569195560465298E-3</v>
      </c>
      <c r="AP6" s="17">
        <v>1.3968577405820219E-2</v>
      </c>
      <c r="AQ6" s="17">
        <v>0.11447370502897114</v>
      </c>
      <c r="AR6" s="17">
        <v>16.427845785410245</v>
      </c>
      <c r="AS6" s="17">
        <v>0.16497595956820138</v>
      </c>
    </row>
    <row r="7" spans="1:45" ht="15.5">
      <c r="A7" s="8" t="s">
        <v>22</v>
      </c>
      <c r="B7" s="7"/>
      <c r="C7" s="14" t="s">
        <v>40</v>
      </c>
      <c r="D7" s="15" t="s">
        <v>119</v>
      </c>
      <c r="E7" s="15"/>
      <c r="F7" s="15">
        <v>6</v>
      </c>
      <c r="G7" s="19">
        <v>509224.81344926462</v>
      </c>
      <c r="H7" s="19">
        <v>904.00217761206977</v>
      </c>
      <c r="I7" s="19">
        <v>478694.00198155566</v>
      </c>
      <c r="J7" s="19">
        <v>45.636337708649592</v>
      </c>
      <c r="K7" s="19">
        <v>657.98006755236042</v>
      </c>
      <c r="L7" s="19">
        <v>2425.2534935885978</v>
      </c>
      <c r="M7" s="19">
        <v>41.231162436800105</v>
      </c>
      <c r="N7" s="19">
        <v>50.308051076649974</v>
      </c>
      <c r="O7" s="19">
        <v>18.086023564806368</v>
      </c>
      <c r="P7" s="19">
        <v>0.82573520710726811</v>
      </c>
      <c r="Q7" s="19">
        <v>185.12842194931045</v>
      </c>
      <c r="R7" s="19">
        <v>0.3384994453021517</v>
      </c>
      <c r="S7" s="19">
        <v>2.3304276296474056</v>
      </c>
      <c r="T7" s="19">
        <v>1.1169357987938247</v>
      </c>
      <c r="U7" s="19">
        <f>0.5*0.037</f>
        <v>1.8499999999999999E-2</v>
      </c>
      <c r="V7" s="19">
        <v>6.9321805488907651E-2</v>
      </c>
      <c r="W7" s="19">
        <v>0.22792979415776915</v>
      </c>
      <c r="X7" s="19">
        <v>89.205663126167678</v>
      </c>
      <c r="Y7" s="19">
        <v>84.219807061249838</v>
      </c>
      <c r="Z7" s="19">
        <v>81.083895025009269</v>
      </c>
      <c r="AA7" s="19">
        <v>0.54324201016802598</v>
      </c>
      <c r="AC7" s="17">
        <v>271.36878569584837</v>
      </c>
      <c r="AD7" s="17">
        <v>16.698295019644654</v>
      </c>
      <c r="AE7" s="17">
        <v>160.28945429981525</v>
      </c>
      <c r="AF7" s="17">
        <v>841.09806262189261</v>
      </c>
      <c r="AG7" s="17">
        <v>95.030395887700621</v>
      </c>
      <c r="AH7" s="17">
        <v>24.579062626056199</v>
      </c>
      <c r="AI7" s="17">
        <v>11.41822236685978</v>
      </c>
      <c r="AJ7" s="17">
        <v>1.0356035034853466</v>
      </c>
      <c r="AK7" s="17">
        <v>120.60880001249947</v>
      </c>
      <c r="AL7" s="17">
        <v>0.43317300352623428</v>
      </c>
      <c r="AM7" s="17">
        <v>0.41567119719735418</v>
      </c>
      <c r="AN7" s="17">
        <v>0.48471896316063795</v>
      </c>
      <c r="AO7" s="17">
        <v>1.2858556250235449E-2</v>
      </c>
      <c r="AP7" s="17">
        <v>3.5892971077899412E-2</v>
      </c>
      <c r="AQ7" s="17">
        <v>0.17655559525920653</v>
      </c>
      <c r="AR7" s="17">
        <v>10.924654437732475</v>
      </c>
      <c r="AS7" s="17">
        <v>5.4867007065785456E-2</v>
      </c>
    </row>
    <row r="8" spans="1:45" ht="15.5">
      <c r="A8" s="8" t="s">
        <v>22</v>
      </c>
      <c r="B8" s="7"/>
      <c r="C8" s="14" t="s">
        <v>41</v>
      </c>
      <c r="D8" s="15" t="s">
        <v>119</v>
      </c>
      <c r="E8" s="15"/>
      <c r="F8" s="15">
        <v>8</v>
      </c>
      <c r="G8" s="19">
        <v>529272.94394513429</v>
      </c>
      <c r="H8" s="19">
        <v>267.64089342184838</v>
      </c>
      <c r="I8" s="19">
        <v>476308.7025732366</v>
      </c>
      <c r="J8" s="19">
        <v>404.49956915450792</v>
      </c>
      <c r="K8" s="19">
        <v>1875.295182007156</v>
      </c>
      <c r="L8" s="19">
        <v>2573.2836041425398</v>
      </c>
      <c r="M8" s="19">
        <v>1454.5241109908018</v>
      </c>
      <c r="N8" s="19">
        <v>62.211316166734292</v>
      </c>
      <c r="O8" s="19">
        <v>53.088507282137932</v>
      </c>
      <c r="P8" s="19">
        <v>2.0610933418865294</v>
      </c>
      <c r="Q8" s="19">
        <v>23.333836750320135</v>
      </c>
      <c r="R8" s="19">
        <v>3.5953291877730398</v>
      </c>
      <c r="S8" s="19">
        <v>2.5343503602136721</v>
      </c>
      <c r="T8" s="19">
        <v>1.6983119415623182</v>
      </c>
      <c r="U8" s="19">
        <f>0.5*0.053</f>
        <v>2.6499999999999999E-2</v>
      </c>
      <c r="V8" s="19">
        <v>6.1680093100186566E-2</v>
      </c>
      <c r="W8" s="19">
        <f>0.5*0.018</f>
        <v>8.9999999999999993E-3</v>
      </c>
      <c r="X8" s="19">
        <v>131.48241735655142</v>
      </c>
      <c r="Y8" s="19">
        <v>113.2956349876282</v>
      </c>
      <c r="Z8" s="19">
        <v>116.27316039186439</v>
      </c>
      <c r="AA8" s="19">
        <v>1.0672449662980164</v>
      </c>
      <c r="AC8" s="17">
        <v>159.73318997388134</v>
      </c>
      <c r="AD8" s="17">
        <v>103.34611624690095</v>
      </c>
      <c r="AE8" s="17">
        <v>420.77804320797293</v>
      </c>
      <c r="AF8" s="17">
        <v>1074.6531084024148</v>
      </c>
      <c r="AG8" s="17">
        <v>498.91437288801109</v>
      </c>
      <c r="AH8" s="17">
        <v>22.863802018189268</v>
      </c>
      <c r="AI8" s="17">
        <v>12.809849590489147</v>
      </c>
      <c r="AJ8" s="17">
        <v>4.5428437756339042</v>
      </c>
      <c r="AK8" s="17">
        <v>5.5665804085723343</v>
      </c>
      <c r="AL8" s="17">
        <v>0.97885010564758124</v>
      </c>
      <c r="AM8" s="17">
        <v>3.8585613659890581</v>
      </c>
      <c r="AN8" s="17">
        <v>1.496636200986565</v>
      </c>
      <c r="AO8" s="17">
        <v>1.747616287861721E-2</v>
      </c>
      <c r="AP8" s="17">
        <v>1.9874777666096174E-2</v>
      </c>
      <c r="AQ8" s="17">
        <v>0.32604301722160584</v>
      </c>
      <c r="AR8" s="17">
        <v>55.724394131521862</v>
      </c>
      <c r="AS8" s="17">
        <v>0.52206834260953061</v>
      </c>
    </row>
    <row r="9" spans="1:45" ht="15.5">
      <c r="A9" s="8" t="s">
        <v>22</v>
      </c>
      <c r="B9" s="7"/>
      <c r="C9" s="14" t="s">
        <v>42</v>
      </c>
      <c r="D9" s="15" t="s">
        <v>119</v>
      </c>
      <c r="E9" s="15"/>
      <c r="F9" s="15">
        <v>9</v>
      </c>
      <c r="G9" s="19">
        <v>484298.82638316677</v>
      </c>
      <c r="H9" s="19">
        <v>154.44233807226325</v>
      </c>
      <c r="I9" s="19">
        <v>508538.8373311141</v>
      </c>
      <c r="J9" s="19">
        <v>348.64399046035783</v>
      </c>
      <c r="K9" s="19">
        <v>1221.3863503214056</v>
      </c>
      <c r="L9" s="19">
        <v>660.82091470176033</v>
      </c>
      <c r="M9" s="19">
        <v>8.966909779097163</v>
      </c>
      <c r="N9" s="19">
        <v>169.28928323011138</v>
      </c>
      <c r="O9" s="19">
        <v>28.157972124973949</v>
      </c>
      <c r="P9" s="19">
        <v>0.19873099205940653</v>
      </c>
      <c r="Q9" s="19">
        <v>59.354574325177737</v>
      </c>
      <c r="R9" s="19">
        <f>0.5*0.204</f>
        <v>0.10199999999999999</v>
      </c>
      <c r="S9" s="19">
        <v>9.47208874448242</v>
      </c>
      <c r="T9" s="19">
        <v>2.0789568492080601</v>
      </c>
      <c r="U9" s="19">
        <f>0.5*0.034</f>
        <v>1.7000000000000001E-2</v>
      </c>
      <c r="V9" s="19">
        <v>0.14535631810742095</v>
      </c>
      <c r="W9" s="19">
        <v>0.51855044639871695</v>
      </c>
      <c r="X9" s="19">
        <v>181.80326544916903</v>
      </c>
      <c r="Y9" s="19">
        <v>164.49949016696007</v>
      </c>
      <c r="Z9" s="19">
        <v>167.54884158813394</v>
      </c>
      <c r="AA9" s="19">
        <v>1.9306498807672039</v>
      </c>
      <c r="AC9" s="17">
        <v>10.382879959254224</v>
      </c>
      <c r="AD9" s="17">
        <v>87.225200739064732</v>
      </c>
      <c r="AE9" s="17">
        <v>270.52359301199061</v>
      </c>
      <c r="AF9" s="17">
        <v>215.67757638830443</v>
      </c>
      <c r="AG9" s="17">
        <v>0.86757050723788531</v>
      </c>
      <c r="AH9" s="17">
        <v>58.195005555009992</v>
      </c>
      <c r="AI9" s="17">
        <v>3.6624794596155956</v>
      </c>
      <c r="AJ9" s="17">
        <v>5.8545523713688395E-2</v>
      </c>
      <c r="AK9" s="17">
        <v>17.640830559462518</v>
      </c>
      <c r="AL9" s="17">
        <v>2.5088043217208058E-2</v>
      </c>
      <c r="AM9" s="17">
        <v>4.9523073075000745</v>
      </c>
      <c r="AN9" s="17">
        <v>1.0674988038818158</v>
      </c>
      <c r="AO9" s="17">
        <v>3.9293098809722966E-3</v>
      </c>
      <c r="AP9" s="17">
        <v>0.12504904468081543</v>
      </c>
      <c r="AQ9" s="17">
        <v>0.17935317484160002</v>
      </c>
      <c r="AR9" s="17">
        <v>80.424014767409915</v>
      </c>
      <c r="AS9" s="17">
        <v>1.1189079897674308</v>
      </c>
    </row>
    <row r="10" spans="1:45" ht="15.5">
      <c r="A10" s="8" t="s">
        <v>22</v>
      </c>
      <c r="B10" s="7"/>
      <c r="C10" s="14" t="s">
        <v>23</v>
      </c>
      <c r="D10" s="15" t="s">
        <v>119</v>
      </c>
      <c r="E10" s="15"/>
      <c r="F10" s="15">
        <v>10</v>
      </c>
      <c r="G10" s="19">
        <v>493310.06739952386</v>
      </c>
      <c r="H10" s="19">
        <v>13.966952996583302</v>
      </c>
      <c r="I10" s="19">
        <v>504745.77458079276</v>
      </c>
      <c r="J10" s="19">
        <v>56.580346597421794</v>
      </c>
      <c r="K10" s="19">
        <v>290.29099873132418</v>
      </c>
      <c r="L10" s="19">
        <v>170.18359869375479</v>
      </c>
      <c r="M10" s="19">
        <v>1.7527405862877004</v>
      </c>
      <c r="N10" s="19">
        <v>46.74524961652412</v>
      </c>
      <c r="O10" s="19">
        <v>5.2823572655561435</v>
      </c>
      <c r="P10" s="19">
        <v>0.36451177919312838</v>
      </c>
      <c r="Q10" s="19">
        <v>11.066036378557342</v>
      </c>
      <c r="R10" s="19">
        <f>0.5*0.231</f>
        <v>0.11550000000000001</v>
      </c>
      <c r="S10" s="19">
        <v>1.6526213501179683</v>
      </c>
      <c r="T10" s="19">
        <f>0.5*0.873</f>
        <v>0.4365</v>
      </c>
      <c r="U10" s="19">
        <f>0.5*0.039</f>
        <v>1.95E-2</v>
      </c>
      <c r="V10" s="19">
        <f>0.5*0.023</f>
        <v>1.15E-2</v>
      </c>
      <c r="W10" s="19">
        <v>0.16103013092034202</v>
      </c>
      <c r="X10" s="19">
        <v>35.614267987681274</v>
      </c>
      <c r="Y10" s="19">
        <v>29.754532110886544</v>
      </c>
      <c r="Z10" s="19">
        <v>31.681671069074127</v>
      </c>
      <c r="AA10" s="19">
        <v>0.3417252274396656</v>
      </c>
      <c r="AC10" s="17">
        <v>5.6359788136777551</v>
      </c>
      <c r="AD10" s="17">
        <v>124.89872845824715</v>
      </c>
      <c r="AE10" s="17">
        <v>133.26138795321145</v>
      </c>
      <c r="AF10" s="17">
        <v>41.8526769572617</v>
      </c>
      <c r="AG10" s="17">
        <v>0.34205283443664358</v>
      </c>
      <c r="AH10" s="17">
        <v>40.146380960714787</v>
      </c>
      <c r="AI10" s="17">
        <v>5.1639987967472667</v>
      </c>
      <c r="AJ10" s="17">
        <v>8.7656874587696193E-2</v>
      </c>
      <c r="AK10" s="17">
        <v>7.7577004086728145</v>
      </c>
      <c r="AL10" s="17">
        <v>4.257935569802887E-2</v>
      </c>
      <c r="AM10" s="17">
        <v>1.9134341867839999</v>
      </c>
      <c r="AN10" s="17">
        <v>0.94683064607947676</v>
      </c>
      <c r="AO10" s="17">
        <v>1.0619670858498676E-2</v>
      </c>
      <c r="AP10" s="17">
        <v>1.5437860796950909E-2</v>
      </c>
      <c r="AQ10" s="17">
        <v>6.9026609230223218E-2</v>
      </c>
      <c r="AR10" s="17">
        <v>47.030680113052732</v>
      </c>
      <c r="AS10" s="17">
        <v>0.4070678127576639</v>
      </c>
    </row>
    <row r="11" spans="1:45" ht="15.5">
      <c r="A11" s="8" t="s">
        <v>22</v>
      </c>
      <c r="B11" s="7"/>
      <c r="C11" s="13" t="s">
        <v>43</v>
      </c>
      <c r="D11" s="15">
        <v>176898</v>
      </c>
      <c r="E11" s="15">
        <f>MEDIAN(K11:K19)</f>
        <v>33.159342247702575</v>
      </c>
      <c r="F11" s="15">
        <v>1</v>
      </c>
      <c r="G11" s="19">
        <v>491051.07157155202</v>
      </c>
      <c r="H11" s="19">
        <v>19.726305284753415</v>
      </c>
      <c r="I11" s="19">
        <v>504159.95269403065</v>
      </c>
      <c r="J11" s="19">
        <v>4.6196512615881407</v>
      </c>
      <c r="K11" s="19">
        <v>48.035263470966584</v>
      </c>
      <c r="L11" s="19">
        <v>409.86088500879032</v>
      </c>
      <c r="M11" s="19">
        <v>4.852990992700267</v>
      </c>
      <c r="N11" s="19">
        <v>790.46009897235899</v>
      </c>
      <c r="O11" s="19">
        <v>8.8969776682588453</v>
      </c>
      <c r="P11" s="19">
        <v>1.0287526434728314</v>
      </c>
      <c r="Q11" s="19">
        <v>2.5516144838800523</v>
      </c>
      <c r="R11" s="19">
        <v>0.25016745809051599</v>
      </c>
      <c r="S11" s="19">
        <v>36.347109142005479</v>
      </c>
      <c r="T11" s="19">
        <v>2.3675918607018076</v>
      </c>
      <c r="U11" s="19">
        <f>0.5*0.032</f>
        <v>1.6E-2</v>
      </c>
      <c r="V11" s="19">
        <v>9.8682997187286237E-2</v>
      </c>
      <c r="W11" s="19">
        <v>3.221351577988937</v>
      </c>
      <c r="X11" s="19">
        <v>111.86840026006286</v>
      </c>
      <c r="Y11" s="19">
        <v>127.16999764595704</v>
      </c>
      <c r="Z11" s="19">
        <v>118.50925338928994</v>
      </c>
      <c r="AA11" s="19">
        <v>3.0888096169685113</v>
      </c>
      <c r="AC11" s="18">
        <v>4.0293104527324228</v>
      </c>
      <c r="AD11" s="18">
        <v>0.67913482223736121</v>
      </c>
      <c r="AE11" s="18">
        <v>6.3728232036813353</v>
      </c>
      <c r="AF11" s="18">
        <v>40.343891056613039</v>
      </c>
      <c r="AG11" s="18">
        <v>0.39114486503194468</v>
      </c>
      <c r="AH11" s="18">
        <v>103.14165373619986</v>
      </c>
      <c r="AI11" s="18">
        <v>1.3297209366760148</v>
      </c>
      <c r="AJ11" s="18">
        <v>8.0370964327153543E-2</v>
      </c>
      <c r="AK11" s="18">
        <v>0.25464190608293857</v>
      </c>
      <c r="AL11" s="18">
        <v>0.19824572191197479</v>
      </c>
      <c r="AM11" s="18">
        <v>5.1413109832255612</v>
      </c>
      <c r="AN11" s="18">
        <v>0.94853788327865374</v>
      </c>
      <c r="AO11" s="18">
        <v>3.7602499041041824E-3</v>
      </c>
      <c r="AP11" s="18">
        <v>3.9645504386090387E-2</v>
      </c>
      <c r="AQ11" s="18">
        <v>0.89825416292840832</v>
      </c>
      <c r="AR11" s="18">
        <v>13.992341028625745</v>
      </c>
      <c r="AS11" s="18">
        <v>0.4302786509050876</v>
      </c>
    </row>
    <row r="12" spans="1:45" ht="15.5">
      <c r="A12" s="8" t="s">
        <v>22</v>
      </c>
      <c r="B12" s="7"/>
      <c r="C12" s="13" t="s">
        <v>44</v>
      </c>
      <c r="D12" s="15">
        <v>176898</v>
      </c>
      <c r="E12" s="15"/>
      <c r="F12" s="15">
        <v>2</v>
      </c>
      <c r="G12" s="19">
        <v>500964.08424706972</v>
      </c>
      <c r="H12" s="19">
        <v>5.6468026348325582</v>
      </c>
      <c r="I12" s="19">
        <v>496545.84456438484</v>
      </c>
      <c r="J12" s="19">
        <v>1.5954512226213391</v>
      </c>
      <c r="K12" s="19">
        <v>12.76311769246988</v>
      </c>
      <c r="L12" s="19">
        <v>152.91866287181759</v>
      </c>
      <c r="M12" s="19">
        <v>4.4214262231649553</v>
      </c>
      <c r="N12" s="19">
        <v>187.39409647756287</v>
      </c>
      <c r="O12" s="19">
        <v>2.6494927924177185</v>
      </c>
      <c r="P12" s="19">
        <v>0.67350452772154235</v>
      </c>
      <c r="Q12" s="19">
        <v>0.95245257465919453</v>
      </c>
      <c r="R12" s="19">
        <f>0.5*0.182</f>
        <v>9.0999999999999998E-2</v>
      </c>
      <c r="S12" s="19">
        <v>11.854429412925121</v>
      </c>
      <c r="T12" s="19">
        <v>1.5470555998994948</v>
      </c>
      <c r="U12" s="19">
        <f>0.5*0.032</f>
        <v>1.6E-2</v>
      </c>
      <c r="V12" s="19">
        <v>2.9264598737582831E-2</v>
      </c>
      <c r="W12" s="19">
        <v>0.34847904682857189</v>
      </c>
      <c r="X12" s="19">
        <v>64.288505041983399</v>
      </c>
      <c r="Y12" s="19">
        <v>72.607725338798843</v>
      </c>
      <c r="Z12" s="19">
        <v>68.821695740924298</v>
      </c>
      <c r="AA12" s="19">
        <v>1.1385099683119986</v>
      </c>
      <c r="AC12" s="18">
        <v>1.8807554423734758</v>
      </c>
      <c r="AD12" s="18">
        <v>0.13904553470270181</v>
      </c>
      <c r="AE12" s="18">
        <v>1.2955509892720531</v>
      </c>
      <c r="AF12" s="18">
        <v>8.9469625415772605</v>
      </c>
      <c r="AG12" s="18">
        <v>1.1052908125650698</v>
      </c>
      <c r="AH12" s="18">
        <v>15.567394667704656</v>
      </c>
      <c r="AI12" s="18">
        <v>0.55072214244468831</v>
      </c>
      <c r="AJ12" s="18">
        <v>0.14261078314836143</v>
      </c>
      <c r="AK12" s="18">
        <v>0.23656966570354437</v>
      </c>
      <c r="AL12" s="18">
        <v>0.13975737747074565</v>
      </c>
      <c r="AM12" s="18">
        <v>1.3163933281957783</v>
      </c>
      <c r="AN12" s="18">
        <v>0.23591248831549405</v>
      </c>
      <c r="AO12" s="18">
        <v>3.8175047327508775E-3</v>
      </c>
      <c r="AP12" s="18">
        <v>1.1752810593602161E-2</v>
      </c>
      <c r="AQ12" s="18">
        <v>6.0166075300541043E-2</v>
      </c>
      <c r="AR12" s="18">
        <v>13.076850991419095</v>
      </c>
      <c r="AS12" s="18">
        <v>0.25875900715191574</v>
      </c>
    </row>
    <row r="13" spans="1:45" ht="15.5">
      <c r="A13" s="8" t="s">
        <v>22</v>
      </c>
      <c r="B13" s="7"/>
      <c r="C13" s="13" t="s">
        <v>45</v>
      </c>
      <c r="D13" s="15">
        <v>176898</v>
      </c>
      <c r="E13" s="15"/>
      <c r="F13" s="15">
        <v>3</v>
      </c>
      <c r="G13" s="19">
        <v>508962.12520878785</v>
      </c>
      <c r="H13" s="19">
        <v>23.70529290169145</v>
      </c>
      <c r="I13" s="19">
        <v>409699.67348147288</v>
      </c>
      <c r="J13" s="19">
        <v>17.544389140802878</v>
      </c>
      <c r="K13" s="19">
        <v>35.879988351193759</v>
      </c>
      <c r="L13" s="19">
        <v>173.23790314650347</v>
      </c>
      <c r="M13" s="19">
        <v>13.177213703383558</v>
      </c>
      <c r="N13" s="19">
        <v>538.31112781300249</v>
      </c>
      <c r="O13" s="19">
        <v>2.593916220171284</v>
      </c>
      <c r="P13" s="19">
        <f>0.5*0.085</f>
        <v>4.2500000000000003E-2</v>
      </c>
      <c r="Q13" s="19">
        <v>0.90996062180206749</v>
      </c>
      <c r="R13" s="19">
        <f>0.5*0.226</f>
        <v>0.113</v>
      </c>
      <c r="S13" s="19">
        <v>30.607428367948067</v>
      </c>
      <c r="T13" s="19">
        <f>0.5*0.928</f>
        <v>0.46400000000000002</v>
      </c>
      <c r="U13" s="19">
        <f>0.5*0.039</f>
        <v>1.95E-2</v>
      </c>
      <c r="V13" s="19">
        <v>0.1403367040748259</v>
      </c>
      <c r="W13" s="19">
        <v>1.5402573672728155</v>
      </c>
      <c r="X13" s="19">
        <v>161.85387364739574</v>
      </c>
      <c r="Y13" s="19">
        <v>197.17472565399993</v>
      </c>
      <c r="Z13" s="19">
        <v>175.42830659564464</v>
      </c>
      <c r="AA13" s="19">
        <v>2.188008104023504</v>
      </c>
      <c r="AC13" s="18">
        <v>59.062220364822082</v>
      </c>
      <c r="AD13" s="18">
        <v>6.5760024782000013</v>
      </c>
      <c r="AE13" s="18">
        <v>5.3109015087562783</v>
      </c>
      <c r="AF13" s="18">
        <v>28.848957600625685</v>
      </c>
      <c r="AG13" s="18">
        <v>2.5869134356978334</v>
      </c>
      <c r="AH13" s="18">
        <v>58.301902903597401</v>
      </c>
      <c r="AI13" s="18">
        <v>1.5742435821314564</v>
      </c>
      <c r="AJ13" s="18">
        <v>0.26157299844330828</v>
      </c>
      <c r="AK13" s="18">
        <v>0.17715209140436278</v>
      </c>
      <c r="AL13" s="18">
        <v>0.12149505836932724</v>
      </c>
      <c r="AM13" s="18">
        <v>3.8110037190068642</v>
      </c>
      <c r="AN13" s="18">
        <v>0.80044253315069058</v>
      </c>
      <c r="AO13" s="18">
        <v>3.4263845602686572E-3</v>
      </c>
      <c r="AP13" s="18">
        <v>2.7999573055521022E-2</v>
      </c>
      <c r="AQ13" s="18">
        <v>8.2824209147552882E-2</v>
      </c>
      <c r="AR13" s="18">
        <v>8.9056568387297634</v>
      </c>
      <c r="AS13" s="18">
        <v>0.44271932979688478</v>
      </c>
    </row>
    <row r="14" spans="1:45" ht="15.5">
      <c r="A14" s="8" t="s">
        <v>22</v>
      </c>
      <c r="B14" s="7"/>
      <c r="C14" s="13" t="s">
        <v>46</v>
      </c>
      <c r="D14" s="15">
        <v>176898</v>
      </c>
      <c r="E14" s="15"/>
      <c r="F14" s="15">
        <v>4</v>
      </c>
      <c r="G14" s="19">
        <v>504806.97818389343</v>
      </c>
      <c r="H14" s="19">
        <v>20.02440098378128</v>
      </c>
      <c r="I14" s="19">
        <v>490928.62792411656</v>
      </c>
      <c r="J14" s="19">
        <v>3.874798372661461</v>
      </c>
      <c r="K14" s="19">
        <v>23.225313452916545</v>
      </c>
      <c r="L14" s="19">
        <v>275.70103165741773</v>
      </c>
      <c r="M14" s="19">
        <v>6.0906452028675027</v>
      </c>
      <c r="N14" s="19">
        <v>450.88455534518476</v>
      </c>
      <c r="O14" s="19">
        <v>5.8350946541904403</v>
      </c>
      <c r="P14" s="19">
        <v>0.66178995225158421</v>
      </c>
      <c r="Q14" s="19">
        <v>1.5396011556602383</v>
      </c>
      <c r="R14" s="19">
        <f>0.5*0.181</f>
        <v>9.0499999999999997E-2</v>
      </c>
      <c r="S14" s="19">
        <v>34.148300380817119</v>
      </c>
      <c r="T14" s="19">
        <v>2.2454644563283495</v>
      </c>
      <c r="U14" s="19">
        <f>0.5*0.031</f>
        <v>1.55E-2</v>
      </c>
      <c r="V14" s="19">
        <v>6.4407949149340393E-2</v>
      </c>
      <c r="W14" s="19">
        <v>0.9335348333492326</v>
      </c>
      <c r="X14" s="19">
        <v>146.29260179149037</v>
      </c>
      <c r="Y14" s="19">
        <v>150.2796517137443</v>
      </c>
      <c r="Z14" s="19">
        <v>147.74008813084825</v>
      </c>
      <c r="AA14" s="19">
        <v>2.2332439369831625</v>
      </c>
      <c r="AC14" s="18">
        <v>2.695014493607232</v>
      </c>
      <c r="AD14" s="18">
        <v>0.62296515679065445</v>
      </c>
      <c r="AE14" s="18">
        <v>4.2834580321974514</v>
      </c>
      <c r="AF14" s="18">
        <v>28.255172064107089</v>
      </c>
      <c r="AG14" s="18">
        <v>1.2094715351585898</v>
      </c>
      <c r="AH14" s="18">
        <v>49.743605744732804</v>
      </c>
      <c r="AI14" s="18">
        <v>1.691026709912173</v>
      </c>
      <c r="AJ14" s="18">
        <v>0.21523112372991271</v>
      </c>
      <c r="AK14" s="18">
        <v>0.18546006261487819</v>
      </c>
      <c r="AL14" s="18">
        <v>7.3243174581120854E-2</v>
      </c>
      <c r="AM14" s="18">
        <v>5.6348481043401666</v>
      </c>
      <c r="AN14" s="18">
        <v>0.84391203952299243</v>
      </c>
      <c r="AO14" s="18">
        <v>3.4708663258859298E-3</v>
      </c>
      <c r="AP14" s="18">
        <v>1.8695173064686304E-2</v>
      </c>
      <c r="AQ14" s="18">
        <v>0.11803666798310367</v>
      </c>
      <c r="AR14" s="18">
        <v>22.173564161099133</v>
      </c>
      <c r="AS14" s="18">
        <v>0.39447327456236103</v>
      </c>
    </row>
    <row r="15" spans="1:45" ht="15.5">
      <c r="A15" s="8" t="s">
        <v>22</v>
      </c>
      <c r="B15" s="7"/>
      <c r="C15" s="13" t="s">
        <v>47</v>
      </c>
      <c r="D15" s="15">
        <v>176898</v>
      </c>
      <c r="E15" s="15"/>
      <c r="F15" s="15">
        <v>5</v>
      </c>
      <c r="G15" s="19">
        <v>501055.50058229861</v>
      </c>
      <c r="H15" s="19">
        <v>22.935705442486718</v>
      </c>
      <c r="I15" s="19">
        <v>492663.98666138639</v>
      </c>
      <c r="J15" s="19">
        <v>4.5592866480039866</v>
      </c>
      <c r="K15" s="19">
        <v>27.538148431272742</v>
      </c>
      <c r="L15" s="19">
        <v>287.71903371546284</v>
      </c>
      <c r="M15" s="19">
        <v>6.9643754064164547</v>
      </c>
      <c r="N15" s="19">
        <v>537.35408149530053</v>
      </c>
      <c r="O15" s="19">
        <v>5.6716549678596575</v>
      </c>
      <c r="P15" s="19">
        <v>0.74040657894400286</v>
      </c>
      <c r="Q15" s="19">
        <v>2.037024528368883</v>
      </c>
      <c r="R15" s="19">
        <v>0.18735323502081236</v>
      </c>
      <c r="S15" s="19">
        <v>43.286317478994107</v>
      </c>
      <c r="T15" s="19">
        <v>2.6037540619345689</v>
      </c>
      <c r="U15" s="19">
        <f>0.5*0.031</f>
        <v>1.55E-2</v>
      </c>
      <c r="V15" s="19">
        <v>8.4644661235130036E-2</v>
      </c>
      <c r="W15" s="19">
        <v>1.0657302419629406</v>
      </c>
      <c r="X15" s="19">
        <v>199.62660842931132</v>
      </c>
      <c r="Y15" s="19">
        <v>219.3664721783889</v>
      </c>
      <c r="Z15" s="19">
        <v>204.18946393278344</v>
      </c>
      <c r="AA15" s="19">
        <v>3.0480218805992108</v>
      </c>
      <c r="AC15" s="18">
        <v>2.9356033937921797</v>
      </c>
      <c r="AD15" s="18">
        <v>0.19189939020214117</v>
      </c>
      <c r="AE15" s="18">
        <v>3.5783217744486135</v>
      </c>
      <c r="AF15" s="18">
        <v>40.883510114551697</v>
      </c>
      <c r="AG15" s="18">
        <v>0.52574072929320093</v>
      </c>
      <c r="AH15" s="18">
        <v>65.079421968627187</v>
      </c>
      <c r="AI15" s="18">
        <v>1.258692470652057</v>
      </c>
      <c r="AJ15" s="18">
        <v>6.7968570952665897E-2</v>
      </c>
      <c r="AK15" s="18">
        <v>0.39627533043846225</v>
      </c>
      <c r="AL15" s="18">
        <v>0.11232549525578947</v>
      </c>
      <c r="AM15" s="18">
        <v>3.2394018030629326</v>
      </c>
      <c r="AN15" s="18">
        <v>0.82576591730069182</v>
      </c>
      <c r="AO15" s="18">
        <v>3.3446671752017606E-3</v>
      </c>
      <c r="AP15" s="18">
        <v>3.2284180498254877E-2</v>
      </c>
      <c r="AQ15" s="18">
        <v>0.2189094101861957</v>
      </c>
      <c r="AR15" s="18">
        <v>27.006715337534867</v>
      </c>
      <c r="AS15" s="18">
        <v>0.58419076747083531</v>
      </c>
    </row>
    <row r="16" spans="1:45" ht="15.5">
      <c r="A16" s="8" t="s">
        <v>22</v>
      </c>
      <c r="B16" s="7"/>
      <c r="C16" s="13" t="s">
        <v>48</v>
      </c>
      <c r="D16" s="15">
        <v>176898</v>
      </c>
      <c r="E16" s="15"/>
      <c r="F16" s="15">
        <v>6</v>
      </c>
      <c r="G16" s="19">
        <v>497265.66414095275</v>
      </c>
      <c r="H16" s="19">
        <v>23.578939425556513</v>
      </c>
      <c r="I16" s="19">
        <v>498620.7612572845</v>
      </c>
      <c r="J16" s="19">
        <v>4.1873368064525138</v>
      </c>
      <c r="K16" s="19">
        <v>29.967588642352787</v>
      </c>
      <c r="L16" s="19">
        <v>297.74325821394331</v>
      </c>
      <c r="M16" s="19">
        <v>6.1080677937401457</v>
      </c>
      <c r="N16" s="19">
        <v>639.18244495540773</v>
      </c>
      <c r="O16" s="19">
        <v>5.354971220441902</v>
      </c>
      <c r="P16" s="19">
        <v>0.65862203894264026</v>
      </c>
      <c r="Q16" s="19">
        <v>1.8934446710300419</v>
      </c>
      <c r="R16" s="19">
        <f>0.5*0.179</f>
        <v>8.9499999999999996E-2</v>
      </c>
      <c r="S16" s="19">
        <v>48.45021581991206</v>
      </c>
      <c r="T16" s="19">
        <v>2.3482112808980773</v>
      </c>
      <c r="U16" s="19">
        <f>0.5*0.03</f>
        <v>1.4999999999999999E-2</v>
      </c>
      <c r="V16" s="19">
        <v>0.11403246604803263</v>
      </c>
      <c r="W16" s="19">
        <v>1.1720983052425391</v>
      </c>
      <c r="X16" s="19">
        <v>199.36200819672169</v>
      </c>
      <c r="Y16" s="19">
        <v>225.05518929970395</v>
      </c>
      <c r="Z16" s="19">
        <v>208.84837938380846</v>
      </c>
      <c r="AA16" s="19">
        <v>2.8233751555869335</v>
      </c>
      <c r="AC16" s="18">
        <v>0.98529493504389742</v>
      </c>
      <c r="AD16" s="18">
        <v>0.35628217581526739</v>
      </c>
      <c r="AE16" s="18">
        <v>3.7940750474452387</v>
      </c>
      <c r="AF16" s="18">
        <v>16.107501950153644</v>
      </c>
      <c r="AG16" s="18">
        <v>0.62977781424518275</v>
      </c>
      <c r="AH16" s="18">
        <v>12.116911740232551</v>
      </c>
      <c r="AI16" s="18">
        <v>0.5943048209527938</v>
      </c>
      <c r="AJ16" s="18">
        <v>0.15126443625929531</v>
      </c>
      <c r="AK16" s="18">
        <v>6.5962688593133395E-2</v>
      </c>
      <c r="AL16" s="18">
        <v>8.8674342624144323E-2</v>
      </c>
      <c r="AM16" s="18">
        <v>3.1137326862633112</v>
      </c>
      <c r="AN16" s="18">
        <v>0.4167623675725507</v>
      </c>
      <c r="AO16" s="18">
        <v>3.0463657646811588E-3</v>
      </c>
      <c r="AP16" s="18">
        <v>2.7715266242723184E-2</v>
      </c>
      <c r="AQ16" s="18">
        <v>0.15718258942308405</v>
      </c>
      <c r="AR16" s="18">
        <v>22.848871378054643</v>
      </c>
      <c r="AS16" s="18">
        <v>0.17983782543556781</v>
      </c>
    </row>
    <row r="17" spans="1:45" ht="15.5">
      <c r="A17" s="8" t="s">
        <v>22</v>
      </c>
      <c r="B17" s="7"/>
      <c r="C17" s="13" t="s">
        <v>49</v>
      </c>
      <c r="D17" s="15">
        <v>176898</v>
      </c>
      <c r="E17" s="15"/>
      <c r="F17" s="15">
        <v>7</v>
      </c>
      <c r="G17" s="19">
        <v>498814.67034977325</v>
      </c>
      <c r="H17" s="19">
        <v>21.292089241467977</v>
      </c>
      <c r="I17" s="19">
        <v>489624.09216400736</v>
      </c>
      <c r="J17" s="19">
        <v>8.4241709816873005</v>
      </c>
      <c r="K17" s="19">
        <v>33.580387716770005</v>
      </c>
      <c r="L17" s="19">
        <v>350.75141780180104</v>
      </c>
      <c r="M17" s="19">
        <v>6.5815947214949624</v>
      </c>
      <c r="N17" s="19">
        <v>759.93833440173864</v>
      </c>
      <c r="O17" s="19">
        <v>7.2788885273434545</v>
      </c>
      <c r="P17" s="19">
        <v>0.919532780784448</v>
      </c>
      <c r="Q17" s="19">
        <v>2.0536429712042654</v>
      </c>
      <c r="R17" s="19">
        <f>0.5*0.184</f>
        <v>9.1999999999999998E-2</v>
      </c>
      <c r="S17" s="19">
        <v>52.326504822320715</v>
      </c>
      <c r="T17" s="19">
        <v>2.5848346515239418</v>
      </c>
      <c r="U17" s="19">
        <f>0.5*0.03</f>
        <v>1.4999999999999999E-2</v>
      </c>
      <c r="V17" s="19">
        <v>0.12751816575584862</v>
      </c>
      <c r="W17" s="19">
        <v>0.99101045590386594</v>
      </c>
      <c r="X17" s="19">
        <v>205.7179912137095</v>
      </c>
      <c r="Y17" s="19">
        <v>225.46458862257779</v>
      </c>
      <c r="Z17" s="19">
        <v>211.13045706283958</v>
      </c>
      <c r="AA17" s="19">
        <v>2.9235359334730999</v>
      </c>
      <c r="AC17" s="18">
        <v>5.0846530755418797</v>
      </c>
      <c r="AD17" s="18">
        <v>1.6488420008906535</v>
      </c>
      <c r="AE17" s="18">
        <v>5.0349385046093191</v>
      </c>
      <c r="AF17" s="18">
        <v>28.002682900511221</v>
      </c>
      <c r="AG17" s="18">
        <v>0.63728487347603524</v>
      </c>
      <c r="AH17" s="18">
        <v>41.733222892537057</v>
      </c>
      <c r="AI17" s="18">
        <v>1.2409263106507438</v>
      </c>
      <c r="AJ17" s="18">
        <v>0.21803078322064226</v>
      </c>
      <c r="AK17" s="18">
        <v>0.1563079143713294</v>
      </c>
      <c r="AL17" s="18">
        <v>0.14768415369859481</v>
      </c>
      <c r="AM17" s="18">
        <v>5.7927940701733887</v>
      </c>
      <c r="AN17" s="18">
        <v>0.33847604443810775</v>
      </c>
      <c r="AO17" s="18">
        <v>2.7157187744024022E-3</v>
      </c>
      <c r="AP17" s="18">
        <v>2.1895011294296943E-2</v>
      </c>
      <c r="AQ17" s="18">
        <v>0.32271006652448264</v>
      </c>
      <c r="AR17" s="18">
        <v>14.991033180857864</v>
      </c>
      <c r="AS17" s="18">
        <v>0.23645852137375123</v>
      </c>
    </row>
    <row r="18" spans="1:45" ht="15.5">
      <c r="A18" s="8" t="s">
        <v>22</v>
      </c>
      <c r="B18" s="7"/>
      <c r="C18" s="13" t="s">
        <v>50</v>
      </c>
      <c r="D18" s="15">
        <v>176898</v>
      </c>
      <c r="E18" s="15"/>
      <c r="F18" s="15">
        <v>8</v>
      </c>
      <c r="G18" s="19">
        <v>499687.36177461926</v>
      </c>
      <c r="H18" s="19">
        <v>30.583310529956179</v>
      </c>
      <c r="I18" s="19">
        <v>493723.61412314611</v>
      </c>
      <c r="J18" s="19">
        <v>11.589407834789917</v>
      </c>
      <c r="K18" s="19">
        <v>33.374755925037078</v>
      </c>
      <c r="L18" s="19">
        <v>345.17929994403653</v>
      </c>
      <c r="M18" s="19">
        <v>7.9336022287470165</v>
      </c>
      <c r="N18" s="19">
        <v>741.52760681722316</v>
      </c>
      <c r="O18" s="19">
        <v>7.6099046726487032</v>
      </c>
      <c r="P18" s="19">
        <v>0.72319303933939683</v>
      </c>
      <c r="Q18" s="19">
        <v>2.0349096612237316</v>
      </c>
      <c r="R18" s="19">
        <v>0.19419283075048821</v>
      </c>
      <c r="S18" s="19">
        <v>49.799669094381784</v>
      </c>
      <c r="T18" s="19">
        <v>2.6371219102881227</v>
      </c>
      <c r="U18" s="19">
        <f>0.5*0.03</f>
        <v>1.4999999999999999E-2</v>
      </c>
      <c r="V18" s="19">
        <v>0.13732784330351777</v>
      </c>
      <c r="W18" s="19">
        <v>1.6066874302024239</v>
      </c>
      <c r="X18" s="19">
        <v>212.83248281162673</v>
      </c>
      <c r="Y18" s="19">
        <v>233.13850297608906</v>
      </c>
      <c r="Z18" s="19">
        <v>221.45201325915593</v>
      </c>
      <c r="AA18" s="19">
        <v>2.7188327353393671</v>
      </c>
      <c r="AC18" s="18">
        <v>6.1339849066701202</v>
      </c>
      <c r="AD18" s="18">
        <v>1.6689614668327537</v>
      </c>
      <c r="AE18" s="18">
        <v>1.5128455879766518</v>
      </c>
      <c r="AF18" s="18">
        <v>50.534091910385968</v>
      </c>
      <c r="AG18" s="18">
        <v>0.98290952445055135</v>
      </c>
      <c r="AH18" s="18">
        <v>49.653318320598849</v>
      </c>
      <c r="AI18" s="18">
        <v>2.1227973938819589</v>
      </c>
      <c r="AJ18" s="18">
        <v>0.21959578397897453</v>
      </c>
      <c r="AK18" s="18">
        <v>0.19593931674760337</v>
      </c>
      <c r="AL18" s="18">
        <v>0.15116399474235884</v>
      </c>
      <c r="AM18" s="18">
        <v>6.1552474627999283</v>
      </c>
      <c r="AN18" s="18">
        <v>0.49295919045999531</v>
      </c>
      <c r="AO18" s="18">
        <v>3.0708943859779473E-3</v>
      </c>
      <c r="AP18" s="18">
        <v>3.4704119710000085E-2</v>
      </c>
      <c r="AQ18" s="18">
        <v>0.14215088250239868</v>
      </c>
      <c r="AR18" s="18">
        <v>29.186133232009134</v>
      </c>
      <c r="AS18" s="18">
        <v>0.34931187486955428</v>
      </c>
    </row>
    <row r="19" spans="1:45" ht="15.5">
      <c r="A19" s="8" t="s">
        <v>22</v>
      </c>
      <c r="B19" s="7"/>
      <c r="C19" s="13" t="s">
        <v>51</v>
      </c>
      <c r="D19" s="15">
        <v>176898</v>
      </c>
      <c r="E19" s="15"/>
      <c r="F19" s="15">
        <v>9</v>
      </c>
      <c r="G19" s="19">
        <v>492007.50736483268</v>
      </c>
      <c r="H19" s="19">
        <v>37.940716927861331</v>
      </c>
      <c r="I19" s="19">
        <v>488434.99946910702</v>
      </c>
      <c r="J19" s="19">
        <v>6.1514990476113258</v>
      </c>
      <c r="K19" s="19">
        <v>33.159342247702575</v>
      </c>
      <c r="L19" s="19">
        <v>335.9699798225389</v>
      </c>
      <c r="M19" s="19">
        <v>7.0150355948531917</v>
      </c>
      <c r="N19" s="19">
        <v>696.69638474834244</v>
      </c>
      <c r="O19" s="19">
        <v>7.1359574357469064</v>
      </c>
      <c r="P19" s="19">
        <v>0.81607692562196243</v>
      </c>
      <c r="Q19" s="19">
        <v>2.0015548197318296</v>
      </c>
      <c r="R19" s="19">
        <v>0.21723104722022391</v>
      </c>
      <c r="S19" s="19">
        <v>49.574522059938666</v>
      </c>
      <c r="T19" s="19">
        <v>3.4182504180552016</v>
      </c>
      <c r="U19" s="19">
        <f>0.5*0.03</f>
        <v>1.4999999999999999E-2</v>
      </c>
      <c r="V19" s="19">
        <v>0.10622197522101635</v>
      </c>
      <c r="W19" s="19">
        <v>0.93952319332768752</v>
      </c>
      <c r="X19" s="19">
        <v>170.80557258579978</v>
      </c>
      <c r="Y19" s="19">
        <v>188.52620644215853</v>
      </c>
      <c r="Z19" s="19">
        <v>180.59922285907794</v>
      </c>
      <c r="AA19" s="19">
        <v>2.5695611652127579</v>
      </c>
      <c r="AC19" s="18">
        <v>4.2970824969704067</v>
      </c>
      <c r="AD19" s="18">
        <v>2.3907776077435274</v>
      </c>
      <c r="AE19" s="18">
        <v>5.4994039507469568</v>
      </c>
      <c r="AF19" s="18">
        <v>31.153994472858233</v>
      </c>
      <c r="AG19" s="18">
        <v>1.142866121412041</v>
      </c>
      <c r="AH19" s="18">
        <v>88.495569995327585</v>
      </c>
      <c r="AI19" s="18">
        <v>1.4468135875647521</v>
      </c>
      <c r="AJ19" s="18">
        <v>0.2689092544484199</v>
      </c>
      <c r="AK19" s="18">
        <v>0.23781753373767256</v>
      </c>
      <c r="AL19" s="18">
        <v>0.11633484283772706</v>
      </c>
      <c r="AM19" s="18">
        <v>4.5621493350970983</v>
      </c>
      <c r="AN19" s="18">
        <v>0.75732227668547092</v>
      </c>
      <c r="AO19" s="18">
        <v>2.0631649344657883E-3</v>
      </c>
      <c r="AP19" s="18">
        <v>1.7092319411033081E-2</v>
      </c>
      <c r="AQ19" s="18">
        <v>0.21648157922723599</v>
      </c>
      <c r="AR19" s="18">
        <v>19.859559942637876</v>
      </c>
      <c r="AS19" s="18">
        <v>0.19475172747595071</v>
      </c>
    </row>
    <row r="20" spans="1:45" ht="15.5">
      <c r="A20" s="8" t="s">
        <v>22</v>
      </c>
      <c r="B20" s="7"/>
      <c r="C20" s="12" t="s">
        <v>52</v>
      </c>
      <c r="D20" s="15" t="s">
        <v>120</v>
      </c>
      <c r="E20" s="15">
        <f>MEDIAN(K20:K27)</f>
        <v>614.44926307219794</v>
      </c>
      <c r="F20" s="15">
        <v>1</v>
      </c>
      <c r="G20" s="19">
        <v>483765.09852074814</v>
      </c>
      <c r="H20" s="19">
        <v>14.89494962922533</v>
      </c>
      <c r="I20" s="19">
        <v>512615.39975138649</v>
      </c>
      <c r="J20" s="19">
        <v>238.77706012194349</v>
      </c>
      <c r="K20" s="19">
        <v>557.95634056897768</v>
      </c>
      <c r="L20" s="19">
        <v>168.9954104429026</v>
      </c>
      <c r="M20" s="19">
        <v>2.6483858154043816</v>
      </c>
      <c r="N20" s="19">
        <v>609.53306740598782</v>
      </c>
      <c r="O20" s="19">
        <v>4.3898783218197153</v>
      </c>
      <c r="P20" s="19">
        <v>2.608605059857426</v>
      </c>
      <c r="Q20" s="19">
        <v>1.8722065812859467</v>
      </c>
      <c r="R20" s="19">
        <v>0.34369779061515965</v>
      </c>
      <c r="S20" s="19">
        <v>75.661736155203386</v>
      </c>
      <c r="T20" s="19">
        <v>3.3337952258714223</v>
      </c>
      <c r="U20" s="19">
        <f>0.5*0.028</f>
        <v>1.4E-2</v>
      </c>
      <c r="V20" s="19">
        <v>0.11852706840589362</v>
      </c>
      <c r="W20" s="19">
        <v>11.470316931075079</v>
      </c>
      <c r="X20" s="19">
        <v>512.24401909775838</v>
      </c>
      <c r="Y20" s="19">
        <v>615.47687973523216</v>
      </c>
      <c r="Z20" s="19">
        <v>532.36866743600785</v>
      </c>
      <c r="AA20" s="19">
        <v>5.746028791652007</v>
      </c>
      <c r="AC20" s="17">
        <v>1.1422512998692158</v>
      </c>
      <c r="AD20" s="17">
        <v>17.783481229067394</v>
      </c>
      <c r="AE20" s="17">
        <v>61.514251992717597</v>
      </c>
      <c r="AF20" s="17">
        <v>12.932848681717957</v>
      </c>
      <c r="AG20" s="17">
        <v>0.88616659621691618</v>
      </c>
      <c r="AH20" s="17">
        <v>70.648615441079414</v>
      </c>
      <c r="AI20" s="17">
        <v>1.6140019517628463</v>
      </c>
      <c r="AJ20" s="17">
        <v>0.18297157373655229</v>
      </c>
      <c r="AK20" s="17">
        <v>0.26705813763298841</v>
      </c>
      <c r="AL20" s="17">
        <v>5.3016901385461314E-2</v>
      </c>
      <c r="AM20" s="17">
        <v>12.619615087258612</v>
      </c>
      <c r="AN20" s="17">
        <v>0.99446489961209983</v>
      </c>
      <c r="AO20" s="17">
        <v>2.9228113640476011E-3</v>
      </c>
      <c r="AP20" s="17">
        <v>7.9303876045700161E-2</v>
      </c>
      <c r="AQ20" s="17">
        <v>0.71093596536072468</v>
      </c>
      <c r="AR20" s="17">
        <v>129.25920726505962</v>
      </c>
      <c r="AS20" s="17">
        <v>1.0078378312240026</v>
      </c>
    </row>
    <row r="21" spans="1:45" ht="15.5">
      <c r="A21" s="8" t="s">
        <v>22</v>
      </c>
      <c r="B21" s="7"/>
      <c r="C21" s="12" t="s">
        <v>53</v>
      </c>
      <c r="D21" s="15" t="s">
        <v>120</v>
      </c>
      <c r="E21" s="15"/>
      <c r="F21" s="15">
        <v>2</v>
      </c>
      <c r="G21" s="19">
        <v>474782.86462584604</v>
      </c>
      <c r="H21" s="19">
        <v>17.529069245064715</v>
      </c>
      <c r="I21" s="19">
        <v>514861.56393355434</v>
      </c>
      <c r="J21" s="19">
        <v>192.93540842348762</v>
      </c>
      <c r="K21" s="19">
        <v>631.97225839788416</v>
      </c>
      <c r="L21" s="19">
        <v>192.16129277018999</v>
      </c>
      <c r="M21" s="19">
        <v>4.8944072966715169</v>
      </c>
      <c r="N21" s="19">
        <v>534.07834125704824</v>
      </c>
      <c r="O21" s="19">
        <v>4.8884272230677004</v>
      </c>
      <c r="P21" s="19">
        <v>1.522008576671142</v>
      </c>
      <c r="Q21" s="19">
        <v>2.6476923539398149</v>
      </c>
      <c r="R21" s="19">
        <v>0.18593922613172098</v>
      </c>
      <c r="S21" s="19">
        <v>90.501275756577783</v>
      </c>
      <c r="T21" s="19">
        <v>5.5465972364388572</v>
      </c>
      <c r="U21" s="19">
        <f>0.5*0.028</f>
        <v>1.4E-2</v>
      </c>
      <c r="V21" s="19">
        <v>8.167923737891794E-2</v>
      </c>
      <c r="W21" s="19">
        <v>5.2317471739246191</v>
      </c>
      <c r="X21" s="19">
        <v>552.93598927387734</v>
      </c>
      <c r="Y21" s="19">
        <v>613.81548567592631</v>
      </c>
      <c r="Z21" s="19">
        <v>595.2446471367723</v>
      </c>
      <c r="AA21" s="19">
        <v>6.429404724849844</v>
      </c>
      <c r="AC21" s="17">
        <v>3.2783385831474763</v>
      </c>
      <c r="AD21" s="17">
        <v>32.183795163766305</v>
      </c>
      <c r="AE21" s="17">
        <v>98.785139234166408</v>
      </c>
      <c r="AF21" s="17">
        <v>25.736925227459515</v>
      </c>
      <c r="AG21" s="17">
        <v>8.5529887380153742</v>
      </c>
      <c r="AH21" s="17">
        <v>96.521675979100479</v>
      </c>
      <c r="AI21" s="17">
        <v>0.84259711766373768</v>
      </c>
      <c r="AJ21" s="17">
        <v>0.65489135854661407</v>
      </c>
      <c r="AK21" s="17">
        <v>0.34812720163133692</v>
      </c>
      <c r="AL21" s="17">
        <v>0.11333161613127651</v>
      </c>
      <c r="AM21" s="17">
        <v>16.420454242698963</v>
      </c>
      <c r="AN21" s="17">
        <v>0.90640507267223602</v>
      </c>
      <c r="AO21" s="17">
        <v>2.9075319589012992E-3</v>
      </c>
      <c r="AP21" s="17">
        <v>4.3448889612010502E-2</v>
      </c>
      <c r="AQ21" s="17">
        <v>0.55449181112614798</v>
      </c>
      <c r="AR21" s="17">
        <v>109.72593007020035</v>
      </c>
      <c r="AS21" s="17">
        <v>1.2912064793535947</v>
      </c>
    </row>
    <row r="22" spans="1:45" ht="15.5">
      <c r="A22" s="8" t="s">
        <v>22</v>
      </c>
      <c r="B22" s="7"/>
      <c r="C22" s="12" t="s">
        <v>54</v>
      </c>
      <c r="D22" s="15" t="s">
        <v>120</v>
      </c>
      <c r="E22" s="15"/>
      <c r="F22" s="15">
        <v>3</v>
      </c>
      <c r="G22" s="19">
        <v>496028.97300124244</v>
      </c>
      <c r="H22" s="19">
        <v>34.933948020202791</v>
      </c>
      <c r="I22" s="19">
        <v>489200.07580084418</v>
      </c>
      <c r="J22" s="19">
        <v>167.01969572120476</v>
      </c>
      <c r="K22" s="19">
        <v>805.96751831603956</v>
      </c>
      <c r="L22" s="19">
        <v>152.11323030563125</v>
      </c>
      <c r="M22" s="19">
        <v>10.917533185249212</v>
      </c>
      <c r="N22" s="19">
        <v>387.3216038111301</v>
      </c>
      <c r="O22" s="19">
        <v>8.324454540598321</v>
      </c>
      <c r="P22" s="19">
        <v>0.56888664360980368</v>
      </c>
      <c r="Q22" s="19">
        <v>2.3061031267266179</v>
      </c>
      <c r="R22" s="19">
        <v>0.22077507817470843</v>
      </c>
      <c r="S22" s="19">
        <v>78.380388894790741</v>
      </c>
      <c r="T22" s="19">
        <v>4.1917492683049566</v>
      </c>
      <c r="U22" s="19">
        <f>0.5*0.03</f>
        <v>1.4999999999999999E-2</v>
      </c>
      <c r="V22" s="19">
        <v>0.25593314064607275</v>
      </c>
      <c r="W22" s="19">
        <v>3.4085995683790635</v>
      </c>
      <c r="X22" s="19">
        <v>500.56682456767498</v>
      </c>
      <c r="Y22" s="19">
        <v>558.53922535596121</v>
      </c>
      <c r="Z22" s="19">
        <v>537.85716570810064</v>
      </c>
      <c r="AA22" s="19">
        <v>4.9340114816533296</v>
      </c>
      <c r="AC22" s="17">
        <v>24.704052738755504</v>
      </c>
      <c r="AD22" s="17">
        <v>11.118770742385935</v>
      </c>
      <c r="AE22" s="17">
        <v>101.3794439890854</v>
      </c>
      <c r="AF22" s="17">
        <v>10.113332451884476</v>
      </c>
      <c r="AG22" s="17">
        <v>19.232994966326174</v>
      </c>
      <c r="AH22" s="17">
        <v>79.554036279327292</v>
      </c>
      <c r="AI22" s="17">
        <v>1.7236415103948091</v>
      </c>
      <c r="AJ22" s="17">
        <v>0.17670437951990281</v>
      </c>
      <c r="AK22" s="17">
        <v>0.23335485460885913</v>
      </c>
      <c r="AL22" s="17">
        <v>0.1668363641487409</v>
      </c>
      <c r="AM22" s="17">
        <v>8.257022054350891</v>
      </c>
      <c r="AN22" s="17">
        <v>0.45941671115130378</v>
      </c>
      <c r="AO22" s="17">
        <v>3.2024473205906085E-3</v>
      </c>
      <c r="AP22" s="17">
        <v>0.20385202622872439</v>
      </c>
      <c r="AQ22" s="17">
        <v>0.22130902267634103</v>
      </c>
      <c r="AR22" s="17">
        <v>95.090949084265958</v>
      </c>
      <c r="AS22" s="17">
        <v>0.51942056614502952</v>
      </c>
    </row>
    <row r="23" spans="1:45" ht="15.5">
      <c r="A23" s="8" t="s">
        <v>22</v>
      </c>
      <c r="B23" s="7"/>
      <c r="C23" s="12" t="s">
        <v>55</v>
      </c>
      <c r="D23" s="15" t="s">
        <v>120</v>
      </c>
      <c r="E23" s="15"/>
      <c r="F23" s="15">
        <v>4</v>
      </c>
      <c r="G23" s="19">
        <v>502735.46216292103</v>
      </c>
      <c r="H23" s="19">
        <v>15.045793943847343</v>
      </c>
      <c r="I23" s="19">
        <v>492716.72566939716</v>
      </c>
      <c r="J23" s="19">
        <v>209.98387802615957</v>
      </c>
      <c r="K23" s="19">
        <v>566.88827412378851</v>
      </c>
      <c r="L23" s="19">
        <v>522.57570187982492</v>
      </c>
      <c r="M23" s="19">
        <v>43.784149423013332</v>
      </c>
      <c r="N23" s="19">
        <v>550.13075116765776</v>
      </c>
      <c r="O23" s="19">
        <v>5.2866112419213174</v>
      </c>
      <c r="P23" s="19">
        <v>1.6346782915016647</v>
      </c>
      <c r="Q23" s="19">
        <v>2.3776838540264631</v>
      </c>
      <c r="R23" s="19">
        <v>0.55278788828288583</v>
      </c>
      <c r="S23" s="19">
        <v>63.985627623144921</v>
      </c>
      <c r="T23" s="19">
        <v>4.3696693437929781</v>
      </c>
      <c r="U23" s="19">
        <f>0.5*0.027</f>
        <v>1.35E-2</v>
      </c>
      <c r="V23" s="19">
        <v>9.2627791130964532E-2</v>
      </c>
      <c r="W23" s="19">
        <v>5.6865727758554456</v>
      </c>
      <c r="X23" s="19">
        <v>352.08438629830471</v>
      </c>
      <c r="Y23" s="19">
        <v>413.5168736269884</v>
      </c>
      <c r="Z23" s="19">
        <v>378.57166224911953</v>
      </c>
      <c r="AA23" s="19">
        <v>4.629879941382903</v>
      </c>
      <c r="AC23" s="17">
        <v>9.194703355167853</v>
      </c>
      <c r="AD23" s="17">
        <v>32.249204548202748</v>
      </c>
      <c r="AE23" s="17">
        <v>70.706716756070051</v>
      </c>
      <c r="AF23" s="17">
        <v>888.48565695167167</v>
      </c>
      <c r="AG23" s="17">
        <v>102.84352240461681</v>
      </c>
      <c r="AH23" s="17">
        <v>114.05577905864014</v>
      </c>
      <c r="AI23" s="17">
        <v>0.81955711264220976</v>
      </c>
      <c r="AJ23" s="17">
        <v>0.39463283435636382</v>
      </c>
      <c r="AK23" s="17">
        <v>0.36019621174456873</v>
      </c>
      <c r="AL23" s="17">
        <v>0.57598572179101726</v>
      </c>
      <c r="AM23" s="17">
        <v>20.089387988405509</v>
      </c>
      <c r="AN23" s="17">
        <v>1.0708827767016755</v>
      </c>
      <c r="AO23" s="17">
        <v>2.6359450882997622E-3</v>
      </c>
      <c r="AP23" s="17">
        <v>6.9380058402905356E-2</v>
      </c>
      <c r="AQ23" s="17">
        <v>0.65803992045591486</v>
      </c>
      <c r="AR23" s="17">
        <v>183.77305009598152</v>
      </c>
      <c r="AS23" s="17">
        <v>1.5606490989898578</v>
      </c>
    </row>
    <row r="24" spans="1:45" ht="15.5">
      <c r="A24" s="8" t="s">
        <v>22</v>
      </c>
      <c r="B24" s="7"/>
      <c r="C24" s="12" t="s">
        <v>56</v>
      </c>
      <c r="D24" s="15" t="s">
        <v>120</v>
      </c>
      <c r="E24" s="15"/>
      <c r="F24" s="15">
        <v>5</v>
      </c>
      <c r="G24" s="19">
        <v>518234.77126076142</v>
      </c>
      <c r="H24" s="19">
        <v>64.710811393022539</v>
      </c>
      <c r="I24" s="19">
        <v>472974.66209947853</v>
      </c>
      <c r="J24" s="19">
        <v>197.31304561827073</v>
      </c>
      <c r="K24" s="19">
        <v>898.98191151136962</v>
      </c>
      <c r="L24" s="19">
        <v>161.29313256493168</v>
      </c>
      <c r="M24" s="19">
        <v>2.5545486007527032</v>
      </c>
      <c r="N24" s="19">
        <v>361.89275280589567</v>
      </c>
      <c r="O24" s="19">
        <v>8.9366865235762987</v>
      </c>
      <c r="P24" s="19">
        <v>0.85651808814699359</v>
      </c>
      <c r="Q24" s="19">
        <v>2.3224425331410323</v>
      </c>
      <c r="R24" s="19">
        <f>0.5*0.229</f>
        <v>0.1145</v>
      </c>
      <c r="S24" s="19">
        <v>78.902232231897315</v>
      </c>
      <c r="T24" s="19">
        <v>3.7057470483838824</v>
      </c>
      <c r="U24" s="19">
        <f>0.5*0.034</f>
        <v>1.7000000000000001E-2</v>
      </c>
      <c r="V24" s="19">
        <f>0.5*0.027</f>
        <v>1.35E-2</v>
      </c>
      <c r="W24" s="19">
        <v>3.6205144875103192</v>
      </c>
      <c r="X24" s="19">
        <v>446.49719469413037</v>
      </c>
      <c r="Y24" s="19">
        <v>589.56174314445161</v>
      </c>
      <c r="Z24" s="19">
        <v>475.6823782849961</v>
      </c>
      <c r="AA24" s="19">
        <v>4.1849182558019837</v>
      </c>
      <c r="AC24" s="17">
        <v>35.45647573374093</v>
      </c>
      <c r="AD24" s="17">
        <v>32.091473429638839</v>
      </c>
      <c r="AE24" s="17">
        <v>74.406321267467561</v>
      </c>
      <c r="AF24" s="17">
        <v>29.333364338781323</v>
      </c>
      <c r="AG24" s="17">
        <v>2.0423508377661919</v>
      </c>
      <c r="AH24" s="17">
        <v>63.425607013004068</v>
      </c>
      <c r="AI24" s="17">
        <v>2.7769171488354414</v>
      </c>
      <c r="AJ24" s="17">
        <v>0.2187643904646685</v>
      </c>
      <c r="AK24" s="17">
        <v>0.45531739313820768</v>
      </c>
      <c r="AL24" s="17">
        <v>8.0644422286199335E-2</v>
      </c>
      <c r="AM24" s="17">
        <v>2.6246108472707084</v>
      </c>
      <c r="AN24" s="17">
        <v>0.87362812501074016</v>
      </c>
      <c r="AO24" s="17">
        <v>9.6597256180528529E-3</v>
      </c>
      <c r="AP24" s="17">
        <v>5.2115012149920932E-2</v>
      </c>
      <c r="AQ24" s="17">
        <v>0.47205245009353047</v>
      </c>
      <c r="AR24" s="17">
        <v>56.542380068411475</v>
      </c>
      <c r="AS24" s="17">
        <v>0.5507095422885121</v>
      </c>
    </row>
    <row r="25" spans="1:45" ht="15.5">
      <c r="A25" s="8" t="s">
        <v>22</v>
      </c>
      <c r="B25" s="7"/>
      <c r="C25" s="12" t="s">
        <v>57</v>
      </c>
      <c r="D25" s="15" t="s">
        <v>120</v>
      </c>
      <c r="E25" s="15"/>
      <c r="F25" s="15">
        <v>6</v>
      </c>
      <c r="G25" s="19">
        <v>512327.9664569326</v>
      </c>
      <c r="H25" s="19">
        <v>24.904620844411511</v>
      </c>
      <c r="I25" s="19">
        <v>468811.56953787577</v>
      </c>
      <c r="J25" s="19">
        <v>207.55979915729114</v>
      </c>
      <c r="K25" s="19">
        <v>596.92626774651183</v>
      </c>
      <c r="L25" s="19">
        <v>132.22355496094372</v>
      </c>
      <c r="M25" s="19">
        <v>52.690143408682502</v>
      </c>
      <c r="N25" s="19">
        <v>388.67028598010347</v>
      </c>
      <c r="O25" s="19">
        <v>9.4963476994718263</v>
      </c>
      <c r="P25" s="19">
        <v>1.346691670754447</v>
      </c>
      <c r="Q25" s="19">
        <v>1.4270188146336662</v>
      </c>
      <c r="R25" s="19">
        <v>0.36915108310604339</v>
      </c>
      <c r="S25" s="19">
        <v>56.159383950166443</v>
      </c>
      <c r="T25" s="19">
        <v>2.8996236146760275</v>
      </c>
      <c r="U25" s="19">
        <f>0.5*0.03</f>
        <v>1.4999999999999999E-2</v>
      </c>
      <c r="V25" s="19">
        <v>5.7628048287162281E-2</v>
      </c>
      <c r="W25" s="19">
        <v>4.2021778202420279</v>
      </c>
      <c r="X25" s="19">
        <v>273.24753919996982</v>
      </c>
      <c r="Y25" s="19">
        <v>310.79620748649648</v>
      </c>
      <c r="Z25" s="19">
        <v>293.5073535868728</v>
      </c>
      <c r="AA25" s="19">
        <v>2.8114136974758956</v>
      </c>
      <c r="AC25" s="17">
        <v>5.6935860420999918</v>
      </c>
      <c r="AD25" s="17">
        <v>35.240072128963831</v>
      </c>
      <c r="AE25" s="17">
        <v>56.141488855619315</v>
      </c>
      <c r="AF25" s="17">
        <v>23.984449177407942</v>
      </c>
      <c r="AG25" s="17">
        <v>40.700093353369049</v>
      </c>
      <c r="AH25" s="17">
        <v>97.338673817316277</v>
      </c>
      <c r="AI25" s="17">
        <v>1.5162468693384004</v>
      </c>
      <c r="AJ25" s="17">
        <v>0.29009414923897492</v>
      </c>
      <c r="AK25" s="17">
        <v>0.15530767201247586</v>
      </c>
      <c r="AL25" s="17">
        <v>0.24706734959197157</v>
      </c>
      <c r="AM25" s="17">
        <v>6.0287033485178227</v>
      </c>
      <c r="AN25" s="17">
        <v>0.52893377121792207</v>
      </c>
      <c r="AO25" s="17">
        <v>3.0894654988149763E-3</v>
      </c>
      <c r="AP25" s="17">
        <v>8.6257957346646041E-2</v>
      </c>
      <c r="AQ25" s="17">
        <v>0.82452257617505953</v>
      </c>
      <c r="AR25" s="17">
        <v>52.133982091351832</v>
      </c>
      <c r="AS25" s="17">
        <v>0.29287314297027717</v>
      </c>
    </row>
    <row r="26" spans="1:45" ht="15.5">
      <c r="A26" s="8" t="s">
        <v>22</v>
      </c>
      <c r="B26" s="7"/>
      <c r="C26" s="12" t="s">
        <v>58</v>
      </c>
      <c r="D26" s="15" t="s">
        <v>120</v>
      </c>
      <c r="E26" s="15"/>
      <c r="F26" s="15">
        <v>7</v>
      </c>
      <c r="G26" s="19">
        <v>513392.08101937233</v>
      </c>
      <c r="H26" s="19">
        <v>12.438476338016102</v>
      </c>
      <c r="I26" s="19">
        <v>477061.96101930359</v>
      </c>
      <c r="J26" s="19">
        <v>171.87265527374581</v>
      </c>
      <c r="K26" s="19">
        <v>698.43756516759095</v>
      </c>
      <c r="L26" s="19">
        <v>284.07288713636854</v>
      </c>
      <c r="M26" s="19">
        <v>523.28906986525362</v>
      </c>
      <c r="N26" s="19">
        <v>341.20257156624155</v>
      </c>
      <c r="O26" s="19">
        <v>10.222433352666442</v>
      </c>
      <c r="P26" s="19">
        <v>1.1597669135751278</v>
      </c>
      <c r="Q26" s="19">
        <v>1.5170920676893496</v>
      </c>
      <c r="R26" s="19">
        <v>2.9745328652677685</v>
      </c>
      <c r="S26" s="19">
        <v>45.192559530798263</v>
      </c>
      <c r="T26" s="19">
        <v>2.0937099161828567</v>
      </c>
      <c r="U26" s="19">
        <f>0.5*0.029</f>
        <v>1.4500000000000001E-2</v>
      </c>
      <c r="V26" s="19">
        <v>0.24124584901745116</v>
      </c>
      <c r="W26" s="19">
        <v>3.131052890170583</v>
      </c>
      <c r="X26" s="19">
        <v>230.877568820242</v>
      </c>
      <c r="Y26" s="19">
        <v>270.64934794169494</v>
      </c>
      <c r="Z26" s="19">
        <v>239.17018889237352</v>
      </c>
      <c r="AA26" s="19">
        <v>2.2334495532512695</v>
      </c>
      <c r="AC26" s="17">
        <v>6.5942972585590036</v>
      </c>
      <c r="AD26" s="17">
        <v>32.27136048485675</v>
      </c>
      <c r="AE26" s="17">
        <v>163.06432293505708</v>
      </c>
      <c r="AF26" s="17">
        <v>202.90242547357843</v>
      </c>
      <c r="AG26" s="17">
        <v>481.63624953226844</v>
      </c>
      <c r="AH26" s="17">
        <v>85.291024536269106</v>
      </c>
      <c r="AI26" s="17">
        <v>4.750738795335816</v>
      </c>
      <c r="AJ26" s="17">
        <v>0.48373620195741618</v>
      </c>
      <c r="AK26" s="17">
        <v>0.28844187640708308</v>
      </c>
      <c r="AL26" s="17">
        <v>2.6600225380437359</v>
      </c>
      <c r="AM26" s="17">
        <v>9.2076105458258475</v>
      </c>
      <c r="AN26" s="17">
        <v>0.60381344226455391</v>
      </c>
      <c r="AO26" s="17">
        <v>3.0735250764643224E-3</v>
      </c>
      <c r="AP26" s="17">
        <v>0.22850726537347582</v>
      </c>
      <c r="AQ26" s="17">
        <v>0.50498621826549495</v>
      </c>
      <c r="AR26" s="17">
        <v>76.702854231910763</v>
      </c>
      <c r="AS26" s="17">
        <v>0.41321646646759802</v>
      </c>
    </row>
    <row r="27" spans="1:45" ht="15.5">
      <c r="A27" s="8" t="s">
        <v>22</v>
      </c>
      <c r="B27" s="7"/>
      <c r="C27" s="12" t="s">
        <v>59</v>
      </c>
      <c r="D27" s="15" t="s">
        <v>120</v>
      </c>
      <c r="E27" s="15"/>
      <c r="F27" s="15">
        <v>8</v>
      </c>
      <c r="G27" s="19">
        <v>510415.54600755806</v>
      </c>
      <c r="H27" s="19">
        <v>41.841621353166019</v>
      </c>
      <c r="I27" s="19">
        <v>464316.61521724903</v>
      </c>
      <c r="J27" s="19">
        <v>260.30591430765332</v>
      </c>
      <c r="K27" s="19">
        <v>425.49903488190665</v>
      </c>
      <c r="L27" s="19">
        <v>86.45640301424902</v>
      </c>
      <c r="M27" s="19">
        <v>650.81628546007232</v>
      </c>
      <c r="N27" s="19">
        <v>284.37567054369856</v>
      </c>
      <c r="O27" s="19">
        <v>9.9009213538876946</v>
      </c>
      <c r="P27" s="19">
        <v>1.9735940564879615</v>
      </c>
      <c r="Q27" s="19">
        <v>1.0977465314903707</v>
      </c>
      <c r="R27" s="19">
        <v>2.924656803218733</v>
      </c>
      <c r="S27" s="19">
        <v>41.711974298784455</v>
      </c>
      <c r="T27" s="19">
        <v>1.9577159796030728</v>
      </c>
      <c r="U27" s="19">
        <f>0.5*0.031</f>
        <v>1.55E-2</v>
      </c>
      <c r="V27" s="19">
        <v>0.13934027375318436</v>
      </c>
      <c r="W27" s="19">
        <v>4.2291615508394607</v>
      </c>
      <c r="X27" s="19">
        <v>240.1654153049758</v>
      </c>
      <c r="Y27" s="19">
        <v>278.188385224341</v>
      </c>
      <c r="Z27" s="19">
        <v>255.67284301424604</v>
      </c>
      <c r="AA27" s="19">
        <v>2.1755129761651855</v>
      </c>
      <c r="AC27" s="17">
        <v>29.866211470677463</v>
      </c>
      <c r="AD27" s="17">
        <v>19.487732406947124</v>
      </c>
      <c r="AE27" s="17">
        <v>31.478969645591413</v>
      </c>
      <c r="AF27" s="17">
        <v>28.038673428173052</v>
      </c>
      <c r="AG27" s="17">
        <v>605.831080879002</v>
      </c>
      <c r="AH27" s="17">
        <v>71.071546794374598</v>
      </c>
      <c r="AI27" s="17">
        <v>1.934009083518758</v>
      </c>
      <c r="AJ27" s="17">
        <v>0.47544864420367039</v>
      </c>
      <c r="AK27" s="17">
        <v>0.41117007644130621</v>
      </c>
      <c r="AL27" s="17">
        <v>2.4192025204266998</v>
      </c>
      <c r="AM27" s="17">
        <v>9.2398948819164062</v>
      </c>
      <c r="AN27" s="17">
        <v>0.5395882183558065</v>
      </c>
      <c r="AO27" s="17">
        <v>3.2827320466666918E-3</v>
      </c>
      <c r="AP27" s="17">
        <v>8.0722552008186996E-2</v>
      </c>
      <c r="AQ27" s="17">
        <v>0.65532018517446478</v>
      </c>
      <c r="AR27" s="17">
        <v>59.939108517001792</v>
      </c>
      <c r="AS27" s="17">
        <v>0.65511573065485795</v>
      </c>
    </row>
    <row r="28" spans="1:45" ht="15.5">
      <c r="A28" s="8" t="s">
        <v>22</v>
      </c>
      <c r="B28" s="7"/>
      <c r="C28" s="11" t="s">
        <v>60</v>
      </c>
      <c r="D28" s="15" t="s">
        <v>121</v>
      </c>
      <c r="E28" s="15">
        <f>MEDIAN(K28:K32)</f>
        <v>499.138958780336</v>
      </c>
      <c r="F28" s="15">
        <v>1</v>
      </c>
      <c r="G28" s="19">
        <v>492180.57404462661</v>
      </c>
      <c r="H28" s="19">
        <v>8.5458003046925981</v>
      </c>
      <c r="I28" s="19">
        <v>504503.55010003026</v>
      </c>
      <c r="J28" s="19">
        <v>240.46052378387162</v>
      </c>
      <c r="K28" s="19">
        <v>641.97549548711015</v>
      </c>
      <c r="L28" s="19">
        <v>220.04710852011218</v>
      </c>
      <c r="M28" s="19">
        <v>21.264243507854871</v>
      </c>
      <c r="N28" s="19">
        <v>259.14181697158597</v>
      </c>
      <c r="O28" s="19">
        <v>8.3125872600727604</v>
      </c>
      <c r="P28" s="19">
        <v>1.7273765215603838</v>
      </c>
      <c r="Q28" s="19">
        <v>6.4516991458855157</v>
      </c>
      <c r="R28" s="19">
        <v>0.23333850196282979</v>
      </c>
      <c r="S28" s="19">
        <v>44.02131710313104</v>
      </c>
      <c r="T28" s="19">
        <v>12.183687128491551</v>
      </c>
      <c r="U28" s="19">
        <f>0.5*0.026</f>
        <v>1.2999999999999999E-2</v>
      </c>
      <c r="V28" s="19">
        <v>0.10416304270835539</v>
      </c>
      <c r="W28" s="19">
        <v>6.640197617004393</v>
      </c>
      <c r="X28" s="19">
        <v>196.77091169757625</v>
      </c>
      <c r="Y28" s="19">
        <v>230.20084445902071</v>
      </c>
      <c r="Z28" s="19">
        <v>220.98623237905593</v>
      </c>
      <c r="AA28" s="19">
        <v>5.2907588683369191</v>
      </c>
      <c r="AC28" s="17">
        <v>2.8429343993454346</v>
      </c>
      <c r="AD28" s="17">
        <v>51.668081409084301</v>
      </c>
      <c r="AE28" s="17">
        <v>168.347779669207</v>
      </c>
      <c r="AF28" s="17">
        <v>16.862498440761367</v>
      </c>
      <c r="AG28" s="17">
        <v>13.690921646801607</v>
      </c>
      <c r="AH28" s="17">
        <v>62.95095354826659</v>
      </c>
      <c r="AI28" s="17">
        <v>2.1266353557107851</v>
      </c>
      <c r="AJ28" s="17">
        <v>1.1040773903562682</v>
      </c>
      <c r="AK28" s="17">
        <v>1.2870104232372985</v>
      </c>
      <c r="AL28" s="17">
        <v>0.12408800462656604</v>
      </c>
      <c r="AM28" s="17">
        <v>11.719542596180718</v>
      </c>
      <c r="AN28" s="17">
        <v>2.5845622978345717</v>
      </c>
      <c r="AO28" s="17">
        <v>1.5351792926923053E-3</v>
      </c>
      <c r="AP28" s="17">
        <v>6.1618286103184525E-2</v>
      </c>
      <c r="AQ28" s="17">
        <v>3.6400735448298991</v>
      </c>
      <c r="AR28" s="17">
        <v>43.019628818817964</v>
      </c>
      <c r="AS28" s="17">
        <v>1.2139879468532839</v>
      </c>
    </row>
    <row r="29" spans="1:45" ht="15.5">
      <c r="A29" s="8" t="s">
        <v>22</v>
      </c>
      <c r="B29" s="7"/>
      <c r="C29" s="11" t="s">
        <v>61</v>
      </c>
      <c r="D29" s="15" t="s">
        <v>121</v>
      </c>
      <c r="E29" s="15"/>
      <c r="F29" s="15">
        <v>2</v>
      </c>
      <c r="G29" s="19">
        <v>502914.83333728218</v>
      </c>
      <c r="H29" s="19">
        <v>6.6608621741145093</v>
      </c>
      <c r="I29" s="19">
        <v>494661.49693425611</v>
      </c>
      <c r="J29" s="19">
        <v>122.32864432133761</v>
      </c>
      <c r="K29" s="19">
        <v>368.70749011339649</v>
      </c>
      <c r="L29" s="19">
        <v>155.05774041911928</v>
      </c>
      <c r="M29" s="19">
        <v>117.88436069282739</v>
      </c>
      <c r="N29" s="19">
        <v>184.93327983843915</v>
      </c>
      <c r="O29" s="19">
        <v>6.1093943591513913</v>
      </c>
      <c r="P29" s="19">
        <v>2.5464663346548129</v>
      </c>
      <c r="Q29" s="19">
        <v>4.0900803162078319</v>
      </c>
      <c r="R29" s="19">
        <v>0.6499678239955422</v>
      </c>
      <c r="S29" s="19">
        <v>30.219800381109508</v>
      </c>
      <c r="T29" s="19">
        <v>7.8485901411721528</v>
      </c>
      <c r="U29" s="19">
        <f>0.5*0.027</f>
        <v>1.35E-2</v>
      </c>
      <c r="V29" s="19">
        <v>8.2659043888571926E-2</v>
      </c>
      <c r="W29" s="19">
        <v>4.5455795115794757</v>
      </c>
      <c r="X29" s="19">
        <v>157.22468217596258</v>
      </c>
      <c r="Y29" s="19">
        <v>177.91358602268883</v>
      </c>
      <c r="Z29" s="19">
        <v>164.27805978378757</v>
      </c>
      <c r="AA29" s="19">
        <v>3.6066826322692016</v>
      </c>
      <c r="AC29" s="17">
        <v>1.14346345419527</v>
      </c>
      <c r="AD29" s="17">
        <v>54.928193211991605</v>
      </c>
      <c r="AE29" s="17">
        <v>203.4874299943333</v>
      </c>
      <c r="AF29" s="17">
        <v>25.733236654804024</v>
      </c>
      <c r="AG29" s="17">
        <v>91.691479566296465</v>
      </c>
      <c r="AH29" s="17">
        <v>88.046399588188052</v>
      </c>
      <c r="AI29" s="17">
        <v>1.5447732815908255</v>
      </c>
      <c r="AJ29" s="17">
        <v>0.5927449513686518</v>
      </c>
      <c r="AK29" s="17">
        <v>1.3342066822909096</v>
      </c>
      <c r="AL29" s="17">
        <v>0.32989014633606489</v>
      </c>
      <c r="AM29" s="17">
        <v>14.666262736999723</v>
      </c>
      <c r="AN29" s="17">
        <v>3.0862830230775682</v>
      </c>
      <c r="AO29" s="17">
        <v>1.8474206030907956E-3</v>
      </c>
      <c r="AP29" s="17">
        <v>6.3391988003214647E-2</v>
      </c>
      <c r="AQ29" s="17">
        <v>3.6020185653827488</v>
      </c>
      <c r="AR29" s="17">
        <v>60.477720547468742</v>
      </c>
      <c r="AS29" s="17">
        <v>1.4966865636706979</v>
      </c>
    </row>
    <row r="30" spans="1:45" ht="15.5">
      <c r="A30" s="8" t="s">
        <v>22</v>
      </c>
      <c r="B30" s="7"/>
      <c r="C30" s="11" t="s">
        <v>62</v>
      </c>
      <c r="D30" s="15" t="s">
        <v>121</v>
      </c>
      <c r="E30" s="15"/>
      <c r="F30" s="15">
        <v>3</v>
      </c>
      <c r="G30" s="19">
        <v>494823.65779937454</v>
      </c>
      <c r="H30" s="19">
        <v>5.9181457677444627</v>
      </c>
      <c r="I30" s="19">
        <v>500906.94023456366</v>
      </c>
      <c r="J30" s="19">
        <v>163.46730691217203</v>
      </c>
      <c r="K30" s="19">
        <v>499.138958780336</v>
      </c>
      <c r="L30" s="19">
        <v>180.6461226363725</v>
      </c>
      <c r="M30" s="19">
        <v>24.033437183203091</v>
      </c>
      <c r="N30" s="19">
        <v>245.03702785274706</v>
      </c>
      <c r="O30" s="19">
        <v>9.0843921734750772</v>
      </c>
      <c r="P30" s="19">
        <v>4.3644214455938339</v>
      </c>
      <c r="Q30" s="19">
        <v>6.4112314011935112</v>
      </c>
      <c r="R30" s="19">
        <v>0.28094472696210682</v>
      </c>
      <c r="S30" s="19">
        <v>46.051456008309401</v>
      </c>
      <c r="T30" s="19">
        <v>12.292486443270647</v>
      </c>
      <c r="U30" s="19">
        <f>0.5*0.026</f>
        <v>1.2999999999999999E-2</v>
      </c>
      <c r="V30" s="19">
        <v>9.0388970025821913E-2</v>
      </c>
      <c r="W30" s="19">
        <v>8.7945666956018442</v>
      </c>
      <c r="X30" s="19">
        <v>261.59605729934469</v>
      </c>
      <c r="Y30" s="19">
        <v>308.23546525863071</v>
      </c>
      <c r="Z30" s="19">
        <v>287.52854596375437</v>
      </c>
      <c r="AA30" s="19">
        <v>6.3732348550596676</v>
      </c>
      <c r="AC30" s="17">
        <v>3.1290926508786345</v>
      </c>
      <c r="AD30" s="17">
        <v>26.182457478410292</v>
      </c>
      <c r="AE30" s="17">
        <v>89.489666707791088</v>
      </c>
      <c r="AF30" s="17">
        <v>30.898407821825259</v>
      </c>
      <c r="AG30" s="17">
        <v>22.95184603082479</v>
      </c>
      <c r="AH30" s="17">
        <v>7.660396566705308</v>
      </c>
      <c r="AI30" s="17">
        <v>1.1424347038407732</v>
      </c>
      <c r="AJ30" s="17">
        <v>1.5558153985719789</v>
      </c>
      <c r="AK30" s="17">
        <v>1.3844971662568171</v>
      </c>
      <c r="AL30" s="17">
        <v>0.16519904908385488</v>
      </c>
      <c r="AM30" s="17">
        <v>7.915584205991876</v>
      </c>
      <c r="AN30" s="17">
        <v>2.2778800612329193</v>
      </c>
      <c r="AO30" s="17">
        <v>1.7253192543924896E-3</v>
      </c>
      <c r="AP30" s="17">
        <v>3.4235623695631039E-2</v>
      </c>
      <c r="AQ30" s="17">
        <v>3.0180131907419194</v>
      </c>
      <c r="AR30" s="17">
        <v>70.703970770135186</v>
      </c>
      <c r="AS30" s="17">
        <v>1.373069374640207</v>
      </c>
    </row>
    <row r="31" spans="1:45" ht="15.5">
      <c r="A31" s="8" t="s">
        <v>22</v>
      </c>
      <c r="B31" s="7"/>
      <c r="C31" s="11" t="s">
        <v>63</v>
      </c>
      <c r="D31" s="15" t="s">
        <v>121</v>
      </c>
      <c r="E31" s="15"/>
      <c r="F31" s="15">
        <v>4</v>
      </c>
      <c r="G31" s="19">
        <v>496354.57967342506</v>
      </c>
      <c r="H31" s="19">
        <v>10.401288251486378</v>
      </c>
      <c r="I31" s="19">
        <v>501118.44623199472</v>
      </c>
      <c r="J31" s="19">
        <v>178.60971877634663</v>
      </c>
      <c r="K31" s="19">
        <v>551.33407398777103</v>
      </c>
      <c r="L31" s="19">
        <v>150.47184369319598</v>
      </c>
      <c r="M31" s="19">
        <v>11.635402323744785</v>
      </c>
      <c r="N31" s="19">
        <v>236.70494290872844</v>
      </c>
      <c r="O31" s="19">
        <v>7.8628619002246554</v>
      </c>
      <c r="P31" s="19">
        <v>3.0481481977816718</v>
      </c>
      <c r="Q31" s="19">
        <v>4.9413178028632885</v>
      </c>
      <c r="R31" s="19">
        <f>0.5*0.192</f>
        <v>9.6000000000000002E-2</v>
      </c>
      <c r="S31" s="19">
        <v>36.524624145312437</v>
      </c>
      <c r="T31" s="19">
        <v>10.326246594128275</v>
      </c>
      <c r="U31" s="19">
        <f>0.5*0.027</f>
        <v>1.35E-2</v>
      </c>
      <c r="V31" s="19">
        <v>9.8789362633842082E-2</v>
      </c>
      <c r="W31" s="19">
        <v>10.027582749089348</v>
      </c>
      <c r="X31" s="19">
        <v>166.57495607944497</v>
      </c>
      <c r="Y31" s="19">
        <v>191.69776912307589</v>
      </c>
      <c r="Z31" s="19">
        <v>185.03310465015886</v>
      </c>
      <c r="AA31" s="19">
        <v>4.8275059883781424</v>
      </c>
      <c r="AC31" s="17">
        <v>6.7334736895578038</v>
      </c>
      <c r="AD31" s="17">
        <v>29.531396174915152</v>
      </c>
      <c r="AE31" s="17">
        <v>109.37947509809645</v>
      </c>
      <c r="AF31" s="17">
        <v>19.017205914431706</v>
      </c>
      <c r="AG31" s="17">
        <v>5.9350729548667136</v>
      </c>
      <c r="AH31" s="17">
        <v>45.201626995592783</v>
      </c>
      <c r="AI31" s="17">
        <v>0.8541223695455803</v>
      </c>
      <c r="AJ31" s="17">
        <v>0.49490951307215225</v>
      </c>
      <c r="AK31" s="17">
        <v>1.1506815417219058</v>
      </c>
      <c r="AL31" s="17">
        <v>6.7805520293459431E-2</v>
      </c>
      <c r="AM31" s="17">
        <v>10.971883831504941</v>
      </c>
      <c r="AN31" s="17">
        <v>2.5221048277736684</v>
      </c>
      <c r="AO31" s="17">
        <v>1.7240198807767124E-3</v>
      </c>
      <c r="AP31" s="17">
        <v>8.8990049671598334E-2</v>
      </c>
      <c r="AQ31" s="17">
        <v>1.2004717701487151</v>
      </c>
      <c r="AR31" s="17">
        <v>62.927456069668985</v>
      </c>
      <c r="AS31" s="17">
        <v>1.291176557127619</v>
      </c>
    </row>
    <row r="32" spans="1:45" ht="15.5">
      <c r="A32" s="8" t="s">
        <v>22</v>
      </c>
      <c r="B32" s="7"/>
      <c r="C32" s="11" t="s">
        <v>64</v>
      </c>
      <c r="D32" s="15" t="s">
        <v>121</v>
      </c>
      <c r="E32" s="15"/>
      <c r="F32" s="15">
        <v>5</v>
      </c>
      <c r="G32" s="19">
        <v>498374.95836262818</v>
      </c>
      <c r="H32" s="19">
        <v>7.1472193962135133</v>
      </c>
      <c r="I32" s="19">
        <v>495752.51464029826</v>
      </c>
      <c r="J32" s="19">
        <v>169.78558787259726</v>
      </c>
      <c r="K32" s="19">
        <v>443.06336481715925</v>
      </c>
      <c r="L32" s="19">
        <v>268.75082049225784</v>
      </c>
      <c r="M32" s="19">
        <v>32.389410801169703</v>
      </c>
      <c r="N32" s="19">
        <v>221.67030003794093</v>
      </c>
      <c r="O32" s="19">
        <v>7.9676026735175185</v>
      </c>
      <c r="P32" s="19">
        <v>2.8173879868928449</v>
      </c>
      <c r="Q32" s="19">
        <v>4.6224871720690146</v>
      </c>
      <c r="R32" s="19">
        <f>0.5*0.207</f>
        <v>0.10349999999999999</v>
      </c>
      <c r="S32" s="19">
        <v>36.505429213945604</v>
      </c>
      <c r="T32" s="19">
        <v>9.9393486639266371</v>
      </c>
      <c r="U32" s="19">
        <f>0.5*0.029</f>
        <v>1.4500000000000001E-2</v>
      </c>
      <c r="V32" s="19">
        <v>9.636356238328278E-2</v>
      </c>
      <c r="W32" s="19">
        <v>7.2791532718876368</v>
      </c>
      <c r="X32" s="19">
        <v>184.04680352611808</v>
      </c>
      <c r="Y32" s="19">
        <v>213.73563022041026</v>
      </c>
      <c r="Z32" s="19">
        <v>206.15009889897374</v>
      </c>
      <c r="AA32" s="19">
        <v>4.7384928708239684</v>
      </c>
      <c r="AC32" s="17">
        <v>0.95073183512060677</v>
      </c>
      <c r="AD32" s="17">
        <v>47.153876517452325</v>
      </c>
      <c r="AE32" s="17">
        <v>120.29633431637608</v>
      </c>
      <c r="AF32" s="17">
        <v>200.33614473151366</v>
      </c>
      <c r="AG32" s="17">
        <v>12.786391482460058</v>
      </c>
      <c r="AH32" s="17">
        <v>62.202681359448128</v>
      </c>
      <c r="AI32" s="17">
        <v>2.1905836490849069</v>
      </c>
      <c r="AJ32" s="17">
        <v>1.1384010666217981</v>
      </c>
      <c r="AK32" s="17">
        <v>1.079797347038036</v>
      </c>
      <c r="AL32" s="17">
        <v>8.9389605733893499E-2</v>
      </c>
      <c r="AM32" s="17">
        <v>11.804930514974288</v>
      </c>
      <c r="AN32" s="17">
        <v>3.6951125506661189</v>
      </c>
      <c r="AO32" s="17">
        <v>3.1084224899441096E-3</v>
      </c>
      <c r="AP32" s="17">
        <v>5.417545522145821E-2</v>
      </c>
      <c r="AQ32" s="17">
        <v>3.5784090079324526</v>
      </c>
      <c r="AR32" s="17">
        <v>108.97147119258356</v>
      </c>
      <c r="AS32" s="17">
        <v>1.5225355228793032</v>
      </c>
    </row>
    <row r="33" spans="1:45" ht="15.5">
      <c r="A33" s="8" t="s">
        <v>22</v>
      </c>
      <c r="B33" s="7"/>
      <c r="C33" s="9" t="s">
        <v>65</v>
      </c>
      <c r="D33" s="15" t="s">
        <v>122</v>
      </c>
      <c r="E33" s="15">
        <f>MEDIAN(K33:K42)</f>
        <v>43.068440066387801</v>
      </c>
      <c r="F33" s="15">
        <v>1</v>
      </c>
      <c r="G33" s="19">
        <v>505232.93873300456</v>
      </c>
      <c r="H33" s="19">
        <v>11.707696874982044</v>
      </c>
      <c r="I33" s="19">
        <v>489587.04819436307</v>
      </c>
      <c r="J33" s="19">
        <v>255.05658355900573</v>
      </c>
      <c r="K33" s="19">
        <v>39.154875246562398</v>
      </c>
      <c r="L33" s="19">
        <v>58.994854705309649</v>
      </c>
      <c r="M33" s="19">
        <v>88.727265129494299</v>
      </c>
      <c r="N33" s="19">
        <v>373.76938760824828</v>
      </c>
      <c r="O33" s="19">
        <v>77.601673658521563</v>
      </c>
      <c r="P33" s="19">
        <v>3.1481086274478347</v>
      </c>
      <c r="Q33" s="19">
        <v>2.1800267780672318</v>
      </c>
      <c r="R33" s="19">
        <v>0.43184053433711966</v>
      </c>
      <c r="S33" s="19">
        <v>12.195636952649842</v>
      </c>
      <c r="T33" s="19">
        <v>4.7611639939045851</v>
      </c>
      <c r="U33" s="19">
        <f>0.5*0.03</f>
        <v>1.4999999999999999E-2</v>
      </c>
      <c r="V33" s="19">
        <v>0.26593459465157254</v>
      </c>
      <c r="W33" s="19">
        <v>8.3646546593884175</v>
      </c>
      <c r="X33" s="19">
        <v>105.96806846911181</v>
      </c>
      <c r="Y33" s="19">
        <v>128.21015012600901</v>
      </c>
      <c r="Z33" s="19">
        <v>118.05424320705151</v>
      </c>
      <c r="AA33" s="19">
        <v>3.3914449739826225</v>
      </c>
      <c r="AC33" s="18">
        <v>4.1591921657568243</v>
      </c>
      <c r="AD33" s="18">
        <v>45.597793602610743</v>
      </c>
      <c r="AE33" s="18">
        <v>10.880351528507971</v>
      </c>
      <c r="AF33" s="18">
        <v>40.648963039054138</v>
      </c>
      <c r="AG33" s="18">
        <v>196.13942094291627</v>
      </c>
      <c r="AH33" s="18">
        <v>98.675729679574502</v>
      </c>
      <c r="AI33" s="18">
        <v>15.042193232601216</v>
      </c>
      <c r="AJ33" s="18">
        <v>0.95401001607310587</v>
      </c>
      <c r="AK33" s="18">
        <v>0.57093066964720163</v>
      </c>
      <c r="AL33" s="18">
        <v>0.34112416924156014</v>
      </c>
      <c r="AM33" s="18">
        <v>4.6492920783208627</v>
      </c>
      <c r="AN33" s="18">
        <v>1.6323940272292179</v>
      </c>
      <c r="AO33" s="18">
        <v>2.9974025368221368E-3</v>
      </c>
      <c r="AP33" s="18">
        <v>0.21202558801866489</v>
      </c>
      <c r="AQ33" s="18">
        <v>0.71927035536929351</v>
      </c>
      <c r="AR33" s="18">
        <v>54.063480773976082</v>
      </c>
      <c r="AS33" s="18">
        <v>1.5072966978912594</v>
      </c>
    </row>
    <row r="34" spans="1:45" ht="15.5">
      <c r="A34" s="8" t="s">
        <v>22</v>
      </c>
      <c r="B34" s="7"/>
      <c r="C34" s="9" t="s">
        <v>66</v>
      </c>
      <c r="D34" s="15" t="s">
        <v>122</v>
      </c>
      <c r="E34" s="15"/>
      <c r="F34" s="15">
        <v>2</v>
      </c>
      <c r="G34" s="19">
        <v>500431.33000179572</v>
      </c>
      <c r="H34" s="19">
        <v>15.328623799500912</v>
      </c>
      <c r="I34" s="19">
        <v>496592.14250124467</v>
      </c>
      <c r="J34" s="19">
        <v>114.80278800743594</v>
      </c>
      <c r="K34" s="19">
        <v>41.237758290203189</v>
      </c>
      <c r="L34" s="19">
        <v>92.908512616706474</v>
      </c>
      <c r="M34" s="19">
        <v>13.396888315541418</v>
      </c>
      <c r="N34" s="19">
        <v>480.46523482407042</v>
      </c>
      <c r="O34" s="19">
        <v>26.32696066368684</v>
      </c>
      <c r="P34" s="19">
        <v>2.5269411879869388</v>
      </c>
      <c r="Q34" s="19">
        <v>4.057949429000276</v>
      </c>
      <c r="R34" s="19">
        <v>0.3303512088496019</v>
      </c>
      <c r="S34" s="19">
        <v>18.654263181268746</v>
      </c>
      <c r="T34" s="19">
        <v>8.1448815063057456</v>
      </c>
      <c r="U34" s="19">
        <f>0.5*0.03</f>
        <v>1.4999999999999999E-2</v>
      </c>
      <c r="V34" s="19">
        <v>0.42017229965425812</v>
      </c>
      <c r="W34" s="19">
        <v>5.8207822533883613</v>
      </c>
      <c r="X34" s="19">
        <v>276.54281309167538</v>
      </c>
      <c r="Y34" s="19">
        <v>317.06283717737523</v>
      </c>
      <c r="Z34" s="19">
        <v>321.6311102828642</v>
      </c>
      <c r="AA34" s="19">
        <v>5.4035067000533683</v>
      </c>
      <c r="AC34" s="18">
        <v>3.3763593732886892</v>
      </c>
      <c r="AD34" s="18">
        <v>17.9351986052726</v>
      </c>
      <c r="AE34" s="18">
        <v>3.3732366041525803</v>
      </c>
      <c r="AF34" s="18">
        <v>50.242787910133018</v>
      </c>
      <c r="AG34" s="18">
        <v>9.6701465269522924</v>
      </c>
      <c r="AH34" s="18">
        <v>31.49289383111919</v>
      </c>
      <c r="AI34" s="18">
        <v>5.9724302593566811</v>
      </c>
      <c r="AJ34" s="18">
        <v>1.3477142643071016</v>
      </c>
      <c r="AK34" s="18">
        <v>0.6300720068705159</v>
      </c>
      <c r="AL34" s="18">
        <v>0.17397804722008181</v>
      </c>
      <c r="AM34" s="18">
        <v>2.902570341056995</v>
      </c>
      <c r="AN34" s="18">
        <v>0.79154974061658834</v>
      </c>
      <c r="AO34" s="18">
        <v>3.0747187006668251E-3</v>
      </c>
      <c r="AP34" s="18">
        <v>5.6440816304144846E-2</v>
      </c>
      <c r="AQ34" s="18">
        <v>0.71730814868133941</v>
      </c>
      <c r="AR34" s="18">
        <v>108.97939067075885</v>
      </c>
      <c r="AS34" s="18">
        <v>0.71580838815009673</v>
      </c>
    </row>
    <row r="35" spans="1:45" ht="15.5">
      <c r="A35" s="8" t="s">
        <v>22</v>
      </c>
      <c r="B35" s="7"/>
      <c r="C35" s="9" t="s">
        <v>67</v>
      </c>
      <c r="D35" s="15" t="s">
        <v>122</v>
      </c>
      <c r="E35" s="15"/>
      <c r="F35" s="15">
        <v>3</v>
      </c>
      <c r="G35" s="19">
        <v>510676.69336356549</v>
      </c>
      <c r="H35" s="19">
        <v>32.267879120186905</v>
      </c>
      <c r="I35" s="19">
        <v>481565.18558535603</v>
      </c>
      <c r="J35" s="19">
        <v>75.03642053946858</v>
      </c>
      <c r="K35" s="19">
        <v>42.771025547398196</v>
      </c>
      <c r="L35" s="19">
        <v>304.78596745646416</v>
      </c>
      <c r="M35" s="19">
        <v>5494.6214304545992</v>
      </c>
      <c r="N35" s="19">
        <v>589.52043998289673</v>
      </c>
      <c r="O35" s="19">
        <v>11.214682761219132</v>
      </c>
      <c r="P35" s="19">
        <v>0.96349643714879873</v>
      </c>
      <c r="Q35" s="19">
        <v>4.0791257381739356</v>
      </c>
      <c r="R35" s="19">
        <v>14.320197627238922</v>
      </c>
      <c r="S35" s="19">
        <v>18.126652163059383</v>
      </c>
      <c r="T35" s="19">
        <v>7.249028725000155</v>
      </c>
      <c r="U35" s="19">
        <f>0.5*0.03</f>
        <v>1.4999999999999999E-2</v>
      </c>
      <c r="V35" s="19">
        <v>0.36089136365205476</v>
      </c>
      <c r="W35" s="19">
        <v>3.8184648402717323</v>
      </c>
      <c r="X35" s="19">
        <v>236.00283740164991</v>
      </c>
      <c r="Y35" s="19">
        <v>260.61103201306719</v>
      </c>
      <c r="Z35" s="19">
        <v>250.84625485346692</v>
      </c>
      <c r="AA35" s="19">
        <v>5.7087259748367796</v>
      </c>
      <c r="AC35" s="18">
        <v>24.692596674573753</v>
      </c>
      <c r="AD35" s="18">
        <v>15.813983026269593</v>
      </c>
      <c r="AE35" s="18">
        <v>4.6526191538694297</v>
      </c>
      <c r="AF35" s="18">
        <v>455.63855716198725</v>
      </c>
      <c r="AG35" s="18">
        <v>8154.3495528410649</v>
      </c>
      <c r="AH35" s="18">
        <v>130.45215727897642</v>
      </c>
      <c r="AI35" s="18">
        <v>1.2300538374922771</v>
      </c>
      <c r="AJ35" s="18">
        <v>0.21791352145265111</v>
      </c>
      <c r="AK35" s="18">
        <v>0.74136948182483009</v>
      </c>
      <c r="AL35" s="18">
        <v>20.628199462832676</v>
      </c>
      <c r="AM35" s="18">
        <v>3.6341223160698672</v>
      </c>
      <c r="AN35" s="18">
        <v>1.6985497042575062</v>
      </c>
      <c r="AO35" s="18">
        <v>2.9212005280577109E-3</v>
      </c>
      <c r="AP35" s="18">
        <v>0.10950500088325102</v>
      </c>
      <c r="AQ35" s="18">
        <v>1.0581208435877936</v>
      </c>
      <c r="AR35" s="18">
        <v>102.54460959339985</v>
      </c>
      <c r="AS35" s="18">
        <v>0.95319266787017443</v>
      </c>
    </row>
    <row r="36" spans="1:45" ht="15.5">
      <c r="A36" s="8" t="s">
        <v>22</v>
      </c>
      <c r="B36" s="7"/>
      <c r="C36" s="9" t="s">
        <v>68</v>
      </c>
      <c r="D36" s="15" t="s">
        <v>122</v>
      </c>
      <c r="E36" s="15"/>
      <c r="F36" s="15">
        <v>4</v>
      </c>
      <c r="G36" s="19">
        <v>506350.61665651778</v>
      </c>
      <c r="H36" s="19">
        <v>50.774749582905315</v>
      </c>
      <c r="I36" s="19">
        <v>489453.3977207815</v>
      </c>
      <c r="J36" s="19">
        <v>38.818855989684948</v>
      </c>
      <c r="K36" s="19">
        <v>41.786547356779352</v>
      </c>
      <c r="L36" s="19">
        <v>373.46211226048763</v>
      </c>
      <c r="M36" s="19">
        <v>2022.0951058054052</v>
      </c>
      <c r="N36" s="19">
        <v>469.64886865834342</v>
      </c>
      <c r="O36" s="19">
        <v>7.1882391662265093</v>
      </c>
      <c r="P36" s="19">
        <v>1.4175534516103951</v>
      </c>
      <c r="Q36" s="19">
        <v>3.651748878335269</v>
      </c>
      <c r="R36" s="19">
        <v>5.8438974354271522</v>
      </c>
      <c r="S36" s="19">
        <v>21.884104123436316</v>
      </c>
      <c r="T36" s="19">
        <v>8.8489453772283753</v>
      </c>
      <c r="U36" s="19">
        <f>0.5*0.031</f>
        <v>1.55E-2</v>
      </c>
      <c r="V36" s="19">
        <v>0.42590043183805903</v>
      </c>
      <c r="W36" s="19">
        <v>6.0042442523671369</v>
      </c>
      <c r="X36" s="19">
        <v>253.5617953186902</v>
      </c>
      <c r="Y36" s="19">
        <v>301.60366282828909</v>
      </c>
      <c r="Z36" s="19">
        <v>278.52759273470656</v>
      </c>
      <c r="AA36" s="19">
        <v>5.8756690247932113</v>
      </c>
      <c r="AC36" s="18">
        <v>42.546622223120245</v>
      </c>
      <c r="AD36" s="18">
        <v>15.820226703288755</v>
      </c>
      <c r="AE36" s="18">
        <v>20.023390845160414</v>
      </c>
      <c r="AF36" s="18">
        <v>486.12240227958102</v>
      </c>
      <c r="AG36" s="18">
        <v>2605.450730156047</v>
      </c>
      <c r="AH36" s="18">
        <v>232.57867863454629</v>
      </c>
      <c r="AI36" s="18">
        <v>2.8838886740325349</v>
      </c>
      <c r="AJ36" s="18">
        <v>0.95795793769150839</v>
      </c>
      <c r="AK36" s="18">
        <v>2.0417909321527237</v>
      </c>
      <c r="AL36" s="18">
        <v>7.2817636070370595</v>
      </c>
      <c r="AM36" s="18">
        <v>10.112307639085397</v>
      </c>
      <c r="AN36" s="18">
        <v>5.0410586642047122</v>
      </c>
      <c r="AO36" s="18">
        <v>3.1633032209204179E-3</v>
      </c>
      <c r="AP36" s="18">
        <v>0.3067402041123794</v>
      </c>
      <c r="AQ36" s="18">
        <v>2.1797151241017572</v>
      </c>
      <c r="AR36" s="18">
        <v>194.53195103802841</v>
      </c>
      <c r="AS36" s="18">
        <v>3.2070786847836525</v>
      </c>
    </row>
    <row r="37" spans="1:45" ht="15.5">
      <c r="A37" s="8" t="s">
        <v>22</v>
      </c>
      <c r="B37" s="7"/>
      <c r="C37" s="9" t="s">
        <v>69</v>
      </c>
      <c r="D37" s="15" t="s">
        <v>122</v>
      </c>
      <c r="E37" s="15"/>
      <c r="F37" s="15">
        <v>5</v>
      </c>
      <c r="G37" s="19">
        <v>503600.51604655897</v>
      </c>
      <c r="H37" s="19">
        <v>23.932537198573783</v>
      </c>
      <c r="I37" s="19">
        <v>492390.48756471701</v>
      </c>
      <c r="J37" s="19">
        <v>48.179994176481955</v>
      </c>
      <c r="K37" s="19">
        <v>43.365854585377406</v>
      </c>
      <c r="L37" s="19">
        <v>72.480389232354753</v>
      </c>
      <c r="M37" s="19">
        <v>697.54859012184352</v>
      </c>
      <c r="N37" s="19">
        <v>507.0348389699252</v>
      </c>
      <c r="O37" s="19">
        <v>10.168495037056768</v>
      </c>
      <c r="P37" s="19">
        <v>1.925569561656026</v>
      </c>
      <c r="Q37" s="19">
        <v>4.6587779373406413</v>
      </c>
      <c r="R37" s="19">
        <v>2.0335779885614969</v>
      </c>
      <c r="S37" s="19">
        <v>24.056394232674847</v>
      </c>
      <c r="T37" s="19">
        <v>9.3051056147950817</v>
      </c>
      <c r="U37" s="19">
        <f>0.5*0.032</f>
        <v>1.6E-2</v>
      </c>
      <c r="V37" s="19">
        <v>0.41891805303522878</v>
      </c>
      <c r="W37" s="19">
        <v>4.9498326883855777</v>
      </c>
      <c r="X37" s="19">
        <v>221.28974239827005</v>
      </c>
      <c r="Y37" s="19">
        <v>259.42078297087278</v>
      </c>
      <c r="Z37" s="19">
        <v>242.69474728964178</v>
      </c>
      <c r="AA37" s="19">
        <v>6.9392422498618984</v>
      </c>
      <c r="AC37" s="18">
        <v>8.4908806684920552</v>
      </c>
      <c r="AD37" s="18">
        <v>5.5047454896255008</v>
      </c>
      <c r="AE37" s="18">
        <v>9.8030743498306236</v>
      </c>
      <c r="AF37" s="18">
        <v>17.374960657476826</v>
      </c>
      <c r="AG37" s="18">
        <v>546.33658727265049</v>
      </c>
      <c r="AH37" s="18">
        <v>113.50250077498585</v>
      </c>
      <c r="AI37" s="18">
        <v>1.7482796881535112</v>
      </c>
      <c r="AJ37" s="18">
        <v>1.6857753513968068</v>
      </c>
      <c r="AK37" s="18">
        <v>0.74717792305595088</v>
      </c>
      <c r="AL37" s="18">
        <v>1.4639022312217314</v>
      </c>
      <c r="AM37" s="18">
        <v>5.6434608046543211</v>
      </c>
      <c r="AN37" s="18">
        <v>2.8816901392878305</v>
      </c>
      <c r="AO37" s="18">
        <v>3.1983754647541282E-3</v>
      </c>
      <c r="AP37" s="18">
        <v>0.12985671610390487</v>
      </c>
      <c r="AQ37" s="18">
        <v>1.052904585771925</v>
      </c>
      <c r="AR37" s="18">
        <v>39.57966444113648</v>
      </c>
      <c r="AS37" s="18">
        <v>1.7047996576055353</v>
      </c>
    </row>
    <row r="38" spans="1:45" ht="15.5">
      <c r="A38" s="8" t="s">
        <v>22</v>
      </c>
      <c r="B38" s="7"/>
      <c r="C38" s="9" t="s">
        <v>70</v>
      </c>
      <c r="D38" s="15" t="s">
        <v>122</v>
      </c>
      <c r="E38" s="15"/>
      <c r="F38" s="15">
        <v>6</v>
      </c>
      <c r="G38" s="19">
        <v>506850.64806118846</v>
      </c>
      <c r="H38" s="19">
        <v>23.622471630948084</v>
      </c>
      <c r="I38" s="19">
        <v>480995.68536591379</v>
      </c>
      <c r="J38" s="19">
        <v>55.111789302472488</v>
      </c>
      <c r="K38" s="19">
        <v>37.705618604525796</v>
      </c>
      <c r="L38" s="19">
        <v>67.421939863537759</v>
      </c>
      <c r="M38" s="19">
        <v>24.981725215704031</v>
      </c>
      <c r="N38" s="19">
        <v>442.37987354389998</v>
      </c>
      <c r="O38" s="19">
        <v>12.70257360696694</v>
      </c>
      <c r="P38" s="19">
        <v>3.9052012463819175</v>
      </c>
      <c r="Q38" s="19">
        <v>4.2510546861264249</v>
      </c>
      <c r="R38" s="19">
        <f>0.5*0.222</f>
        <v>0.111</v>
      </c>
      <c r="S38" s="19">
        <v>20.684672262486856</v>
      </c>
      <c r="T38" s="19">
        <v>7.9048576128239958</v>
      </c>
      <c r="U38" s="19">
        <f>0.5*0.033</f>
        <v>1.6500000000000001E-2</v>
      </c>
      <c r="V38" s="19">
        <v>0.85165550437359006</v>
      </c>
      <c r="W38" s="19">
        <v>5.8631533111939405</v>
      </c>
      <c r="X38" s="19">
        <v>223.95403439676073</v>
      </c>
      <c r="Y38" s="19">
        <v>248.98194341223655</v>
      </c>
      <c r="Z38" s="19">
        <v>226.89887019098296</v>
      </c>
      <c r="AA38" s="19">
        <v>6.1245236472728912</v>
      </c>
      <c r="AC38" s="18">
        <v>8.3962751054197557</v>
      </c>
      <c r="AD38" s="18">
        <v>4.925138159851322</v>
      </c>
      <c r="AE38" s="18">
        <v>8.1667144263296887</v>
      </c>
      <c r="AF38" s="18">
        <v>9.2336336763494895</v>
      </c>
      <c r="AG38" s="18">
        <v>21.632415554682503</v>
      </c>
      <c r="AH38" s="18">
        <v>46.663199756746451</v>
      </c>
      <c r="AI38" s="18">
        <v>2.5677420734870591</v>
      </c>
      <c r="AJ38" s="18">
        <v>2.5623668221376081</v>
      </c>
      <c r="AK38" s="18">
        <v>0.53508159989848059</v>
      </c>
      <c r="AL38" s="18">
        <v>9.7903856980126339E-2</v>
      </c>
      <c r="AM38" s="18">
        <v>4.20660034846534</v>
      </c>
      <c r="AN38" s="18">
        <v>1.6215803546611527</v>
      </c>
      <c r="AO38" s="18">
        <v>3.1699867835311749E-3</v>
      </c>
      <c r="AP38" s="18">
        <v>0.83648900365514767</v>
      </c>
      <c r="AQ38" s="18">
        <v>0.84878250311662184</v>
      </c>
      <c r="AR38" s="18">
        <v>42.694060566767526</v>
      </c>
      <c r="AS38" s="18">
        <v>0.87039596023985599</v>
      </c>
    </row>
    <row r="39" spans="1:45" ht="15.5">
      <c r="A39" s="8" t="s">
        <v>22</v>
      </c>
      <c r="B39" s="7"/>
      <c r="C39" s="9" t="s">
        <v>71</v>
      </c>
      <c r="D39" s="15" t="s">
        <v>122</v>
      </c>
      <c r="E39" s="15"/>
      <c r="F39" s="15">
        <v>7</v>
      </c>
      <c r="G39" s="19">
        <v>507149.85133702127</v>
      </c>
      <c r="H39" s="19">
        <v>22.569261353469926</v>
      </c>
      <c r="I39" s="19">
        <v>490919.02567998529</v>
      </c>
      <c r="J39" s="19">
        <v>33.56059589252051</v>
      </c>
      <c r="K39" s="19">
        <v>46.187063055237815</v>
      </c>
      <c r="L39" s="19">
        <v>70.943542229282855</v>
      </c>
      <c r="M39" s="19">
        <v>148.53836615644286</v>
      </c>
      <c r="N39" s="19">
        <v>499.63353893966405</v>
      </c>
      <c r="O39" s="19">
        <v>9.4364263146107454</v>
      </c>
      <c r="P39" s="19">
        <v>1.6427470272290545</v>
      </c>
      <c r="Q39" s="19">
        <v>3.8615604988188501</v>
      </c>
      <c r="R39" s="19">
        <v>0.64822665833651172</v>
      </c>
      <c r="S39" s="19">
        <v>24.018093727897678</v>
      </c>
      <c r="T39" s="19">
        <v>8.8381152331068051</v>
      </c>
      <c r="U39" s="19">
        <f>0.5*0.032</f>
        <v>1.6E-2</v>
      </c>
      <c r="V39" s="19">
        <v>0.37203045835857829</v>
      </c>
      <c r="W39" s="19">
        <v>6.9154669218993412</v>
      </c>
      <c r="X39" s="19">
        <v>204.39099491000979</v>
      </c>
      <c r="Y39" s="19">
        <v>247.39148553488417</v>
      </c>
      <c r="Z39" s="19">
        <v>221.39599379225547</v>
      </c>
      <c r="AA39" s="19">
        <v>7.0090037216989671</v>
      </c>
      <c r="AC39" s="18">
        <v>0.68555174414865716</v>
      </c>
      <c r="AD39" s="18">
        <v>7.2110401140192355</v>
      </c>
      <c r="AE39" s="18">
        <v>7.3458573319252674</v>
      </c>
      <c r="AF39" s="18">
        <v>14.103510361612624</v>
      </c>
      <c r="AG39" s="18">
        <v>249.9494832115434</v>
      </c>
      <c r="AH39" s="18">
        <v>75.11305016170094</v>
      </c>
      <c r="AI39" s="18">
        <v>1.6363612239767176</v>
      </c>
      <c r="AJ39" s="18">
        <v>0.46633418888813666</v>
      </c>
      <c r="AK39" s="18">
        <v>0.43630767252599684</v>
      </c>
      <c r="AL39" s="18">
        <v>0.82841642717717656</v>
      </c>
      <c r="AM39" s="18">
        <v>4.3144586236648044</v>
      </c>
      <c r="AN39" s="18">
        <v>3.1014272601004711</v>
      </c>
      <c r="AO39" s="18">
        <v>3.2392116431924599E-3</v>
      </c>
      <c r="AP39" s="18">
        <v>0.10435898853068457</v>
      </c>
      <c r="AQ39" s="18">
        <v>0.7864268877116064</v>
      </c>
      <c r="AR39" s="18">
        <v>54.237323757870818</v>
      </c>
      <c r="AS39" s="18">
        <v>1.7059852599620533</v>
      </c>
    </row>
    <row r="40" spans="1:45" ht="15.5">
      <c r="A40" s="8" t="s">
        <v>22</v>
      </c>
      <c r="B40" s="7"/>
      <c r="C40" s="9" t="s">
        <v>72</v>
      </c>
      <c r="D40" s="15" t="s">
        <v>122</v>
      </c>
      <c r="E40" s="15"/>
      <c r="F40" s="15">
        <v>8</v>
      </c>
      <c r="G40" s="19">
        <v>523386.25238634233</v>
      </c>
      <c r="H40" s="19">
        <v>20.772345376895014</v>
      </c>
      <c r="I40" s="19">
        <v>467110.84077882889</v>
      </c>
      <c r="J40" s="19">
        <v>50.977878862521806</v>
      </c>
      <c r="K40" s="19">
        <v>58.323397632670634</v>
      </c>
      <c r="L40" s="19">
        <v>121.08020296388567</v>
      </c>
      <c r="M40" s="19">
        <v>390.27852343641939</v>
      </c>
      <c r="N40" s="19">
        <v>599.05629457169482</v>
      </c>
      <c r="O40" s="19">
        <v>11.027111625458957</v>
      </c>
      <c r="P40" s="19">
        <v>4.8296899250656216</v>
      </c>
      <c r="Q40" s="19">
        <v>7.5377653888093272</v>
      </c>
      <c r="R40" s="19">
        <v>1.0746179779191758</v>
      </c>
      <c r="S40" s="19">
        <v>32.555258713762427</v>
      </c>
      <c r="T40" s="19">
        <v>12.372342657665921</v>
      </c>
      <c r="U40" s="19">
        <f>0.5*0.032</f>
        <v>1.6E-2</v>
      </c>
      <c r="V40" s="19">
        <v>0.70907718841868372</v>
      </c>
      <c r="W40" s="19">
        <v>2.9597699968591993</v>
      </c>
      <c r="X40" s="19">
        <v>371.18647614166582</v>
      </c>
      <c r="Y40" s="19">
        <v>428.64938446206031</v>
      </c>
      <c r="Z40" s="19">
        <v>399.92995711386766</v>
      </c>
      <c r="AA40" s="19">
        <v>10.09760481757943</v>
      </c>
      <c r="AC40" s="18">
        <v>6.2110508820177008</v>
      </c>
      <c r="AD40" s="18">
        <v>9.3865924077090668</v>
      </c>
      <c r="AE40" s="18">
        <v>7.2779047490758924</v>
      </c>
      <c r="AF40" s="18">
        <v>38.374961471740853</v>
      </c>
      <c r="AG40" s="18">
        <v>428.29746244341879</v>
      </c>
      <c r="AH40" s="18">
        <v>131.58334906551974</v>
      </c>
      <c r="AI40" s="18">
        <v>4.5503067827386188</v>
      </c>
      <c r="AJ40" s="18">
        <v>4.497728661869143</v>
      </c>
      <c r="AK40" s="18">
        <v>0.90473910992996387</v>
      </c>
      <c r="AL40" s="18">
        <v>1.2308560366595718</v>
      </c>
      <c r="AM40" s="18">
        <v>5.529185486952807</v>
      </c>
      <c r="AN40" s="18">
        <v>2.2765857611726172</v>
      </c>
      <c r="AO40" s="18">
        <v>3.940125362354302E-3</v>
      </c>
      <c r="AP40" s="18">
        <v>0.10522955943248589</v>
      </c>
      <c r="AQ40" s="18">
        <v>0.37532660170162147</v>
      </c>
      <c r="AR40" s="18">
        <v>142.44481218117573</v>
      </c>
      <c r="AS40" s="18">
        <v>2.2404968966023264</v>
      </c>
    </row>
    <row r="41" spans="1:45" ht="15.5">
      <c r="A41" s="8" t="s">
        <v>22</v>
      </c>
      <c r="B41" s="7"/>
      <c r="C41" s="9" t="s">
        <v>73</v>
      </c>
      <c r="D41" s="15" t="s">
        <v>122</v>
      </c>
      <c r="E41" s="15"/>
      <c r="F41" s="15">
        <v>9</v>
      </c>
      <c r="G41" s="19">
        <v>529780.62442982558</v>
      </c>
      <c r="H41" s="19">
        <v>9.7773162115631465</v>
      </c>
      <c r="I41" s="19">
        <v>458611.42398878926</v>
      </c>
      <c r="J41" s="19">
        <v>115.78659066220229</v>
      </c>
      <c r="K41" s="19">
        <v>64.393998680145316</v>
      </c>
      <c r="L41" s="19">
        <v>16.202126799054568</v>
      </c>
      <c r="M41" s="19">
        <v>58.958488001381738</v>
      </c>
      <c r="N41" s="19">
        <v>626.60752732029459</v>
      </c>
      <c r="O41" s="19">
        <v>26.650763026077861</v>
      </c>
      <c r="P41" s="19">
        <v>0.27927885729352919</v>
      </c>
      <c r="Q41" s="19">
        <v>1.956560026488722</v>
      </c>
      <c r="R41" s="19">
        <f>0.5*0.244</f>
        <v>0.122</v>
      </c>
      <c r="S41" s="19">
        <v>8.5270750405992004</v>
      </c>
      <c r="T41" s="19">
        <v>4.0757113266717759</v>
      </c>
      <c r="U41" s="19">
        <f>0.5*0.036</f>
        <v>1.7999999999999999E-2</v>
      </c>
      <c r="V41" s="19">
        <v>0.13243792589868175</v>
      </c>
      <c r="W41" s="19">
        <v>1.0166230970155308</v>
      </c>
      <c r="X41" s="19">
        <v>95.806138563999951</v>
      </c>
      <c r="Y41" s="19">
        <v>111.4358226776128</v>
      </c>
      <c r="Z41" s="19">
        <v>107.34968946321089</v>
      </c>
      <c r="AA41" s="19">
        <v>2.8443228314426445</v>
      </c>
      <c r="AC41" s="18">
        <v>21.58280476994609</v>
      </c>
      <c r="AD41" s="18">
        <v>28.955455504667878</v>
      </c>
      <c r="AE41" s="18">
        <v>13.176678040212101</v>
      </c>
      <c r="AF41" s="18">
        <v>9.8974336425363809</v>
      </c>
      <c r="AG41" s="18">
        <v>142.98389679050041</v>
      </c>
      <c r="AH41" s="18">
        <v>112.47669740431699</v>
      </c>
      <c r="AI41" s="18">
        <v>4.8163977578425099</v>
      </c>
      <c r="AJ41" s="18">
        <v>0.30346365462206581</v>
      </c>
      <c r="AK41" s="18">
        <v>0.78582431700514932</v>
      </c>
      <c r="AL41" s="18">
        <v>0.46093056655033121</v>
      </c>
      <c r="AM41" s="18">
        <v>4.2769117161442596</v>
      </c>
      <c r="AN41" s="18">
        <v>2.1923717829770948</v>
      </c>
      <c r="AO41" s="18">
        <v>1.0338977783753816E-2</v>
      </c>
      <c r="AP41" s="18">
        <v>6.124639897638226E-2</v>
      </c>
      <c r="AQ41" s="18">
        <v>0.9536295936833058</v>
      </c>
      <c r="AR41" s="18">
        <v>60.448148994987271</v>
      </c>
      <c r="AS41" s="18">
        <v>1.3981172659026511</v>
      </c>
    </row>
    <row r="42" spans="1:45" ht="15.5">
      <c r="A42" s="8" t="s">
        <v>22</v>
      </c>
      <c r="B42" s="7"/>
      <c r="C42" s="9" t="s">
        <v>24</v>
      </c>
      <c r="D42" s="15" t="s">
        <v>122</v>
      </c>
      <c r="E42" s="15"/>
      <c r="F42" s="15">
        <v>10</v>
      </c>
      <c r="G42" s="19">
        <v>541115.66530474171</v>
      </c>
      <c r="H42" s="19">
        <v>473.19189167344575</v>
      </c>
      <c r="I42" s="19">
        <v>418811.62787221564</v>
      </c>
      <c r="J42" s="19">
        <v>141.2389852162575</v>
      </c>
      <c r="K42" s="19">
        <v>48.747513507605902</v>
      </c>
      <c r="L42" s="19">
        <v>59.295158868573765</v>
      </c>
      <c r="M42" s="19">
        <v>4335.5484508763257</v>
      </c>
      <c r="N42" s="19">
        <v>639.24198171403737</v>
      </c>
      <c r="O42" s="19">
        <v>20.665257071616363</v>
      </c>
      <c r="P42" s="19">
        <v>1.3920187754573305</v>
      </c>
      <c r="Q42" s="19">
        <v>2.0013870777101062</v>
      </c>
      <c r="R42" s="19">
        <v>10.718531619958156</v>
      </c>
      <c r="S42" s="19">
        <v>6.1471991730324476</v>
      </c>
      <c r="T42" s="19">
        <v>2.358607504620835</v>
      </c>
      <c r="U42" s="19">
        <f>0.5*0.037</f>
        <v>1.8499999999999999E-2</v>
      </c>
      <c r="V42" s="19">
        <v>0.246732276942355</v>
      </c>
      <c r="W42" s="19">
        <v>0.37096403544656198</v>
      </c>
      <c r="X42" s="19">
        <v>61.862816846901069</v>
      </c>
      <c r="Y42" s="19">
        <v>67.806721932849769</v>
      </c>
      <c r="Z42" s="19">
        <v>65.629476098333498</v>
      </c>
      <c r="AA42" s="19">
        <v>2.3375987196556522</v>
      </c>
      <c r="AC42" s="18">
        <v>433.01133029876058</v>
      </c>
      <c r="AD42" s="18">
        <v>53.501851107533383</v>
      </c>
      <c r="AE42" s="18">
        <v>17.405273179409601</v>
      </c>
      <c r="AF42" s="18">
        <v>23.298045372580074</v>
      </c>
      <c r="AG42" s="18">
        <v>5783.8518702594483</v>
      </c>
      <c r="AH42" s="18">
        <v>102.61701401562932</v>
      </c>
      <c r="AI42" s="18">
        <v>3.3443824943200919</v>
      </c>
      <c r="AJ42" s="18">
        <v>1.1922413765917712</v>
      </c>
      <c r="AK42" s="18">
        <v>1.9328855353547054</v>
      </c>
      <c r="AL42" s="18">
        <v>17.413125689738504</v>
      </c>
      <c r="AM42" s="18">
        <v>13.401870611684346</v>
      </c>
      <c r="AN42" s="18">
        <v>7.1546796705600952</v>
      </c>
      <c r="AO42" s="18">
        <v>5.7836783527291423E-3</v>
      </c>
      <c r="AP42" s="18">
        <v>0.39046084173407847</v>
      </c>
      <c r="AQ42" s="18">
        <v>1.6245319546109509</v>
      </c>
      <c r="AR42" s="18">
        <v>131.00279489730008</v>
      </c>
      <c r="AS42" s="18">
        <v>4.3043611529609382</v>
      </c>
    </row>
    <row r="43" spans="1:45" ht="15.5">
      <c r="A43" s="8" t="s">
        <v>22</v>
      </c>
      <c r="B43" s="7"/>
      <c r="C43" s="10" t="s">
        <v>74</v>
      </c>
      <c r="D43" s="15" t="s">
        <v>123</v>
      </c>
      <c r="E43" s="15">
        <f>MEDIAN(K43:K53)</f>
        <v>351.58427623247195</v>
      </c>
      <c r="F43" s="15">
        <v>1</v>
      </c>
      <c r="G43" s="19">
        <v>515233.50831120147</v>
      </c>
      <c r="H43" s="19">
        <v>2.7864813565750501</v>
      </c>
      <c r="I43" s="19">
        <v>437753.24803684943</v>
      </c>
      <c r="J43" s="19">
        <v>18.143944859141037</v>
      </c>
      <c r="K43" s="19">
        <v>278.14158330788359</v>
      </c>
      <c r="L43" s="19">
        <v>118.08853959036344</v>
      </c>
      <c r="M43" s="19">
        <v>59.342568568054702</v>
      </c>
      <c r="N43" s="19">
        <v>17025.006215929094</v>
      </c>
      <c r="O43" s="19">
        <v>44.104759709079829</v>
      </c>
      <c r="P43" s="19">
        <v>10.679721938190687</v>
      </c>
      <c r="Q43" s="19">
        <v>6.2001310009530854</v>
      </c>
      <c r="R43" s="19">
        <v>3.6598523936427956</v>
      </c>
      <c r="S43" s="19">
        <v>1322.5012009434647</v>
      </c>
      <c r="T43" s="19">
        <v>1.4004447662415078</v>
      </c>
      <c r="U43" s="19">
        <f>0.5*0.031</f>
        <v>1.55E-2</v>
      </c>
      <c r="V43" s="19">
        <v>5.1025479307198848E-2</v>
      </c>
      <c r="W43" s="19">
        <v>19.021924085118815</v>
      </c>
      <c r="X43" s="19">
        <v>267.96204100649004</v>
      </c>
      <c r="Y43" s="19">
        <v>236.37303388525538</v>
      </c>
      <c r="Z43" s="19">
        <v>229.35311869416978</v>
      </c>
      <c r="AA43" s="19">
        <v>0.10824000331814065</v>
      </c>
      <c r="AC43" s="17">
        <v>0.36000000520740477</v>
      </c>
      <c r="AD43" s="17">
        <v>1.6315074042314277</v>
      </c>
      <c r="AE43" s="17">
        <v>30.798109343770662</v>
      </c>
      <c r="AF43" s="17">
        <v>16.715305395657353</v>
      </c>
      <c r="AG43" s="17">
        <v>40.68340660149449</v>
      </c>
      <c r="AH43" s="17">
        <v>2702.5955023288079</v>
      </c>
      <c r="AI43" s="17">
        <v>9.4063118590574657</v>
      </c>
      <c r="AJ43" s="17">
        <v>1.9701767105322101</v>
      </c>
      <c r="AK43" s="17">
        <v>0.59075142684812343</v>
      </c>
      <c r="AL43" s="17">
        <v>1.062340544908454</v>
      </c>
      <c r="AM43" s="17">
        <v>294.66584952545577</v>
      </c>
      <c r="AN43" s="17">
        <v>0.61654344633942071</v>
      </c>
      <c r="AO43" s="17">
        <v>3.2703491869595642E-3</v>
      </c>
      <c r="AP43" s="17">
        <v>2.2409099585673248E-2</v>
      </c>
      <c r="AQ43" s="17">
        <v>2.2341965123455867</v>
      </c>
      <c r="AR43" s="17">
        <v>25.538593626498624</v>
      </c>
      <c r="AS43" s="17">
        <v>3.4120156885323417E-2</v>
      </c>
    </row>
    <row r="44" spans="1:45" ht="15.5">
      <c r="A44" s="8" t="s">
        <v>22</v>
      </c>
      <c r="B44" s="7"/>
      <c r="C44" s="10" t="s">
        <v>75</v>
      </c>
      <c r="D44" s="15" t="s">
        <v>123</v>
      </c>
      <c r="E44" s="15"/>
      <c r="F44" s="15">
        <v>2</v>
      </c>
      <c r="G44" s="19">
        <v>511954.29192438943</v>
      </c>
      <c r="H44" s="19">
        <v>4.7005553480528377</v>
      </c>
      <c r="I44" s="19">
        <v>428809.3830079739</v>
      </c>
      <c r="J44" s="19">
        <v>23.646490128035843</v>
      </c>
      <c r="K44" s="19">
        <v>364.32800213365368</v>
      </c>
      <c r="L44" s="19">
        <v>140.44806244914821</v>
      </c>
      <c r="M44" s="19">
        <v>27.998661871685158</v>
      </c>
      <c r="N44" s="19">
        <v>17610.382082514672</v>
      </c>
      <c r="O44" s="19">
        <v>35.458850919565108</v>
      </c>
      <c r="P44" s="19">
        <v>7.6292467801145136</v>
      </c>
      <c r="Q44" s="19">
        <v>7.6708469309253209</v>
      </c>
      <c r="R44" s="19">
        <v>5.0729278360015648</v>
      </c>
      <c r="S44" s="19">
        <v>668.54977943227004</v>
      </c>
      <c r="T44" s="19">
        <v>1.3878556710838161</v>
      </c>
      <c r="U44" s="19">
        <f>0.5*0.036</f>
        <v>1.7999999999999999E-2</v>
      </c>
      <c r="V44" s="19">
        <v>6.9350440754591153E-2</v>
      </c>
      <c r="W44" s="19">
        <v>23.235021803541791</v>
      </c>
      <c r="X44" s="19">
        <v>266.45403926769887</v>
      </c>
      <c r="Y44" s="19">
        <v>235.38792198140271</v>
      </c>
      <c r="Z44" s="19">
        <v>218.37286363148769</v>
      </c>
      <c r="AA44" s="19">
        <v>0.22442488913531047</v>
      </c>
      <c r="AC44" s="17">
        <v>1.8946979081924393</v>
      </c>
      <c r="AD44" s="17">
        <v>4.7790955059134745</v>
      </c>
      <c r="AE44" s="17">
        <v>35.133371822809579</v>
      </c>
      <c r="AF44" s="17">
        <v>14.759399320059316</v>
      </c>
      <c r="AG44" s="17">
        <v>47.225680017679167</v>
      </c>
      <c r="AH44" s="17">
        <v>384.13525887749552</v>
      </c>
      <c r="AI44" s="17">
        <v>6.2236014292333985</v>
      </c>
      <c r="AJ44" s="17">
        <v>3.6743459940171794</v>
      </c>
      <c r="AK44" s="17">
        <v>0.71029883441933517</v>
      </c>
      <c r="AL44" s="17">
        <v>2.0072839676394056</v>
      </c>
      <c r="AM44" s="17">
        <v>151.04668768826755</v>
      </c>
      <c r="AN44" s="17">
        <v>0.81991349117533907</v>
      </c>
      <c r="AO44" s="17">
        <v>4.5848746430257655E-3</v>
      </c>
      <c r="AP44" s="17">
        <v>1.0057821897281972E-2</v>
      </c>
      <c r="AQ44" s="17">
        <v>1.5340760172651569</v>
      </c>
      <c r="AR44" s="17">
        <v>35.590159798584146</v>
      </c>
      <c r="AS44" s="17">
        <v>3.2368455539799425E-2</v>
      </c>
    </row>
    <row r="45" spans="1:45" ht="15.5">
      <c r="A45" s="8" t="s">
        <v>22</v>
      </c>
      <c r="B45" s="7"/>
      <c r="C45" s="10" t="s">
        <v>76</v>
      </c>
      <c r="D45" s="15" t="s">
        <v>123</v>
      </c>
      <c r="E45" s="15"/>
      <c r="F45" s="15">
        <v>3</v>
      </c>
      <c r="G45" s="19">
        <v>500966.03354413726</v>
      </c>
      <c r="H45" s="19">
        <v>3.983819676060433</v>
      </c>
      <c r="I45" s="19">
        <v>442088.59889650985</v>
      </c>
      <c r="J45" s="19">
        <v>19.176711597492172</v>
      </c>
      <c r="K45" s="19">
        <v>239.20919549039854</v>
      </c>
      <c r="L45" s="19">
        <v>138.99492373501903</v>
      </c>
      <c r="M45" s="19">
        <v>72.405293112942246</v>
      </c>
      <c r="N45" s="19">
        <v>18076.346061619435</v>
      </c>
      <c r="O45" s="19">
        <v>54.129745928207541</v>
      </c>
      <c r="P45" s="19">
        <v>10.691749537539785</v>
      </c>
      <c r="Q45" s="19">
        <v>6.1195420505117504</v>
      </c>
      <c r="R45" s="19">
        <v>3.069929918577575</v>
      </c>
      <c r="S45" s="19">
        <v>1559.5066410121938</v>
      </c>
      <c r="T45" s="19">
        <v>2.0044577400330361</v>
      </c>
      <c r="U45" s="19">
        <f>0.5*0.035</f>
        <v>1.7500000000000002E-2</v>
      </c>
      <c r="V45" s="19">
        <v>7.0122233484507357E-2</v>
      </c>
      <c r="W45" s="19">
        <v>14.032258069476462</v>
      </c>
      <c r="X45" s="19">
        <v>279.71893010858463</v>
      </c>
      <c r="Y45" s="19">
        <v>233.33367880975402</v>
      </c>
      <c r="Z45" s="19">
        <v>234.59895008629542</v>
      </c>
      <c r="AA45" s="19">
        <v>0.30474121861566911</v>
      </c>
      <c r="AC45" s="17">
        <v>0.50088356493521624</v>
      </c>
      <c r="AD45" s="17">
        <v>5.5940863997606058</v>
      </c>
      <c r="AE45" s="17">
        <v>64.247359474318785</v>
      </c>
      <c r="AF45" s="17">
        <v>4.8961858052389191</v>
      </c>
      <c r="AG45" s="17">
        <v>6.7449300983693226</v>
      </c>
      <c r="AH45" s="17">
        <v>1841.5100509047634</v>
      </c>
      <c r="AI45" s="17">
        <v>8.4596572889654507</v>
      </c>
      <c r="AJ45" s="17">
        <v>2.9609954810380685</v>
      </c>
      <c r="AK45" s="17">
        <v>0.56864706856423219</v>
      </c>
      <c r="AL45" s="17">
        <v>1.2915837979286815</v>
      </c>
      <c r="AM45" s="17">
        <v>116.93988490479344</v>
      </c>
      <c r="AN45" s="17">
        <v>0.52062277818179903</v>
      </c>
      <c r="AO45" s="17">
        <v>4.8221330662483143E-3</v>
      </c>
      <c r="AP45" s="17">
        <v>1.9476023494147711E-2</v>
      </c>
      <c r="AQ45" s="17">
        <v>2.7271498159195908</v>
      </c>
      <c r="AR45" s="17">
        <v>38.765435076680966</v>
      </c>
      <c r="AS45" s="17">
        <v>2.1182058299808088E-2</v>
      </c>
    </row>
    <row r="46" spans="1:45" ht="15.5">
      <c r="A46" s="8" t="s">
        <v>22</v>
      </c>
      <c r="B46" s="7"/>
      <c r="C46" s="10" t="s">
        <v>77</v>
      </c>
      <c r="D46" s="15" t="s">
        <v>123</v>
      </c>
      <c r="E46" s="15"/>
      <c r="F46" s="15">
        <v>4</v>
      </c>
      <c r="G46" s="19">
        <v>493065.60996785545</v>
      </c>
      <c r="H46" s="19">
        <v>5.552329648127313</v>
      </c>
      <c r="I46" s="19">
        <v>441999.74840216321</v>
      </c>
      <c r="J46" s="19">
        <v>21.389535170982885</v>
      </c>
      <c r="K46" s="19">
        <v>222.54574550035989</v>
      </c>
      <c r="L46" s="19">
        <v>169.13420873655292</v>
      </c>
      <c r="M46" s="19">
        <v>132.76097421740465</v>
      </c>
      <c r="N46" s="19">
        <v>17916.380556072967</v>
      </c>
      <c r="O46" s="19">
        <v>54.084239747034289</v>
      </c>
      <c r="P46" s="19">
        <v>14.572704735546306</v>
      </c>
      <c r="Q46" s="19">
        <v>5.1733630982602046</v>
      </c>
      <c r="R46" s="19">
        <v>3.87990759856946</v>
      </c>
      <c r="S46" s="19">
        <v>1668.6266570716393</v>
      </c>
      <c r="T46" s="19">
        <v>1.0850845304283512</v>
      </c>
      <c r="U46" s="19">
        <f>0.5*0.035</f>
        <v>1.7500000000000002E-2</v>
      </c>
      <c r="V46" s="19">
        <v>4.7483403687332559E-2</v>
      </c>
      <c r="W46" s="19">
        <v>14.256393659516045</v>
      </c>
      <c r="X46" s="19">
        <v>384.14087592494326</v>
      </c>
      <c r="Y46" s="19">
        <v>352.73261794537285</v>
      </c>
      <c r="Z46" s="19">
        <v>315.30861491952317</v>
      </c>
      <c r="AA46" s="19">
        <v>0.20422088868193189</v>
      </c>
      <c r="AC46" s="17">
        <v>1.4196206645068501</v>
      </c>
      <c r="AD46" s="17">
        <v>2.6445204893388907</v>
      </c>
      <c r="AE46" s="17">
        <v>54.963189580712744</v>
      </c>
      <c r="AF46" s="17">
        <v>14.874131714209369</v>
      </c>
      <c r="AG46" s="17">
        <v>31.860163333840358</v>
      </c>
      <c r="AH46" s="17">
        <v>1941.2993975480922</v>
      </c>
      <c r="AI46" s="17">
        <v>4.584114197856624</v>
      </c>
      <c r="AJ46" s="17">
        <v>2.7789987897328041</v>
      </c>
      <c r="AK46" s="17">
        <v>0.98995987249415718</v>
      </c>
      <c r="AL46" s="17">
        <v>1.3838227259903639</v>
      </c>
      <c r="AM46" s="17">
        <v>276.81626754040701</v>
      </c>
      <c r="AN46" s="17">
        <v>0.47936516934322154</v>
      </c>
      <c r="AO46" s="17">
        <v>3.9208632294203795E-3</v>
      </c>
      <c r="AP46" s="17">
        <v>1.7736041593033242E-2</v>
      </c>
      <c r="AQ46" s="17">
        <v>1.3899335232149095</v>
      </c>
      <c r="AR46" s="17">
        <v>120.14819619267764</v>
      </c>
      <c r="AS46" s="17">
        <v>4.4257224243615563E-2</v>
      </c>
    </row>
    <row r="47" spans="1:45" ht="15.5">
      <c r="A47" s="8" t="s">
        <v>22</v>
      </c>
      <c r="B47" s="7"/>
      <c r="C47" s="10" t="s">
        <v>78</v>
      </c>
      <c r="D47" s="15" t="s">
        <v>123</v>
      </c>
      <c r="E47" s="15"/>
      <c r="F47" s="15">
        <v>5</v>
      </c>
      <c r="G47" s="19">
        <v>495313.3432920432</v>
      </c>
      <c r="H47" s="19">
        <v>5.9565726604797344</v>
      </c>
      <c r="I47" s="19">
        <v>445148.42722782725</v>
      </c>
      <c r="J47" s="19">
        <v>26.172202312864748</v>
      </c>
      <c r="K47" s="19">
        <v>351.58427623247195</v>
      </c>
      <c r="L47" s="19">
        <v>145.41690432993346</v>
      </c>
      <c r="M47" s="19">
        <v>59.634411047751854</v>
      </c>
      <c r="N47" s="19">
        <v>17833.985353468233</v>
      </c>
      <c r="O47" s="19">
        <v>50.124106619403882</v>
      </c>
      <c r="P47" s="19">
        <v>8.9595996557762412</v>
      </c>
      <c r="Q47" s="19">
        <v>6.738315717365686</v>
      </c>
      <c r="R47" s="19">
        <v>3.6894126002354914</v>
      </c>
      <c r="S47" s="19">
        <v>1200.1907196004734</v>
      </c>
      <c r="T47" s="19">
        <v>1.04604357148453</v>
      </c>
      <c r="U47" s="19">
        <f>0.5*0.035</f>
        <v>1.7500000000000002E-2</v>
      </c>
      <c r="V47" s="19">
        <v>6.1592690255943688E-2</v>
      </c>
      <c r="W47" s="19">
        <v>20.042157829992547</v>
      </c>
      <c r="X47" s="19">
        <v>307.41174360637103</v>
      </c>
      <c r="Y47" s="19">
        <v>271.29734129138575</v>
      </c>
      <c r="Z47" s="19">
        <v>268.88159747433565</v>
      </c>
      <c r="AA47" s="19">
        <v>0.1973949559291911</v>
      </c>
      <c r="AC47" s="17">
        <v>0.47888919795182872</v>
      </c>
      <c r="AD47" s="17">
        <v>0.88618644111581668</v>
      </c>
      <c r="AE47" s="17">
        <v>38.250557458934786</v>
      </c>
      <c r="AF47" s="17">
        <v>28.191869754580196</v>
      </c>
      <c r="AG47" s="17">
        <v>18.227237446470166</v>
      </c>
      <c r="AH47" s="17">
        <v>3842.8266331060759</v>
      </c>
      <c r="AI47" s="17">
        <v>8.6247234836640807</v>
      </c>
      <c r="AJ47" s="17">
        <v>2.9712636493363633</v>
      </c>
      <c r="AK47" s="17">
        <v>0.51113417155500074</v>
      </c>
      <c r="AL47" s="17">
        <v>0.52720620324674217</v>
      </c>
      <c r="AM47" s="17">
        <v>142.28380747437853</v>
      </c>
      <c r="AN47" s="17">
        <v>0.67483833215303801</v>
      </c>
      <c r="AO47" s="17">
        <v>4.1220149974031672E-3</v>
      </c>
      <c r="AP47" s="17">
        <v>1.3055049989806465E-2</v>
      </c>
      <c r="AQ47" s="17">
        <v>2.3896966454117461</v>
      </c>
      <c r="AR47" s="17">
        <v>28.014338947917754</v>
      </c>
      <c r="AS47" s="17">
        <v>9.381359091830864E-2</v>
      </c>
    </row>
    <row r="48" spans="1:45" ht="15.5">
      <c r="A48" s="8" t="s">
        <v>22</v>
      </c>
      <c r="B48" s="7"/>
      <c r="C48" s="10" t="s">
        <v>79</v>
      </c>
      <c r="D48" s="15" t="s">
        <v>123</v>
      </c>
      <c r="E48" s="15"/>
      <c r="F48" s="15">
        <v>6</v>
      </c>
      <c r="G48" s="19">
        <v>498333.53101594973</v>
      </c>
      <c r="H48" s="19">
        <v>6.7593235894552892</v>
      </c>
      <c r="I48" s="19">
        <v>447293.67286201386</v>
      </c>
      <c r="J48" s="19">
        <v>26.187490553666912</v>
      </c>
      <c r="K48" s="19">
        <v>307.84791390056375</v>
      </c>
      <c r="L48" s="19">
        <v>209.58231128342652</v>
      </c>
      <c r="M48" s="19">
        <v>67.139922667692048</v>
      </c>
      <c r="N48" s="19">
        <v>18754.442100731067</v>
      </c>
      <c r="O48" s="19">
        <v>61.610287046106322</v>
      </c>
      <c r="P48" s="19">
        <v>7.5541609062636468</v>
      </c>
      <c r="Q48" s="19">
        <v>6.5463006927652811</v>
      </c>
      <c r="R48" s="19">
        <v>2.783187288433691</v>
      </c>
      <c r="S48" s="19">
        <v>1215.2312219792293</v>
      </c>
      <c r="T48" s="19">
        <v>1.4014711259122898</v>
      </c>
      <c r="U48" s="19">
        <f>0.5*0.034</f>
        <v>1.7000000000000001E-2</v>
      </c>
      <c r="V48" s="19">
        <v>7.5449705560288238E-2</v>
      </c>
      <c r="W48" s="19">
        <v>15.155790068109997</v>
      </c>
      <c r="X48" s="19">
        <v>283.59750035864317</v>
      </c>
      <c r="Y48" s="19">
        <v>255.15883861350608</v>
      </c>
      <c r="Z48" s="19">
        <v>252.71164945447674</v>
      </c>
      <c r="AA48" s="19">
        <v>0.17391607454175287</v>
      </c>
      <c r="AC48" s="17">
        <v>4.2099366529279978</v>
      </c>
      <c r="AD48" s="17">
        <v>2.4707279445981527</v>
      </c>
      <c r="AE48" s="17">
        <v>40.859473770193468</v>
      </c>
      <c r="AF48" s="17">
        <v>54.215662434194378</v>
      </c>
      <c r="AG48" s="17">
        <v>14.003713423836032</v>
      </c>
      <c r="AH48" s="17">
        <v>2787.6032257710485</v>
      </c>
      <c r="AI48" s="17">
        <v>13.522437215070447</v>
      </c>
      <c r="AJ48" s="17">
        <v>1.7187921486099498</v>
      </c>
      <c r="AK48" s="17">
        <v>0.71982711375631681</v>
      </c>
      <c r="AL48" s="17">
        <v>0.62589582777598762</v>
      </c>
      <c r="AM48" s="17">
        <v>270.89230768316588</v>
      </c>
      <c r="AN48" s="17">
        <v>0.39273670174840458</v>
      </c>
      <c r="AO48" s="17">
        <v>4.0582711640161084E-3</v>
      </c>
      <c r="AP48" s="17">
        <v>3.0821150427400031E-2</v>
      </c>
      <c r="AQ48" s="17">
        <v>0.93761335700745918</v>
      </c>
      <c r="AR48" s="17">
        <v>44.397272518632455</v>
      </c>
      <c r="AS48" s="17">
        <v>3.8325798749975097E-2</v>
      </c>
    </row>
    <row r="49" spans="1:45" ht="15.5">
      <c r="A49" s="8" t="s">
        <v>22</v>
      </c>
      <c r="B49" s="7"/>
      <c r="C49" s="10" t="s">
        <v>80</v>
      </c>
      <c r="D49" s="15" t="s">
        <v>123</v>
      </c>
      <c r="E49" s="15"/>
      <c r="F49" s="15">
        <v>7</v>
      </c>
      <c r="G49" s="19">
        <v>501213.26402876497</v>
      </c>
      <c r="H49" s="19">
        <v>3.5817965551625672</v>
      </c>
      <c r="I49" s="19">
        <v>433510.05058234732</v>
      </c>
      <c r="J49" s="19">
        <v>29.266633770729023</v>
      </c>
      <c r="K49" s="19">
        <v>480.78909179119427</v>
      </c>
      <c r="L49" s="19">
        <v>117.21299211951312</v>
      </c>
      <c r="M49" s="19">
        <v>92.406424845475129</v>
      </c>
      <c r="N49" s="19">
        <v>18538.364162069887</v>
      </c>
      <c r="O49" s="19">
        <v>61.458065028179831</v>
      </c>
      <c r="P49" s="19">
        <v>10.722794352252862</v>
      </c>
      <c r="Q49" s="19">
        <v>6.4301706718756515</v>
      </c>
      <c r="R49" s="19">
        <v>4.2565717699109413</v>
      </c>
      <c r="S49" s="19">
        <v>1265.5010664808588</v>
      </c>
      <c r="T49" s="19">
        <v>1.2864357796699255</v>
      </c>
      <c r="U49" s="19">
        <f>0.5*0.035</f>
        <v>1.7500000000000002E-2</v>
      </c>
      <c r="V49" s="19">
        <v>0.69104045539213299</v>
      </c>
      <c r="W49" s="19">
        <v>21.319921003986522</v>
      </c>
      <c r="X49" s="19">
        <v>342.66918514531477</v>
      </c>
      <c r="Y49" s="19">
        <v>318.56011602073329</v>
      </c>
      <c r="Z49" s="19">
        <v>300.34379225274881</v>
      </c>
      <c r="AA49" s="19">
        <v>0.38090222480654984</v>
      </c>
      <c r="AC49" s="17">
        <v>1.413963819094983</v>
      </c>
      <c r="AD49" s="17">
        <v>4.1807726443749749</v>
      </c>
      <c r="AE49" s="17">
        <v>119.61374475657145</v>
      </c>
      <c r="AF49" s="17">
        <v>10.811265868392001</v>
      </c>
      <c r="AG49" s="17">
        <v>28.879659631423564</v>
      </c>
      <c r="AH49" s="17">
        <v>1031.7848784457838</v>
      </c>
      <c r="AI49" s="17">
        <v>7.0273952790579166</v>
      </c>
      <c r="AJ49" s="17">
        <v>1.3236204765907986</v>
      </c>
      <c r="AK49" s="17">
        <v>0.53618349472538374</v>
      </c>
      <c r="AL49" s="17">
        <v>0.88297697539150566</v>
      </c>
      <c r="AM49" s="17">
        <v>71.851402781217061</v>
      </c>
      <c r="AN49" s="17">
        <v>9.4177861313034947E-2</v>
      </c>
      <c r="AO49" s="17">
        <v>4.4231118923700966E-3</v>
      </c>
      <c r="AP49" s="17">
        <v>0.66833321237062504</v>
      </c>
      <c r="AQ49" s="17">
        <v>0.61103253728207063</v>
      </c>
      <c r="AR49" s="17">
        <v>21.193239210016948</v>
      </c>
      <c r="AS49" s="17">
        <v>0.24796607743221891</v>
      </c>
    </row>
    <row r="50" spans="1:45" ht="15.5">
      <c r="A50" s="8" t="s">
        <v>22</v>
      </c>
      <c r="B50" s="7"/>
      <c r="C50" s="10" t="s">
        <v>81</v>
      </c>
      <c r="D50" s="15" t="s">
        <v>123</v>
      </c>
      <c r="E50" s="15"/>
      <c r="F50" s="15">
        <v>8</v>
      </c>
      <c r="G50" s="19">
        <v>499254.99950323266</v>
      </c>
      <c r="H50" s="19">
        <v>4.3299225402360229</v>
      </c>
      <c r="I50" s="19">
        <v>445634.40606748924</v>
      </c>
      <c r="J50" s="19">
        <v>25.50545338142279</v>
      </c>
      <c r="K50" s="19">
        <v>475.1817935089864</v>
      </c>
      <c r="L50" s="19">
        <v>157.61186954362637</v>
      </c>
      <c r="M50" s="19">
        <v>123.92933856147856</v>
      </c>
      <c r="N50" s="19">
        <v>22143.105424316738</v>
      </c>
      <c r="O50" s="19">
        <v>75.97890640901872</v>
      </c>
      <c r="P50" s="19">
        <v>9.3026694521707256</v>
      </c>
      <c r="Q50" s="19">
        <v>6.8389319303126506</v>
      </c>
      <c r="R50" s="19">
        <v>3.6187823929264322</v>
      </c>
      <c r="S50" s="19">
        <v>1400.3274914628605</v>
      </c>
      <c r="T50" s="19">
        <v>1.0246792413544856</v>
      </c>
      <c r="U50" s="19">
        <f>0.5*0.035</f>
        <v>1.7500000000000002E-2</v>
      </c>
      <c r="V50" s="19">
        <v>6.9088327840363298E-2</v>
      </c>
      <c r="W50" s="19">
        <v>15.299139828203575</v>
      </c>
      <c r="X50" s="19">
        <v>356.26358723452876</v>
      </c>
      <c r="Y50" s="19">
        <v>330.47121807916096</v>
      </c>
      <c r="Z50" s="19">
        <v>315.51718803280318</v>
      </c>
      <c r="AA50" s="19">
        <v>0.35556747301203884</v>
      </c>
      <c r="AC50" s="17">
        <v>1.8232376583180128</v>
      </c>
      <c r="AD50" s="17">
        <v>1.8379354765760694</v>
      </c>
      <c r="AE50" s="17">
        <v>208.23754722198527</v>
      </c>
      <c r="AF50" s="17">
        <v>47.543548179959856</v>
      </c>
      <c r="AG50" s="17">
        <v>77.413998870349317</v>
      </c>
      <c r="AH50" s="17">
        <v>1991.8348887028405</v>
      </c>
      <c r="AI50" s="17">
        <v>26.465682697821205</v>
      </c>
      <c r="AJ50" s="17">
        <v>2.0270659636664439</v>
      </c>
      <c r="AK50" s="17">
        <v>0.70101167559119937</v>
      </c>
      <c r="AL50" s="17">
        <v>0.59822462466486204</v>
      </c>
      <c r="AM50" s="17">
        <v>125.34367870234297</v>
      </c>
      <c r="AN50" s="17">
        <v>0.407877741964077</v>
      </c>
      <c r="AO50" s="17">
        <v>6.2299317640609553E-3</v>
      </c>
      <c r="AP50" s="17">
        <v>3.0130746775311062E-2</v>
      </c>
      <c r="AQ50" s="17">
        <v>2.7067871296517412</v>
      </c>
      <c r="AR50" s="17">
        <v>23.19082402255642</v>
      </c>
      <c r="AS50" s="17">
        <v>0.28525999122784529</v>
      </c>
    </row>
    <row r="51" spans="1:45" ht="15.5">
      <c r="A51" s="8" t="s">
        <v>22</v>
      </c>
      <c r="B51" s="7"/>
      <c r="C51" s="10" t="s">
        <v>82</v>
      </c>
      <c r="D51" s="15" t="s">
        <v>123</v>
      </c>
      <c r="E51" s="15"/>
      <c r="F51" s="15">
        <v>9</v>
      </c>
      <c r="G51" s="19">
        <v>494377.16502188629</v>
      </c>
      <c r="H51" s="19">
        <v>3.4122396364294572</v>
      </c>
      <c r="I51" s="19">
        <v>462696.69017671951</v>
      </c>
      <c r="J51" s="19">
        <v>18.09528150854397</v>
      </c>
      <c r="K51" s="19">
        <v>271.59464350409178</v>
      </c>
      <c r="L51" s="19">
        <v>62.071899571171834</v>
      </c>
      <c r="M51" s="19">
        <v>123.77318005797073</v>
      </c>
      <c r="N51" s="19">
        <v>20934.72302755915</v>
      </c>
      <c r="O51" s="19">
        <v>61.1058566252388</v>
      </c>
      <c r="P51" s="19">
        <v>7.9401216815687201</v>
      </c>
      <c r="Q51" s="19">
        <v>5.4098937553043207</v>
      </c>
      <c r="R51" s="19">
        <v>3.9524343523021894</v>
      </c>
      <c r="S51" s="19">
        <v>1389.9998287269336</v>
      </c>
      <c r="T51" s="19">
        <f>0.5*0.703</f>
        <v>0.35149999999999998</v>
      </c>
      <c r="U51" s="19">
        <f>0.5*0.031</f>
        <v>1.55E-2</v>
      </c>
      <c r="V51" s="19">
        <v>4.7805042480639215E-2</v>
      </c>
      <c r="W51" s="19">
        <v>14.410012838065731</v>
      </c>
      <c r="X51" s="19">
        <v>336.4269122853583</v>
      </c>
      <c r="Y51" s="19">
        <v>305.33310775506436</v>
      </c>
      <c r="Z51" s="19">
        <v>297.2194852326528</v>
      </c>
      <c r="AA51" s="19">
        <v>6.7792296585569733E-2</v>
      </c>
      <c r="AC51" s="17">
        <v>0.40366519683272739</v>
      </c>
      <c r="AD51" s="17">
        <v>2.5714452499095688</v>
      </c>
      <c r="AE51" s="17">
        <v>13.680174858820585</v>
      </c>
      <c r="AF51" s="17">
        <v>7.8084460122366925</v>
      </c>
      <c r="AG51" s="17">
        <v>126.52471571173697</v>
      </c>
      <c r="AH51" s="17">
        <v>1434.5870468317369</v>
      </c>
      <c r="AI51" s="17">
        <v>13.144064137076304</v>
      </c>
      <c r="AJ51" s="17">
        <v>3.0053269505300397</v>
      </c>
      <c r="AK51" s="17">
        <v>0.94240906580040229</v>
      </c>
      <c r="AL51" s="17">
        <v>2.551350621335164</v>
      </c>
      <c r="AM51" s="17">
        <v>338.55121827472976</v>
      </c>
      <c r="AN51" s="17">
        <v>0.245525845787953</v>
      </c>
      <c r="AO51" s="17">
        <v>3.5165261529839596E-3</v>
      </c>
      <c r="AP51" s="17">
        <v>2.4418372615614525E-2</v>
      </c>
      <c r="AQ51" s="17">
        <v>1.4337996112858309</v>
      </c>
      <c r="AR51" s="17">
        <v>38.477851423422756</v>
      </c>
      <c r="AS51" s="17">
        <v>3.1202671654111325E-2</v>
      </c>
    </row>
    <row r="52" spans="1:45" ht="15.5">
      <c r="A52" s="8" t="s">
        <v>22</v>
      </c>
      <c r="B52" s="7"/>
      <c r="C52" s="10" t="s">
        <v>26</v>
      </c>
      <c r="D52" s="15" t="s">
        <v>123</v>
      </c>
      <c r="E52" s="15"/>
      <c r="F52" s="15">
        <v>10</v>
      </c>
      <c r="G52" s="19">
        <v>495950.64190419979</v>
      </c>
      <c r="H52" s="19">
        <v>6.3585831602406273</v>
      </c>
      <c r="I52" s="19">
        <v>456678.55657381378</v>
      </c>
      <c r="J52" s="19">
        <v>27.133354516480448</v>
      </c>
      <c r="K52" s="19">
        <v>528.52707781391837</v>
      </c>
      <c r="L52" s="19">
        <v>135.00142150296674</v>
      </c>
      <c r="M52" s="19">
        <v>89.363866279061284</v>
      </c>
      <c r="N52" s="19">
        <v>19033.213099551911</v>
      </c>
      <c r="O52" s="19">
        <v>79.713443168288649</v>
      </c>
      <c r="P52" s="19">
        <v>18.390668877376591</v>
      </c>
      <c r="Q52" s="19">
        <v>6.0160779140081466</v>
      </c>
      <c r="R52" s="19">
        <v>3.2010054187974233</v>
      </c>
      <c r="S52" s="19">
        <v>1336.1050139181652</v>
      </c>
      <c r="T52" s="19">
        <v>1.0192918371320758</v>
      </c>
      <c r="U52" s="19">
        <f>0.5*0.033</f>
        <v>1.6500000000000001E-2</v>
      </c>
      <c r="V52" s="19">
        <v>8.678116793062246E-2</v>
      </c>
      <c r="W52" s="19">
        <v>16.361415548987392</v>
      </c>
      <c r="X52" s="19">
        <v>409.77226993195438</v>
      </c>
      <c r="Y52" s="19">
        <v>362.22719153213984</v>
      </c>
      <c r="Z52" s="19">
        <v>373.41315852225409</v>
      </c>
      <c r="AA52" s="19">
        <v>0.77037865206023159</v>
      </c>
      <c r="AC52" s="17">
        <v>4.2457129298544167</v>
      </c>
      <c r="AD52" s="17">
        <v>3.8816346205025654</v>
      </c>
      <c r="AE52" s="17">
        <v>101.95527714474035</v>
      </c>
      <c r="AF52" s="17">
        <v>21.130427037931216</v>
      </c>
      <c r="AG52" s="17">
        <v>36.559694383317407</v>
      </c>
      <c r="AH52" s="17">
        <v>2458.8407044811515</v>
      </c>
      <c r="AI52" s="17">
        <v>6.1729163098583584</v>
      </c>
      <c r="AJ52" s="17">
        <v>6.8722380955556401</v>
      </c>
      <c r="AK52" s="17">
        <v>0.65874702792919915</v>
      </c>
      <c r="AL52" s="17">
        <v>0.88920584252849344</v>
      </c>
      <c r="AM52" s="17">
        <v>437.95328304760204</v>
      </c>
      <c r="AN52" s="17">
        <v>0.61829996276136867</v>
      </c>
      <c r="AO52" s="17">
        <v>4.4307155877268967E-3</v>
      </c>
      <c r="AP52" s="17">
        <v>3.025226345857418E-2</v>
      </c>
      <c r="AQ52" s="17">
        <v>1.8279423974529128</v>
      </c>
      <c r="AR52" s="17">
        <v>13.716376504271871</v>
      </c>
      <c r="AS52" s="17">
        <v>0.34867974029976873</v>
      </c>
    </row>
    <row r="53" spans="1:45" ht="15.5">
      <c r="A53" s="8" t="s">
        <v>22</v>
      </c>
      <c r="B53" s="7"/>
      <c r="C53" s="10" t="s">
        <v>27</v>
      </c>
      <c r="D53" s="15" t="s">
        <v>123</v>
      </c>
      <c r="E53" s="15"/>
      <c r="F53" s="15">
        <v>11</v>
      </c>
      <c r="G53" s="19">
        <v>508032.23359242681</v>
      </c>
      <c r="H53" s="19">
        <v>4.9012315154106503</v>
      </c>
      <c r="I53" s="19">
        <v>445645.56629290333</v>
      </c>
      <c r="J53" s="19">
        <v>21.550221807051766</v>
      </c>
      <c r="K53" s="19">
        <v>373.49322034538818</v>
      </c>
      <c r="L53" s="19">
        <v>109.56961613676219</v>
      </c>
      <c r="M53" s="19">
        <v>304.27734720187391</v>
      </c>
      <c r="N53" s="19">
        <v>18746.810788816234</v>
      </c>
      <c r="O53" s="19">
        <v>52.040125646496705</v>
      </c>
      <c r="P53" s="19">
        <v>18.000180656975061</v>
      </c>
      <c r="Q53" s="19">
        <v>8.2557407922879698</v>
      </c>
      <c r="R53" s="19">
        <v>7.3368713884498469</v>
      </c>
      <c r="S53" s="19">
        <v>1362.5919452674534</v>
      </c>
      <c r="T53" s="19">
        <v>1.9036161297035488</v>
      </c>
      <c r="U53" s="19">
        <f>0.5*0.033</f>
        <v>1.6500000000000001E-2</v>
      </c>
      <c r="V53" s="19">
        <v>5.5706983150825534E-2</v>
      </c>
      <c r="W53" s="19">
        <v>18.053381031600907</v>
      </c>
      <c r="X53" s="19">
        <v>383.86299456129404</v>
      </c>
      <c r="Y53" s="19">
        <v>344.89846445004616</v>
      </c>
      <c r="Z53" s="19">
        <v>323.96514692508163</v>
      </c>
      <c r="AA53" s="19">
        <v>0.42936768659084718</v>
      </c>
      <c r="AC53" s="17">
        <v>1.2772157114948388</v>
      </c>
      <c r="AD53" s="17">
        <v>1.3722058745810177</v>
      </c>
      <c r="AE53" s="17">
        <v>48.204932065171583</v>
      </c>
      <c r="AF53" s="17">
        <v>20.629639714677452</v>
      </c>
      <c r="AG53" s="17">
        <v>76.071651752119664</v>
      </c>
      <c r="AH53" s="17">
        <v>3159.5776016307095</v>
      </c>
      <c r="AI53" s="17">
        <v>3.4363604476459928</v>
      </c>
      <c r="AJ53" s="17">
        <v>4.6935806531705468</v>
      </c>
      <c r="AK53" s="17">
        <v>0.64118302453875731</v>
      </c>
      <c r="AL53" s="17">
        <v>2.0972313767769224</v>
      </c>
      <c r="AM53" s="17">
        <v>117.01899706875673</v>
      </c>
      <c r="AN53" s="17">
        <v>0.56200353021964944</v>
      </c>
      <c r="AO53" s="17">
        <v>8.3200198144531001E-3</v>
      </c>
      <c r="AP53" s="17">
        <v>2.0931769748772193E-2</v>
      </c>
      <c r="AQ53" s="17">
        <v>1.2741456740087436</v>
      </c>
      <c r="AR53" s="17">
        <v>33.119989322137521</v>
      </c>
      <c r="AS53" s="17">
        <v>8.9177988924640225E-2</v>
      </c>
    </row>
    <row r="54" spans="1:45" ht="15.5">
      <c r="A54" s="8" t="s">
        <v>22</v>
      </c>
      <c r="B54" s="7"/>
      <c r="C54" s="13" t="s">
        <v>83</v>
      </c>
      <c r="D54" s="15">
        <v>79990</v>
      </c>
      <c r="E54" s="15">
        <f>MEDIAN(K54:K63)</f>
        <v>270.76231023972139</v>
      </c>
      <c r="F54" s="15">
        <v>1</v>
      </c>
      <c r="G54" s="19">
        <v>511672.40319545887</v>
      </c>
      <c r="H54" s="19">
        <v>26.245491394207622</v>
      </c>
      <c r="I54" s="19">
        <v>432505.48146242829</v>
      </c>
      <c r="J54" s="19">
        <v>156.0176088955115</v>
      </c>
      <c r="K54" s="19">
        <v>329.48601335234582</v>
      </c>
      <c r="L54" s="19">
        <v>273.94144417541918</v>
      </c>
      <c r="M54" s="19">
        <v>34.333880484517294</v>
      </c>
      <c r="N54" s="19">
        <v>258.8083328271664</v>
      </c>
      <c r="O54" s="19">
        <v>190.89328639832979</v>
      </c>
      <c r="P54" s="19">
        <v>9.3994890408154443</v>
      </c>
      <c r="Q54" s="19">
        <v>5.3825406752288094</v>
      </c>
      <c r="R54" s="19">
        <v>1.1882558151245206</v>
      </c>
      <c r="S54" s="19">
        <v>159.1200065852465</v>
      </c>
      <c r="T54" s="19">
        <v>0.99323593632579943</v>
      </c>
      <c r="U54" s="19">
        <f>0.5*0.041</f>
        <v>2.0500000000000001E-2</v>
      </c>
      <c r="V54" s="19">
        <v>0.16262230806421413</v>
      </c>
      <c r="W54" s="19">
        <v>1.8874902147209864</v>
      </c>
      <c r="X54" s="19">
        <v>503.80740855690965</v>
      </c>
      <c r="Y54" s="19">
        <v>441.88262141533096</v>
      </c>
      <c r="Z54" s="19">
        <v>458.85615408020521</v>
      </c>
      <c r="AA54" s="19">
        <v>1.5623974585066289</v>
      </c>
      <c r="AC54" s="18">
        <v>7.540159137054224</v>
      </c>
      <c r="AD54" s="18">
        <v>7.5633474820594282</v>
      </c>
      <c r="AE54" s="18">
        <v>21.859459390614777</v>
      </c>
      <c r="AF54" s="18">
        <v>61.282933023215449</v>
      </c>
      <c r="AG54" s="18">
        <v>165.97899724032592</v>
      </c>
      <c r="AH54" s="18">
        <v>77.181301780282581</v>
      </c>
      <c r="AI54" s="18">
        <v>35.956688395196593</v>
      </c>
      <c r="AJ54" s="18">
        <v>0.81210749022730622</v>
      </c>
      <c r="AK54" s="18">
        <v>0.47772479720024214</v>
      </c>
      <c r="AL54" s="18">
        <v>3.0112982158209509</v>
      </c>
      <c r="AM54" s="18">
        <v>20.131069364222007</v>
      </c>
      <c r="AN54" s="18">
        <v>0.41266199790414293</v>
      </c>
      <c r="AO54" s="18">
        <v>6.0506946518460898E-3</v>
      </c>
      <c r="AP54" s="18">
        <v>0.14418673112755659</v>
      </c>
      <c r="AQ54" s="18">
        <v>0.2386224543738926</v>
      </c>
      <c r="AR54" s="18">
        <v>104.63510449858397</v>
      </c>
      <c r="AS54" s="18">
        <v>0.30328937769864145</v>
      </c>
    </row>
    <row r="55" spans="1:45" ht="15.5">
      <c r="A55" s="8" t="s">
        <v>22</v>
      </c>
      <c r="B55" s="7"/>
      <c r="C55" s="13" t="s">
        <v>84</v>
      </c>
      <c r="D55" s="15">
        <v>79990</v>
      </c>
      <c r="E55" s="15"/>
      <c r="F55" s="15">
        <v>2</v>
      </c>
      <c r="G55" s="19">
        <v>502401.77402950334</v>
      </c>
      <c r="H55" s="19">
        <v>53.470371868514889</v>
      </c>
      <c r="I55" s="19">
        <v>424952.00151903415</v>
      </c>
      <c r="J55" s="19">
        <v>100.7877705176827</v>
      </c>
      <c r="K55" s="19">
        <v>280.55263516541618</v>
      </c>
      <c r="L55" s="19">
        <v>186.83451331617135</v>
      </c>
      <c r="M55" s="19" t="s">
        <v>25</v>
      </c>
      <c r="N55" s="19">
        <v>217.32692774437567</v>
      </c>
      <c r="O55" s="19">
        <v>118.54738995040078</v>
      </c>
      <c r="P55" s="19">
        <v>6.3886937202418999</v>
      </c>
      <c r="Q55" s="19">
        <v>5.8176632380896347</v>
      </c>
      <c r="R55" s="19">
        <v>1.4538430386923449</v>
      </c>
      <c r="S55" s="19">
        <v>108.33524889195292</v>
      </c>
      <c r="T55" s="19">
        <v>1.1898873403775854</v>
      </c>
      <c r="U55" s="19">
        <f>0.5*0.042</f>
        <v>2.1000000000000001E-2</v>
      </c>
      <c r="V55" s="19">
        <v>1.1670368589286291</v>
      </c>
      <c r="W55" s="19">
        <v>2.4245101221201226</v>
      </c>
      <c r="X55" s="19">
        <v>363.68043986988835</v>
      </c>
      <c r="Y55" s="19">
        <v>334.02895665286394</v>
      </c>
      <c r="Z55" s="19">
        <v>351.43049599280653</v>
      </c>
      <c r="AA55" s="19">
        <v>1.7681308594697345</v>
      </c>
      <c r="AC55" s="18">
        <v>11.102615077029066</v>
      </c>
      <c r="AD55" s="18">
        <v>15.071328554067744</v>
      </c>
      <c r="AE55" s="18">
        <v>23.162155925715272</v>
      </c>
      <c r="AF55" s="18">
        <v>21.711337053984906</v>
      </c>
      <c r="AG55" s="18">
        <v>24.739037426811862</v>
      </c>
      <c r="AH55" s="18">
        <v>40.513835650543832</v>
      </c>
      <c r="AI55" s="18">
        <v>7.5917782942501342</v>
      </c>
      <c r="AJ55" s="18">
        <v>1.1205755197384621</v>
      </c>
      <c r="AK55" s="18">
        <v>0.92699218110091586</v>
      </c>
      <c r="AL55" s="18">
        <v>0.34430283342298057</v>
      </c>
      <c r="AM55" s="18">
        <v>19.917314525036982</v>
      </c>
      <c r="AN55" s="18">
        <v>0.40268888502483013</v>
      </c>
      <c r="AO55" s="18">
        <v>6.0952348577796352E-3</v>
      </c>
      <c r="AP55" s="18">
        <v>0.53319603481437561</v>
      </c>
      <c r="AQ55" s="18">
        <v>0.23245933206488595</v>
      </c>
      <c r="AR55" s="18">
        <v>38.328599806853887</v>
      </c>
      <c r="AS55" s="18">
        <v>0.28538758668753511</v>
      </c>
    </row>
    <row r="56" spans="1:45" ht="15.5">
      <c r="A56" s="8" t="s">
        <v>22</v>
      </c>
      <c r="B56" s="7"/>
      <c r="C56" s="13" t="s">
        <v>85</v>
      </c>
      <c r="D56" s="15">
        <v>79990</v>
      </c>
      <c r="E56" s="15"/>
      <c r="F56" s="15">
        <v>3</v>
      </c>
      <c r="G56" s="19">
        <v>531112.22310483526</v>
      </c>
      <c r="H56" s="19">
        <v>25.130166770886433</v>
      </c>
      <c r="I56" s="19">
        <v>420971.63409848674</v>
      </c>
      <c r="J56" s="19">
        <v>143.56868746991591</v>
      </c>
      <c r="K56" s="19">
        <v>243.26178430877656</v>
      </c>
      <c r="L56" s="19">
        <v>114.64230126085658</v>
      </c>
      <c r="M56" s="19">
        <v>91.12800711356067</v>
      </c>
      <c r="N56" s="19">
        <v>154.88251189694245</v>
      </c>
      <c r="O56" s="19">
        <v>139.81101240286534</v>
      </c>
      <c r="P56" s="19">
        <v>5.7209077375574271</v>
      </c>
      <c r="Q56" s="19">
        <v>4.2572079010189148</v>
      </c>
      <c r="R56" s="19">
        <v>1.9214041190528968</v>
      </c>
      <c r="S56" s="19">
        <v>112.30786614756084</v>
      </c>
      <c r="T56" s="19">
        <v>1.9189689058203099</v>
      </c>
      <c r="U56" s="19">
        <v>5.9934351148640264E-2</v>
      </c>
      <c r="V56" s="19">
        <v>0.20216396337227799</v>
      </c>
      <c r="W56" s="19">
        <v>1.7573314159702198</v>
      </c>
      <c r="X56" s="19">
        <v>886.75251335185226</v>
      </c>
      <c r="Y56" s="19">
        <v>833.59862763224419</v>
      </c>
      <c r="Z56" s="19">
        <v>805.26124618186441</v>
      </c>
      <c r="AA56" s="19">
        <v>0.74471408461120348</v>
      </c>
      <c r="AC56" s="18">
        <v>28.783628047740393</v>
      </c>
      <c r="AD56" s="18">
        <v>13.763050622052036</v>
      </c>
      <c r="AE56" s="18">
        <v>32.648119218973861</v>
      </c>
      <c r="AF56" s="18">
        <v>31.505767328448794</v>
      </c>
      <c r="AG56" s="18">
        <v>40.469111253059026</v>
      </c>
      <c r="AH56" s="18">
        <v>45.346799629718319</v>
      </c>
      <c r="AI56" s="18">
        <v>21.047323421067997</v>
      </c>
      <c r="AJ56" s="18">
        <v>0.77215973821008044</v>
      </c>
      <c r="AK56" s="18">
        <v>0.822848046208003</v>
      </c>
      <c r="AL56" s="18">
        <v>1.0313583925519827</v>
      </c>
      <c r="AM56" s="18">
        <v>28.192474839704406</v>
      </c>
      <c r="AN56" s="18">
        <v>0.67873980381974031</v>
      </c>
      <c r="AO56" s="18">
        <v>2.1067083722561688E-2</v>
      </c>
      <c r="AP56" s="18">
        <v>9.8614200599443966E-2</v>
      </c>
      <c r="AQ56" s="18">
        <v>0.33985301831904963</v>
      </c>
      <c r="AR56" s="18">
        <v>174.76964322847962</v>
      </c>
      <c r="AS56" s="18">
        <v>0.32380830602567623</v>
      </c>
    </row>
    <row r="57" spans="1:45" ht="15.5">
      <c r="A57" s="8" t="s">
        <v>22</v>
      </c>
      <c r="B57" s="7"/>
      <c r="C57" s="13" t="s">
        <v>86</v>
      </c>
      <c r="D57" s="15">
        <v>79990</v>
      </c>
      <c r="E57" s="15"/>
      <c r="F57" s="15">
        <v>4</v>
      </c>
      <c r="G57" s="19">
        <v>514589.83958839235</v>
      </c>
      <c r="H57" s="19">
        <v>98.860811891618212</v>
      </c>
      <c r="I57" s="19">
        <v>421295.47440121102</v>
      </c>
      <c r="J57" s="19">
        <v>128.19531865171479</v>
      </c>
      <c r="K57" s="19">
        <v>432.46498490211638</v>
      </c>
      <c r="L57" s="19">
        <v>216.27259189397114</v>
      </c>
      <c r="M57" s="19" t="s">
        <v>25</v>
      </c>
      <c r="N57" s="19">
        <v>318.612068694887</v>
      </c>
      <c r="O57" s="19">
        <v>188.95256202930258</v>
      </c>
      <c r="P57" s="19">
        <v>6.4415672782746904</v>
      </c>
      <c r="Q57" s="19">
        <v>5.5303377248013526</v>
      </c>
      <c r="R57" s="19">
        <v>0.77505731292185054</v>
      </c>
      <c r="S57" s="19">
        <v>229.99121534876667</v>
      </c>
      <c r="T57" s="19">
        <f>0.5*0.983</f>
        <v>0.49149999999999999</v>
      </c>
      <c r="U57" s="19">
        <f>0.5*0.043</f>
        <v>2.1499999999999998E-2</v>
      </c>
      <c r="V57" s="19">
        <v>0.48898068977947085</v>
      </c>
      <c r="W57" s="19">
        <v>2.5822791050160356</v>
      </c>
      <c r="X57" s="19">
        <v>723.2725046172153</v>
      </c>
      <c r="Y57" s="19">
        <v>678.52406658941993</v>
      </c>
      <c r="Z57" s="19">
        <v>655.73295356362871</v>
      </c>
      <c r="AA57" s="19">
        <v>1.3320201159060738</v>
      </c>
      <c r="AC57" s="18">
        <v>34.283717735712408</v>
      </c>
      <c r="AD57" s="18">
        <v>20.696685756030771</v>
      </c>
      <c r="AE57" s="18">
        <v>99.653526589344494</v>
      </c>
      <c r="AF57" s="18">
        <v>52.6720724221423</v>
      </c>
      <c r="AG57" s="18">
        <v>83.681470530564525</v>
      </c>
      <c r="AH57" s="18">
        <v>21.352642483156316</v>
      </c>
      <c r="AI57" s="18">
        <v>21.97810180719668</v>
      </c>
      <c r="AJ57" s="18">
        <v>0.84656915373237951</v>
      </c>
      <c r="AK57" s="18">
        <v>1.026264865571306</v>
      </c>
      <c r="AL57" s="18">
        <v>1.2299916310483476</v>
      </c>
      <c r="AM57" s="18">
        <v>17.570062774665143</v>
      </c>
      <c r="AN57" s="18">
        <v>0.29174616153269523</v>
      </c>
      <c r="AO57" s="18">
        <v>7.133822676485802E-3</v>
      </c>
      <c r="AP57" s="18">
        <v>0.16374030538183726</v>
      </c>
      <c r="AQ57" s="18">
        <v>0.34441299669658082</v>
      </c>
      <c r="AR57" s="18">
        <v>569.18932089599855</v>
      </c>
      <c r="AS57" s="18">
        <v>9.7928768612086436E-2</v>
      </c>
    </row>
    <row r="58" spans="1:45" ht="15.5">
      <c r="A58" s="8" t="s">
        <v>22</v>
      </c>
      <c r="B58" s="7"/>
      <c r="C58" s="13" t="s">
        <v>87</v>
      </c>
      <c r="D58" s="15">
        <v>79990</v>
      </c>
      <c r="E58" s="15"/>
      <c r="F58" s="15">
        <v>5</v>
      </c>
      <c r="G58" s="19">
        <v>521142.40586614324</v>
      </c>
      <c r="H58" s="19" t="s">
        <v>25</v>
      </c>
      <c r="I58" s="19">
        <v>414963.58242234617</v>
      </c>
      <c r="J58" s="19">
        <v>52.321533402540922</v>
      </c>
      <c r="K58" s="19">
        <v>309.61368859714719</v>
      </c>
      <c r="L58" s="19">
        <v>326.36805168436592</v>
      </c>
      <c r="M58" s="19">
        <v>23.809171850470463</v>
      </c>
      <c r="N58" s="19">
        <v>552.95443798038559</v>
      </c>
      <c r="O58" s="19">
        <v>202.54396345707451</v>
      </c>
      <c r="P58" s="19">
        <v>3.2206970681959923</v>
      </c>
      <c r="Q58" s="19">
        <v>3.6748700291508349</v>
      </c>
      <c r="R58" s="19">
        <v>1.8929655943696695</v>
      </c>
      <c r="S58" s="19">
        <v>430.16801105242939</v>
      </c>
      <c r="T58" s="19">
        <v>1.1702035224401932</v>
      </c>
      <c r="U58" s="19">
        <f>0.5*0.041</f>
        <v>2.0500000000000001E-2</v>
      </c>
      <c r="V58" s="19">
        <v>7.3555417058872141E-2</v>
      </c>
      <c r="W58" s="19">
        <v>3.5236248498491261</v>
      </c>
      <c r="X58" s="19">
        <v>452.05402267894476</v>
      </c>
      <c r="Y58" s="19">
        <v>405.82666288825595</v>
      </c>
      <c r="Z58" s="19">
        <v>375.32401075304199</v>
      </c>
      <c r="AA58" s="19">
        <v>0.44374037168832992</v>
      </c>
      <c r="AC58" s="18">
        <v>36.894533021322353</v>
      </c>
      <c r="AD58" s="18">
        <v>26.986575319194298</v>
      </c>
      <c r="AE58" s="18">
        <v>57.258464686499657</v>
      </c>
      <c r="AF58" s="18">
        <v>78.148555196408225</v>
      </c>
      <c r="AG58" s="18">
        <v>13.238490395062692</v>
      </c>
      <c r="AH58" s="18">
        <v>68.520093110661591</v>
      </c>
      <c r="AI58" s="18">
        <v>24.993394737571553</v>
      </c>
      <c r="AJ58" s="18">
        <v>0.62007074006520035</v>
      </c>
      <c r="AK58" s="18">
        <v>1.1517265345530889</v>
      </c>
      <c r="AL58" s="18">
        <v>0.55564260379366714</v>
      </c>
      <c r="AM58" s="18">
        <v>68.347341042355865</v>
      </c>
      <c r="AN58" s="18">
        <v>0.47636086347832546</v>
      </c>
      <c r="AO58" s="18">
        <v>5.3899226268377936E-3</v>
      </c>
      <c r="AP58" s="18">
        <v>0.18455489192861793</v>
      </c>
      <c r="AQ58" s="18">
        <v>0.36855895674366662</v>
      </c>
      <c r="AR58" s="18">
        <v>19.121692925461563</v>
      </c>
      <c r="AS58" s="18">
        <v>0.38637131683137876</v>
      </c>
    </row>
    <row r="59" spans="1:45" ht="15.5">
      <c r="A59" s="8" t="s">
        <v>22</v>
      </c>
      <c r="B59" s="7"/>
      <c r="C59" s="13" t="s">
        <v>88</v>
      </c>
      <c r="D59" s="15">
        <v>79990</v>
      </c>
      <c r="E59" s="15"/>
      <c r="F59" s="15">
        <v>6</v>
      </c>
      <c r="G59" s="19">
        <v>502011.21250911016</v>
      </c>
      <c r="H59" s="19">
        <v>37.279726750680467</v>
      </c>
      <c r="I59" s="19">
        <v>444990.95863993204</v>
      </c>
      <c r="J59" s="19">
        <v>187.83034478168437</v>
      </c>
      <c r="K59" s="19">
        <v>387.90860598556401</v>
      </c>
      <c r="L59" s="19">
        <v>184.44844035824144</v>
      </c>
      <c r="M59" s="19">
        <v>49.392266895845978</v>
      </c>
      <c r="N59" s="19">
        <v>478.8128131912232</v>
      </c>
      <c r="O59" s="19">
        <v>207.66783473683608</v>
      </c>
      <c r="P59" s="19">
        <v>4.0358028714168626</v>
      </c>
      <c r="Q59" s="19">
        <v>6.7430602693533208</v>
      </c>
      <c r="R59" s="19">
        <v>2.2667610542768388</v>
      </c>
      <c r="S59" s="19">
        <v>350.05004257173937</v>
      </c>
      <c r="T59" s="19">
        <v>1.3024463795838281</v>
      </c>
      <c r="U59" s="19">
        <f>0.5*0.042</f>
        <v>2.1000000000000001E-2</v>
      </c>
      <c r="V59" s="19">
        <v>0.83824321724673645</v>
      </c>
      <c r="W59" s="19">
        <v>2.7659441461708467</v>
      </c>
      <c r="X59" s="19">
        <v>481.99835696952238</v>
      </c>
      <c r="Y59" s="19">
        <v>442.51499139432769</v>
      </c>
      <c r="Z59" s="19">
        <v>454.95588774479256</v>
      </c>
      <c r="AA59" s="19">
        <v>1.5740606722781372</v>
      </c>
      <c r="AC59" s="18">
        <v>15.761315441566893</v>
      </c>
      <c r="AD59" s="18">
        <v>55.528527466370534</v>
      </c>
      <c r="AE59" s="18">
        <v>57.9334423666131</v>
      </c>
      <c r="AF59" s="18">
        <v>91.059870411354808</v>
      </c>
      <c r="AG59" s="18">
        <v>10.608463352628021</v>
      </c>
      <c r="AH59" s="18">
        <v>35.505336617518473</v>
      </c>
      <c r="AI59" s="18">
        <v>14.6038035315312</v>
      </c>
      <c r="AJ59" s="18">
        <v>0.59095798146693856</v>
      </c>
      <c r="AK59" s="18">
        <v>1.2876767074989766</v>
      </c>
      <c r="AL59" s="18">
        <v>0.34179308407747755</v>
      </c>
      <c r="AM59" s="18">
        <v>28.006002373412919</v>
      </c>
      <c r="AN59" s="18">
        <v>0.74334080514459977</v>
      </c>
      <c r="AO59" s="18">
        <v>6.8460362687796789E-3</v>
      </c>
      <c r="AP59" s="18">
        <v>0.57540264186135281</v>
      </c>
      <c r="AQ59" s="18">
        <v>0.23332904387704054</v>
      </c>
      <c r="AR59" s="18">
        <v>40.571888641712484</v>
      </c>
      <c r="AS59" s="18">
        <v>0.24796686913610189</v>
      </c>
    </row>
    <row r="60" spans="1:45" ht="15.5">
      <c r="A60" s="8" t="s">
        <v>22</v>
      </c>
      <c r="B60" s="7"/>
      <c r="C60" s="13" t="s">
        <v>89</v>
      </c>
      <c r="D60" s="15">
        <v>79990</v>
      </c>
      <c r="E60" s="15"/>
      <c r="F60" s="15">
        <v>7</v>
      </c>
      <c r="G60" s="19">
        <v>515662.28729030164</v>
      </c>
      <c r="H60" s="19">
        <v>54.568133695935359</v>
      </c>
      <c r="I60" s="19">
        <v>388920.92858472385</v>
      </c>
      <c r="J60" s="19">
        <v>243.56710952519342</v>
      </c>
      <c r="K60" s="19">
        <v>241.6632632512447</v>
      </c>
      <c r="L60" s="19">
        <v>179.04401984407127</v>
      </c>
      <c r="M60" s="19" t="s">
        <v>25</v>
      </c>
      <c r="N60" s="19">
        <v>547.17552527289649</v>
      </c>
      <c r="O60" s="19">
        <v>156.13740673378857</v>
      </c>
      <c r="P60" s="19">
        <v>3.8622502322430261</v>
      </c>
      <c r="Q60" s="19">
        <v>7.1811920833998153</v>
      </c>
      <c r="R60" s="19">
        <v>1.0083674312951274</v>
      </c>
      <c r="S60" s="19">
        <v>418.6634168095012</v>
      </c>
      <c r="T60" s="19">
        <v>1.6508260105613255</v>
      </c>
      <c r="U60" s="19">
        <f>0.5*0.042</f>
        <v>2.1000000000000001E-2</v>
      </c>
      <c r="V60" s="19">
        <v>4.1244354799433722</v>
      </c>
      <c r="W60" s="19">
        <v>4.0124210248499068</v>
      </c>
      <c r="X60" s="19">
        <v>268.66566278676328</v>
      </c>
      <c r="Y60" s="19">
        <v>270.84231431029707</v>
      </c>
      <c r="Z60" s="19">
        <v>275.01052996673764</v>
      </c>
      <c r="AA60" s="19">
        <v>1.1942051259164421</v>
      </c>
      <c r="AC60" s="18">
        <v>17.577036608949413</v>
      </c>
      <c r="AD60" s="18">
        <v>40.801933235545341</v>
      </c>
      <c r="AE60" s="18">
        <v>38.769846850795446</v>
      </c>
      <c r="AF60" s="18">
        <v>49.899386326515682</v>
      </c>
      <c r="AG60" s="18">
        <v>72.396353265357249</v>
      </c>
      <c r="AH60" s="18">
        <v>41.614598241635967</v>
      </c>
      <c r="AI60" s="18">
        <v>10.886065060002332</v>
      </c>
      <c r="AJ60" s="18">
        <v>0.36114610833559224</v>
      </c>
      <c r="AK60" s="18">
        <v>0.21913259998869705</v>
      </c>
      <c r="AL60" s="18">
        <v>1.3819122744187402</v>
      </c>
      <c r="AM60" s="18">
        <v>31.597022687685687</v>
      </c>
      <c r="AN60" s="18">
        <v>0.63372636671724869</v>
      </c>
      <c r="AO60" s="18">
        <v>5.5340478435335575E-3</v>
      </c>
      <c r="AP60" s="18">
        <v>3.0620130052890406</v>
      </c>
      <c r="AQ60" s="18">
        <v>0.3744873291125379</v>
      </c>
      <c r="AR60" s="18">
        <v>23.781683416452719</v>
      </c>
      <c r="AS60" s="18">
        <v>0.1543218127337263</v>
      </c>
    </row>
    <row r="61" spans="1:45" ht="15.5">
      <c r="A61" s="8" t="s">
        <v>22</v>
      </c>
      <c r="B61" s="7"/>
      <c r="C61" s="13" t="s">
        <v>90</v>
      </c>
      <c r="D61" s="15">
        <v>79990</v>
      </c>
      <c r="E61" s="15"/>
      <c r="F61" s="15">
        <v>8</v>
      </c>
      <c r="G61" s="19">
        <v>507827.78600424179</v>
      </c>
      <c r="H61" s="19">
        <v>10.73243517611504</v>
      </c>
      <c r="I61" s="19">
        <v>427983.74016781809</v>
      </c>
      <c r="J61" s="19">
        <v>449.42606352108805</v>
      </c>
      <c r="K61" s="19">
        <v>241.00972924815869</v>
      </c>
      <c r="L61" s="19">
        <v>405.84028532316347</v>
      </c>
      <c r="M61" s="19">
        <v>102.63067283917289</v>
      </c>
      <c r="N61" s="19">
        <v>498.41583621625057</v>
      </c>
      <c r="O61" s="19">
        <v>140.59076382707696</v>
      </c>
      <c r="P61" s="19">
        <v>3.6278892039376451</v>
      </c>
      <c r="Q61" s="19">
        <v>6.3790545184633487</v>
      </c>
      <c r="R61" s="19">
        <v>3.0112026161745726</v>
      </c>
      <c r="S61" s="19">
        <v>364.31610042521515</v>
      </c>
      <c r="T61" s="19">
        <f>0.5*0.92</f>
        <v>0.46</v>
      </c>
      <c r="U61" s="19">
        <f>0.5*0.041</f>
        <v>2.0500000000000001E-2</v>
      </c>
      <c r="V61" s="19">
        <v>9.5922143548752947E-2</v>
      </c>
      <c r="W61" s="19">
        <v>4.3892064241284174</v>
      </c>
      <c r="X61" s="19">
        <v>193.95685782964165</v>
      </c>
      <c r="Y61" s="19">
        <v>170.01919535596676</v>
      </c>
      <c r="Z61" s="19">
        <v>187.3352267598118</v>
      </c>
      <c r="AA61" s="19">
        <v>1.0573893340449914</v>
      </c>
      <c r="AC61" s="18">
        <v>2.4333633783590805</v>
      </c>
      <c r="AD61" s="18">
        <v>95.711991472185531</v>
      </c>
      <c r="AE61" s="18">
        <v>31.959780789612111</v>
      </c>
      <c r="AF61" s="18">
        <v>74.424864903640525</v>
      </c>
      <c r="AG61" s="18">
        <v>19.609271759160002</v>
      </c>
      <c r="AH61" s="18">
        <v>39.606446928450637</v>
      </c>
      <c r="AI61" s="18">
        <v>7.2247012592642488</v>
      </c>
      <c r="AJ61" s="18">
        <v>0.31847477853776185</v>
      </c>
      <c r="AK61" s="18">
        <v>0.86965237732073863</v>
      </c>
      <c r="AL61" s="18">
        <v>1.0167418419259087</v>
      </c>
      <c r="AM61" s="18">
        <v>15.700452603125418</v>
      </c>
      <c r="AN61" s="18">
        <v>0.3498208819328138</v>
      </c>
      <c r="AO61" s="18">
        <v>6.6888936420071944E-3</v>
      </c>
      <c r="AP61" s="18">
        <v>4.724432588146886E-2</v>
      </c>
      <c r="AQ61" s="18">
        <v>0.50827604984962083</v>
      </c>
      <c r="AR61" s="18">
        <v>54.000862408011564</v>
      </c>
      <c r="AS61" s="18">
        <v>0.19036677291000045</v>
      </c>
    </row>
    <row r="62" spans="1:45" ht="15.5">
      <c r="A62" s="8" t="s">
        <v>22</v>
      </c>
      <c r="B62" s="7"/>
      <c r="C62" s="13" t="s">
        <v>91</v>
      </c>
      <c r="D62" s="15">
        <v>79990</v>
      </c>
      <c r="E62" s="15"/>
      <c r="F62" s="15">
        <v>9</v>
      </c>
      <c r="G62" s="19">
        <v>528368.94715317804</v>
      </c>
      <c r="H62" s="19">
        <v>6.5269912220489346</v>
      </c>
      <c r="I62" s="19">
        <v>409413.0298398821</v>
      </c>
      <c r="J62" s="19">
        <v>283.85720889327632</v>
      </c>
      <c r="K62" s="19">
        <v>248.77956757969542</v>
      </c>
      <c r="L62" s="19">
        <v>172.83612827507562</v>
      </c>
      <c r="M62" s="19">
        <v>34.617119420297016</v>
      </c>
      <c r="N62" s="19">
        <v>520.13884795625506</v>
      </c>
      <c r="O62" s="19">
        <v>164.76329045343522</v>
      </c>
      <c r="P62" s="19">
        <v>3.3916211197180535</v>
      </c>
      <c r="Q62" s="19">
        <v>4.9692905268705392</v>
      </c>
      <c r="R62" s="19">
        <v>1.8928381768839655</v>
      </c>
      <c r="S62" s="19">
        <v>363.35698895721504</v>
      </c>
      <c r="T62" s="19">
        <v>1.3589058005105379</v>
      </c>
      <c r="U62" s="19">
        <f>0.5*0.045</f>
        <v>2.2499999999999999E-2</v>
      </c>
      <c r="V62" s="19">
        <v>0.25370400635089185</v>
      </c>
      <c r="W62" s="19">
        <v>3.7876559700938857</v>
      </c>
      <c r="X62" s="19">
        <v>308.84823642888654</v>
      </c>
      <c r="Y62" s="19">
        <v>278.87813156738059</v>
      </c>
      <c r="Z62" s="19">
        <v>317.46835186115754</v>
      </c>
      <c r="AA62" s="19">
        <v>1.0970129061028304</v>
      </c>
      <c r="AC62" s="18">
        <v>8.3201245213060595</v>
      </c>
      <c r="AD62" s="18">
        <v>83.376949909140279</v>
      </c>
      <c r="AE62" s="18">
        <v>18.939104841374007</v>
      </c>
      <c r="AF62" s="18">
        <v>14.282666780624346</v>
      </c>
      <c r="AG62" s="18">
        <v>15.584758859137498</v>
      </c>
      <c r="AH62" s="18">
        <v>81.160932386999647</v>
      </c>
      <c r="AI62" s="18">
        <v>22.735752209239525</v>
      </c>
      <c r="AJ62" s="18">
        <v>0.53530004494698125</v>
      </c>
      <c r="AK62" s="18">
        <v>0.63093187536051099</v>
      </c>
      <c r="AL62" s="18">
        <v>0.59605222516304046</v>
      </c>
      <c r="AM62" s="18">
        <v>55.869402846217454</v>
      </c>
      <c r="AN62" s="18">
        <v>0.32655623153359842</v>
      </c>
      <c r="AO62" s="18">
        <v>6.0365910719531206E-3</v>
      </c>
      <c r="AP62" s="18">
        <v>7.717138389404446E-2</v>
      </c>
      <c r="AQ62" s="18">
        <v>0.71247413199373599</v>
      </c>
      <c r="AR62" s="18">
        <v>13.851431892956978</v>
      </c>
      <c r="AS62" s="18">
        <v>0.13486264104374018</v>
      </c>
    </row>
    <row r="63" spans="1:45" ht="15.5">
      <c r="A63" s="8" t="s">
        <v>22</v>
      </c>
      <c r="B63" s="7"/>
      <c r="C63" s="13" t="s">
        <v>28</v>
      </c>
      <c r="D63" s="15">
        <v>79990</v>
      </c>
      <c r="E63" s="15"/>
      <c r="F63" s="15">
        <v>10</v>
      </c>
      <c r="G63" s="19">
        <v>526945.55198688456</v>
      </c>
      <c r="H63" s="19">
        <f>0.5*0.693</f>
        <v>0.34649999999999997</v>
      </c>
      <c r="I63" s="19">
        <v>321555.3271499665</v>
      </c>
      <c r="J63" s="19">
        <v>262.25369018992592</v>
      </c>
      <c r="K63" s="19">
        <v>260.97198531402654</v>
      </c>
      <c r="L63" s="19">
        <v>193.19410520558202</v>
      </c>
      <c r="M63" s="19">
        <v>112.81036286284734</v>
      </c>
      <c r="N63" s="19">
        <v>404.00043572468417</v>
      </c>
      <c r="O63" s="19">
        <v>163.47182125336178</v>
      </c>
      <c r="P63" s="19">
        <v>2.6648760659866504</v>
      </c>
      <c r="Q63" s="19">
        <v>4.1129598018376701</v>
      </c>
      <c r="R63" s="19">
        <v>3.6952171447871383</v>
      </c>
      <c r="S63" s="19">
        <v>327.57686759164466</v>
      </c>
      <c r="T63" s="19">
        <v>1.0870286876294859</v>
      </c>
      <c r="U63" s="19">
        <f>0.5*0.043</f>
        <v>2.1499999999999998E-2</v>
      </c>
      <c r="V63" s="19">
        <v>4.5816717181785815E-2</v>
      </c>
      <c r="W63" s="19">
        <v>3.1109812507483103</v>
      </c>
      <c r="X63" s="19">
        <v>203.0517413883332</v>
      </c>
      <c r="Y63" s="19">
        <v>183.25661263689062</v>
      </c>
      <c r="Z63" s="19">
        <v>227.411953239713</v>
      </c>
      <c r="AA63" s="19">
        <v>0.46003914376643973</v>
      </c>
      <c r="AC63" s="18">
        <v>9.8181060153363866</v>
      </c>
      <c r="AD63" s="18">
        <v>58.825858024766561</v>
      </c>
      <c r="AE63" s="18">
        <v>10.74486613926233</v>
      </c>
      <c r="AF63" s="18">
        <v>25.938098349704529</v>
      </c>
      <c r="AG63" s="18">
        <v>27.559702509968417</v>
      </c>
      <c r="AH63" s="18">
        <v>55.666180266548878</v>
      </c>
      <c r="AI63" s="18">
        <v>13.205145737654917</v>
      </c>
      <c r="AJ63" s="18">
        <v>0.43678303988386968</v>
      </c>
      <c r="AK63" s="18">
        <v>0.79605897740509901</v>
      </c>
      <c r="AL63" s="18">
        <v>0.56899565685150844</v>
      </c>
      <c r="AM63" s="18">
        <v>41.838565453799959</v>
      </c>
      <c r="AN63" s="18">
        <v>0.30433148774065683</v>
      </c>
      <c r="AO63" s="18">
        <v>6.2131688858855748E-3</v>
      </c>
      <c r="AP63" s="18">
        <v>3.3183977388268796E-2</v>
      </c>
      <c r="AQ63" s="18">
        <v>0.26116887632806002</v>
      </c>
      <c r="AR63" s="18">
        <v>37.572025370108079</v>
      </c>
      <c r="AS63" s="18">
        <v>0.27074533305334458</v>
      </c>
    </row>
    <row r="64" spans="1:45" ht="15.5">
      <c r="A64" s="8" t="s">
        <v>22</v>
      </c>
      <c r="B64" s="7"/>
      <c r="C64" s="12" t="s">
        <v>92</v>
      </c>
      <c r="D64" s="15" t="s">
        <v>124</v>
      </c>
      <c r="E64" s="15">
        <f>MEDIAN(K64:K73)</f>
        <v>52.440527887167185</v>
      </c>
      <c r="F64" s="15">
        <v>1</v>
      </c>
      <c r="G64" s="19">
        <v>547593.73037302226</v>
      </c>
      <c r="H64" s="19">
        <v>7.5439023997119534</v>
      </c>
      <c r="I64" s="19">
        <v>447509.76472400397</v>
      </c>
      <c r="J64" s="19">
        <v>4.5843660866533433</v>
      </c>
      <c r="K64" s="19">
        <v>39.003818580427115</v>
      </c>
      <c r="L64" s="19">
        <v>40.548399220921034</v>
      </c>
      <c r="M64" s="19">
        <v>6.4121703624819055</v>
      </c>
      <c r="N64" s="19">
        <v>30.623248391555219</v>
      </c>
      <c r="O64" s="19">
        <v>124.88045952812972</v>
      </c>
      <c r="P64" s="19">
        <v>6.3861218560940287</v>
      </c>
      <c r="Q64" s="19">
        <v>0.46538667341790108</v>
      </c>
      <c r="R64" s="19">
        <v>2.0887385910334757</v>
      </c>
      <c r="S64" s="19">
        <v>8.1610946833726192</v>
      </c>
      <c r="T64" s="19">
        <f>0.5*0.86</f>
        <v>0.43</v>
      </c>
      <c r="U64" s="19">
        <f>0.5*0.038</f>
        <v>1.9E-2</v>
      </c>
      <c r="V64" s="19">
        <v>7.8570671758944943E-2</v>
      </c>
      <c r="W64" s="19">
        <v>3.1796598461737382</v>
      </c>
      <c r="X64" s="19">
        <v>15.178391853830192</v>
      </c>
      <c r="Y64" s="19">
        <v>13.556073704562206</v>
      </c>
      <c r="Z64" s="19">
        <v>13.320545228732737</v>
      </c>
      <c r="AA64" s="19">
        <v>0.14510384056071773</v>
      </c>
      <c r="AC64" s="17">
        <v>6.572932224473762</v>
      </c>
      <c r="AD64" s="17">
        <v>1.1570203062535491</v>
      </c>
      <c r="AE64" s="17">
        <v>6.91385044097012</v>
      </c>
      <c r="AF64" s="17">
        <v>11.749359528038761</v>
      </c>
      <c r="AG64" s="17">
        <v>1.3915072521356704</v>
      </c>
      <c r="AH64" s="17">
        <v>13.748179169968251</v>
      </c>
      <c r="AI64" s="17">
        <v>12.754197425263143</v>
      </c>
      <c r="AJ64" s="17">
        <v>2.8489515570913992</v>
      </c>
      <c r="AK64" s="17">
        <v>0.26201316654446843</v>
      </c>
      <c r="AL64" s="17">
        <v>1.7333306212167858</v>
      </c>
      <c r="AM64" s="17">
        <v>3.5740831457039861</v>
      </c>
      <c r="AN64" s="17">
        <v>0.48286868858205223</v>
      </c>
      <c r="AO64" s="17">
        <v>6.1671143088538336E-3</v>
      </c>
      <c r="AP64" s="17">
        <v>7.9871699902829024E-2</v>
      </c>
      <c r="AQ64" s="17">
        <v>0.83817796584408788</v>
      </c>
      <c r="AR64" s="17">
        <v>4.8109691574857854</v>
      </c>
      <c r="AS64" s="17">
        <v>7.2790215775148159E-2</v>
      </c>
    </row>
    <row r="65" spans="1:45" ht="15.5">
      <c r="A65" s="8" t="s">
        <v>22</v>
      </c>
      <c r="B65" s="7"/>
      <c r="C65" s="12" t="s">
        <v>93</v>
      </c>
      <c r="D65" s="15" t="s">
        <v>124</v>
      </c>
      <c r="E65" s="15"/>
      <c r="F65" s="15">
        <v>2</v>
      </c>
      <c r="G65" s="19">
        <v>524943.42587705352</v>
      </c>
      <c r="H65" s="19">
        <v>6.4622745096690473</v>
      </c>
      <c r="I65" s="19">
        <v>460905.16205477633</v>
      </c>
      <c r="J65" s="19">
        <v>9.4677386913962192</v>
      </c>
      <c r="K65" s="19">
        <v>87.355197983277534</v>
      </c>
      <c r="L65" s="19">
        <v>58.440413042755438</v>
      </c>
      <c r="M65" s="19">
        <v>15.958840741712066</v>
      </c>
      <c r="N65" s="19">
        <v>45.982711397967364</v>
      </c>
      <c r="O65" s="19">
        <v>130.6171721290238</v>
      </c>
      <c r="P65" s="19">
        <v>8.0718160969957289</v>
      </c>
      <c r="Q65" s="19">
        <v>0.58092306341236821</v>
      </c>
      <c r="R65" s="19">
        <v>2.9504891812200995</v>
      </c>
      <c r="S65" s="19">
        <v>10.31534292566004</v>
      </c>
      <c r="T65" s="19">
        <v>1.4382706960354756</v>
      </c>
      <c r="U65" s="19">
        <f>0.5*0.036</f>
        <v>1.7999999999999999E-2</v>
      </c>
      <c r="V65" s="19">
        <v>4.4821296526483645E-2</v>
      </c>
      <c r="W65" s="19">
        <v>6.5870732385652317</v>
      </c>
      <c r="X65" s="19">
        <v>18.892589713139948</v>
      </c>
      <c r="Y65" s="19">
        <v>15.423819326201862</v>
      </c>
      <c r="Z65" s="19">
        <v>16.515402399741053</v>
      </c>
      <c r="AA65" s="19">
        <v>0.11393267094796129</v>
      </c>
      <c r="AC65" s="17">
        <v>2.5942620685246607</v>
      </c>
      <c r="AD65" s="17">
        <v>1.8402402224411825</v>
      </c>
      <c r="AE65" s="17">
        <v>16.062486919323771</v>
      </c>
      <c r="AF65" s="17">
        <v>14.786062674455437</v>
      </c>
      <c r="AG65" s="17">
        <v>10.151847417755418</v>
      </c>
      <c r="AH65" s="17">
        <v>24.888105981246191</v>
      </c>
      <c r="AI65" s="17">
        <v>14.287684987569772</v>
      </c>
      <c r="AJ65" s="17">
        <v>1.4925963375807607</v>
      </c>
      <c r="AK65" s="17">
        <v>0.23484203590883393</v>
      </c>
      <c r="AL65" s="17">
        <v>1.8785249500410584</v>
      </c>
      <c r="AM65" s="17">
        <v>5.2917317471625793</v>
      </c>
      <c r="AN65" s="17">
        <v>0.18868332557601933</v>
      </c>
      <c r="AO65" s="17">
        <v>9.4445954413358672E-3</v>
      </c>
      <c r="AP65" s="17">
        <v>2.9675372100171311E-2</v>
      </c>
      <c r="AQ65" s="17">
        <v>2.8768204981647401</v>
      </c>
      <c r="AR65" s="17">
        <v>6.3301647408094235</v>
      </c>
      <c r="AS65" s="17">
        <v>3.8034867644426679E-2</v>
      </c>
    </row>
    <row r="66" spans="1:45" ht="15.5">
      <c r="A66" s="8" t="s">
        <v>22</v>
      </c>
      <c r="B66" s="7"/>
      <c r="C66" s="12" t="s">
        <v>94</v>
      </c>
      <c r="D66" s="15" t="s">
        <v>124</v>
      </c>
      <c r="E66" s="15"/>
      <c r="F66" s="15">
        <v>3</v>
      </c>
      <c r="G66" s="19">
        <v>555476.25458743004</v>
      </c>
      <c r="H66" s="19">
        <v>17.348650461888617</v>
      </c>
      <c r="I66" s="19">
        <v>435056.84767627215</v>
      </c>
      <c r="J66" s="19">
        <v>15.958680020251656</v>
      </c>
      <c r="K66" s="19">
        <v>125.35102385879827</v>
      </c>
      <c r="L66" s="19">
        <v>56.119992818712419</v>
      </c>
      <c r="M66" s="19">
        <v>10.10492931342251</v>
      </c>
      <c r="N66" s="19">
        <v>40.432615850603341</v>
      </c>
      <c r="O66" s="19">
        <v>122.51878758819419</v>
      </c>
      <c r="P66" s="19">
        <v>11.732324368823539</v>
      </c>
      <c r="Q66" s="19">
        <v>0.80429029779093941</v>
      </c>
      <c r="R66" s="19">
        <v>1.4902485606436304</v>
      </c>
      <c r="S66" s="19">
        <v>10.896602364018056</v>
      </c>
      <c r="T66" s="19">
        <v>1.3031457565534836</v>
      </c>
      <c r="U66" s="19">
        <f>0.5*0.036</f>
        <v>1.7999999999999999E-2</v>
      </c>
      <c r="V66" s="19">
        <v>8.8879477583991173E-2</v>
      </c>
      <c r="W66" s="19">
        <v>6.0101064213689233</v>
      </c>
      <c r="X66" s="19">
        <v>17.623147323712658</v>
      </c>
      <c r="Y66" s="19">
        <v>15.873661844725985</v>
      </c>
      <c r="Z66" s="19">
        <v>15.995487303617988</v>
      </c>
      <c r="AA66" s="19">
        <v>0.17541292386420307</v>
      </c>
      <c r="AC66" s="17">
        <v>7.8039207292277952</v>
      </c>
      <c r="AD66" s="17">
        <v>4.9891875248961925</v>
      </c>
      <c r="AE66" s="17">
        <v>41.528930393433967</v>
      </c>
      <c r="AF66" s="17">
        <v>19.35824652960245</v>
      </c>
      <c r="AG66" s="17">
        <v>4.1768061951240671</v>
      </c>
      <c r="AH66" s="17">
        <v>14.61684330867083</v>
      </c>
      <c r="AI66" s="17">
        <v>8.4713272486063858</v>
      </c>
      <c r="AJ66" s="17">
        <v>5.288159611195506</v>
      </c>
      <c r="AK66" s="17">
        <v>0.40568844428152079</v>
      </c>
      <c r="AL66" s="17">
        <v>0.29989828067762458</v>
      </c>
      <c r="AM66" s="17">
        <v>2.3503777847904428</v>
      </c>
      <c r="AN66" s="17">
        <v>0.52108099402431218</v>
      </c>
      <c r="AO66" s="17">
        <v>5.5516405549598715E-3</v>
      </c>
      <c r="AP66" s="17">
        <v>9.5415883610129773E-2</v>
      </c>
      <c r="AQ66" s="17">
        <v>2.449115640844445</v>
      </c>
      <c r="AR66" s="17">
        <v>5.7981816380735118</v>
      </c>
      <c r="AS66" s="17">
        <v>6.9102448285981624E-2</v>
      </c>
    </row>
    <row r="67" spans="1:45" ht="15.5">
      <c r="A67" s="8" t="s">
        <v>22</v>
      </c>
      <c r="B67" s="7"/>
      <c r="C67" s="12" t="s">
        <v>95</v>
      </c>
      <c r="D67" s="15" t="s">
        <v>124</v>
      </c>
      <c r="E67" s="15"/>
      <c r="F67" s="15">
        <v>4</v>
      </c>
      <c r="G67" s="19">
        <v>524071.27047157491</v>
      </c>
      <c r="H67" s="19">
        <v>13.098642236952212</v>
      </c>
      <c r="I67" s="19">
        <v>467579.78526545811</v>
      </c>
      <c r="J67" s="19">
        <v>3.4502228024066377</v>
      </c>
      <c r="K67" s="19">
        <v>23.363583950405989</v>
      </c>
      <c r="L67" s="19">
        <v>36.769283356929876</v>
      </c>
      <c r="M67" s="19">
        <v>6.0694990967576707</v>
      </c>
      <c r="N67" s="19">
        <v>44.865318736562358</v>
      </c>
      <c r="O67" s="19">
        <v>131.70107034818579</v>
      </c>
      <c r="P67" s="19">
        <v>6.4683982991081361</v>
      </c>
      <c r="Q67" s="19">
        <v>0.60441895537934442</v>
      </c>
      <c r="R67" s="19">
        <v>1.68262373223053</v>
      </c>
      <c r="S67" s="19">
        <v>12.550220407667563</v>
      </c>
      <c r="T67" s="19">
        <v>0.79914612243248584</v>
      </c>
      <c r="U67" s="19">
        <f>0.5*0.035</f>
        <v>1.7500000000000002E-2</v>
      </c>
      <c r="V67" s="19">
        <v>0.24104424487522766</v>
      </c>
      <c r="W67" s="19">
        <v>7.4415108064277975</v>
      </c>
      <c r="X67" s="19">
        <v>11.903951943682975</v>
      </c>
      <c r="Y67" s="19">
        <v>10.791368788089166</v>
      </c>
      <c r="Z67" s="19">
        <v>10.95064376908871</v>
      </c>
      <c r="AA67" s="19">
        <v>0.11666692190031981</v>
      </c>
      <c r="AC67" s="17">
        <v>5.510238283112586</v>
      </c>
      <c r="AD67" s="17">
        <v>0.70190722882603485</v>
      </c>
      <c r="AE67" s="17">
        <v>3.7820524198098839</v>
      </c>
      <c r="AF67" s="17">
        <v>12.544845189797551</v>
      </c>
      <c r="AG67" s="17">
        <v>3.557847465610418</v>
      </c>
      <c r="AH67" s="17">
        <v>5.2082151337072427</v>
      </c>
      <c r="AI67" s="17">
        <v>8.2229195925405385</v>
      </c>
      <c r="AJ67" s="17">
        <v>3.7909520481543928</v>
      </c>
      <c r="AK67" s="17">
        <v>0.16098297717009136</v>
      </c>
      <c r="AL67" s="17">
        <v>0.5677782720086777</v>
      </c>
      <c r="AM67" s="17">
        <v>1.3649894692660256</v>
      </c>
      <c r="AN67" s="17">
        <v>0.37786469279448781</v>
      </c>
      <c r="AO67" s="17">
        <v>1.1124019275457241E-2</v>
      </c>
      <c r="AP67" s="17">
        <v>0.23963677316682858</v>
      </c>
      <c r="AQ67" s="17">
        <v>3.2010971475536114</v>
      </c>
      <c r="AR67" s="17">
        <v>2.241330557725123</v>
      </c>
      <c r="AS67" s="17">
        <v>5.0394170362184673E-2</v>
      </c>
    </row>
    <row r="68" spans="1:45" ht="15.5">
      <c r="A68" s="8" t="s">
        <v>22</v>
      </c>
      <c r="B68" s="7"/>
      <c r="C68" s="12" t="s">
        <v>96</v>
      </c>
      <c r="D68" s="15" t="s">
        <v>124</v>
      </c>
      <c r="E68" s="15"/>
      <c r="F68" s="15">
        <v>5</v>
      </c>
      <c r="G68" s="19">
        <v>554445.70193820668</v>
      </c>
      <c r="H68" s="19">
        <v>26.89990298748728</v>
      </c>
      <c r="I68" s="19">
        <v>419835.45022553089</v>
      </c>
      <c r="J68" s="19">
        <v>9.9780332102641296</v>
      </c>
      <c r="K68" s="19">
        <v>57.967883676748791</v>
      </c>
      <c r="L68" s="19">
        <v>87.582142628569102</v>
      </c>
      <c r="M68" s="19">
        <v>16.676191787442619</v>
      </c>
      <c r="N68" s="19">
        <v>71.112117955672687</v>
      </c>
      <c r="O68" s="19">
        <v>124.54094128846936</v>
      </c>
      <c r="P68" s="19">
        <v>16.346671347257065</v>
      </c>
      <c r="Q68" s="19">
        <v>1.3772084355906724</v>
      </c>
      <c r="R68" s="19">
        <v>1.7266309112366685</v>
      </c>
      <c r="S68" s="19">
        <v>19.078250916861858</v>
      </c>
      <c r="T68" s="19">
        <v>1.364016666237319</v>
      </c>
      <c r="U68" s="19">
        <f>0.5*0.039</f>
        <v>1.95E-2</v>
      </c>
      <c r="V68" s="19">
        <v>0.15044688752179264</v>
      </c>
      <c r="W68" s="19">
        <v>11.404553566586976</v>
      </c>
      <c r="X68" s="19">
        <v>32.274100795426762</v>
      </c>
      <c r="Y68" s="19">
        <v>24.736242917628061</v>
      </c>
      <c r="Z68" s="19">
        <v>24.867330518428119</v>
      </c>
      <c r="AA68" s="19">
        <v>0.28225556535163809</v>
      </c>
      <c r="AC68" s="17">
        <v>19.621700094280978</v>
      </c>
      <c r="AD68" s="17">
        <v>3.7041860307460679</v>
      </c>
      <c r="AE68" s="17">
        <v>23.896233344454814</v>
      </c>
      <c r="AF68" s="17">
        <v>29.760748115054568</v>
      </c>
      <c r="AG68" s="17">
        <v>7.9115078376596353</v>
      </c>
      <c r="AH68" s="17">
        <v>25.899076481800833</v>
      </c>
      <c r="AI68" s="17">
        <v>15.51933642967998</v>
      </c>
      <c r="AJ68" s="17">
        <v>7.1490427042064377</v>
      </c>
      <c r="AK68" s="17">
        <v>0.61325539735727996</v>
      </c>
      <c r="AL68" s="17">
        <v>0.82478173087115703</v>
      </c>
      <c r="AM68" s="17">
        <v>5.4732603711677532</v>
      </c>
      <c r="AN68" s="17">
        <v>0.68968294259584761</v>
      </c>
      <c r="AO68" s="17">
        <v>7.0711584745074265E-3</v>
      </c>
      <c r="AP68" s="17">
        <v>2.441704139295903E-2</v>
      </c>
      <c r="AQ68" s="17">
        <v>2.4832746777001677</v>
      </c>
      <c r="AR68" s="17">
        <v>9.8654405213896617</v>
      </c>
      <c r="AS68" s="17">
        <v>0.13334969774546443</v>
      </c>
    </row>
    <row r="69" spans="1:45" ht="15.5">
      <c r="A69" s="8" t="s">
        <v>22</v>
      </c>
      <c r="B69" s="7"/>
      <c r="C69" s="12" t="s">
        <v>97</v>
      </c>
      <c r="D69" s="15" t="s">
        <v>124</v>
      </c>
      <c r="E69" s="15"/>
      <c r="F69" s="15">
        <v>6</v>
      </c>
      <c r="G69" s="19">
        <v>552938.58158207615</v>
      </c>
      <c r="H69" s="19">
        <v>16.284515246912044</v>
      </c>
      <c r="I69" s="19">
        <v>425549.89791242033</v>
      </c>
      <c r="J69" s="19">
        <v>5.8641577886438547</v>
      </c>
      <c r="K69" s="19">
        <v>36.832784390815505</v>
      </c>
      <c r="L69" s="19">
        <v>58.601383337959156</v>
      </c>
      <c r="M69" s="19">
        <v>8.402745865556545</v>
      </c>
      <c r="N69" s="19">
        <v>59.170249690304253</v>
      </c>
      <c r="O69" s="19">
        <v>112.08112119856158</v>
      </c>
      <c r="P69" s="19">
        <v>10.410099819425806</v>
      </c>
      <c r="Q69" s="19">
        <v>0.73547570655736094</v>
      </c>
      <c r="R69" s="19">
        <v>1.6757594186355123</v>
      </c>
      <c r="S69" s="19">
        <v>16.53571163256435</v>
      </c>
      <c r="T69" s="19">
        <v>0.99295287583079639</v>
      </c>
      <c r="U69" s="19">
        <f>0.5*0.037</f>
        <v>1.8499999999999999E-2</v>
      </c>
      <c r="V69" s="19">
        <v>4.4974250368130964E-2</v>
      </c>
      <c r="W69" s="19">
        <v>7.5709524740897587</v>
      </c>
      <c r="X69" s="19">
        <v>18.011235723902946</v>
      </c>
      <c r="Y69" s="19">
        <v>15.852280485897293</v>
      </c>
      <c r="Z69" s="19">
        <v>16.114954116141444</v>
      </c>
      <c r="AA69" s="19">
        <v>0.14412017310564068</v>
      </c>
      <c r="AC69" s="17">
        <v>4.7444128525031681</v>
      </c>
      <c r="AD69" s="17">
        <v>1.6959194098419912</v>
      </c>
      <c r="AE69" s="17">
        <v>16.265818837860248</v>
      </c>
      <c r="AF69" s="17">
        <v>9.7796478881205822</v>
      </c>
      <c r="AG69" s="17">
        <v>2.456110565758177</v>
      </c>
      <c r="AH69" s="17">
        <v>8.8388823113738795</v>
      </c>
      <c r="AI69" s="17">
        <v>13.07492442425495</v>
      </c>
      <c r="AJ69" s="17">
        <v>2.8751229912848522</v>
      </c>
      <c r="AK69" s="17">
        <v>0.17907318993357549</v>
      </c>
      <c r="AL69" s="17">
        <v>0.49568096024839237</v>
      </c>
      <c r="AM69" s="17">
        <v>2.7795170894199113</v>
      </c>
      <c r="AN69" s="17">
        <v>0.38395975168075591</v>
      </c>
      <c r="AO69" s="17">
        <v>6.1015969785235998E-3</v>
      </c>
      <c r="AP69" s="17">
        <v>4.6808987474064971E-2</v>
      </c>
      <c r="AQ69" s="17">
        <v>2.119094176008999</v>
      </c>
      <c r="AR69" s="17">
        <v>2.5164337649451962</v>
      </c>
      <c r="AS69" s="17">
        <v>4.67875632076089E-2</v>
      </c>
    </row>
    <row r="70" spans="1:45" ht="15.5">
      <c r="A70" s="8" t="s">
        <v>22</v>
      </c>
      <c r="B70" s="7"/>
      <c r="C70" s="12" t="s">
        <v>98</v>
      </c>
      <c r="D70" s="15" t="s">
        <v>124</v>
      </c>
      <c r="E70" s="15"/>
      <c r="F70" s="15">
        <v>7</v>
      </c>
      <c r="G70" s="19">
        <v>549544.97357473953</v>
      </c>
      <c r="H70" s="19">
        <v>16.019704574190904</v>
      </c>
      <c r="I70" s="19">
        <v>429388.32172188023</v>
      </c>
      <c r="J70" s="19">
        <v>9.7574767103978814</v>
      </c>
      <c r="K70" s="19">
        <v>55.986440248346241</v>
      </c>
      <c r="L70" s="19">
        <v>80.22196455243315</v>
      </c>
      <c r="M70" s="19">
        <v>13.302529896446716</v>
      </c>
      <c r="N70" s="19">
        <v>77.458878296991259</v>
      </c>
      <c r="O70" s="19">
        <v>138.5253663500726</v>
      </c>
      <c r="P70" s="19">
        <v>15.642810463427566</v>
      </c>
      <c r="Q70" s="19">
        <v>1.0272438121789529</v>
      </c>
      <c r="R70" s="19">
        <v>1.6777554928312357</v>
      </c>
      <c r="S70" s="19">
        <v>16.816510920355757</v>
      </c>
      <c r="T70" s="19">
        <v>1.4701010016911815</v>
      </c>
      <c r="U70" s="19">
        <f>0.5*0.037</f>
        <v>1.8499999999999999E-2</v>
      </c>
      <c r="V70" s="19">
        <v>0.19012903276197868</v>
      </c>
      <c r="W70" s="19">
        <v>8.287162124474051</v>
      </c>
      <c r="X70" s="19">
        <v>23.117892212425211</v>
      </c>
      <c r="Y70" s="19">
        <v>20.75042597400649</v>
      </c>
      <c r="Z70" s="19">
        <v>19.618128582214425</v>
      </c>
      <c r="AA70" s="19">
        <v>0.25046521837909974</v>
      </c>
      <c r="AC70" s="17">
        <v>5.7077583363083173</v>
      </c>
      <c r="AD70" s="17">
        <v>4.7772524673562913</v>
      </c>
      <c r="AE70" s="17">
        <v>16.313355638325863</v>
      </c>
      <c r="AF70" s="17">
        <v>19.728221336892105</v>
      </c>
      <c r="AG70" s="17">
        <v>2.0096083149670272</v>
      </c>
      <c r="AH70" s="17">
        <v>14.412789236147331</v>
      </c>
      <c r="AI70" s="17">
        <v>7.6657088325461533</v>
      </c>
      <c r="AJ70" s="17">
        <v>5.0308218807693521</v>
      </c>
      <c r="AK70" s="17">
        <v>0.31899087083192657</v>
      </c>
      <c r="AL70" s="17">
        <v>0.15343027116899671</v>
      </c>
      <c r="AM70" s="17">
        <v>2.6077118063976465</v>
      </c>
      <c r="AN70" s="17">
        <v>0.59022910553572649</v>
      </c>
      <c r="AO70" s="17">
        <v>5.8477271669220782E-3</v>
      </c>
      <c r="AP70" s="17">
        <v>0.4641354654445321</v>
      </c>
      <c r="AQ70" s="17">
        <v>0.86179230530701056</v>
      </c>
      <c r="AR70" s="17">
        <v>4.4202306750807638</v>
      </c>
      <c r="AS70" s="17">
        <v>7.8092555014911316E-2</v>
      </c>
    </row>
    <row r="71" spans="1:45" ht="15.5">
      <c r="A71" s="8" t="s">
        <v>22</v>
      </c>
      <c r="B71" s="7"/>
      <c r="C71" s="12" t="s">
        <v>99</v>
      </c>
      <c r="D71" s="15" t="s">
        <v>124</v>
      </c>
      <c r="E71" s="15"/>
      <c r="F71" s="15">
        <v>8</v>
      </c>
      <c r="G71" s="19">
        <v>546448.79654327477</v>
      </c>
      <c r="H71" s="19">
        <v>22.562512584149687</v>
      </c>
      <c r="I71" s="19">
        <v>431503.38534757594</v>
      </c>
      <c r="J71" s="19">
        <v>6.9702978780988847</v>
      </c>
      <c r="K71" s="19">
        <v>48.894615525988129</v>
      </c>
      <c r="L71" s="19">
        <v>83.950068110580787</v>
      </c>
      <c r="M71" s="19">
        <v>13.851429034475395</v>
      </c>
      <c r="N71" s="19">
        <v>64.872939787567987</v>
      </c>
      <c r="O71" s="19">
        <v>112.44540609113291</v>
      </c>
      <c r="P71" s="19">
        <v>12.963444500167533</v>
      </c>
      <c r="Q71" s="19">
        <v>0.93775032630167754</v>
      </c>
      <c r="R71" s="19">
        <v>2.0810591197474992</v>
      </c>
      <c r="S71" s="19">
        <v>11.937881331099495</v>
      </c>
      <c r="T71" s="19">
        <v>1.5582904729612812</v>
      </c>
      <c r="U71" s="19">
        <f>0.5*0.039</f>
        <v>1.95E-2</v>
      </c>
      <c r="V71" s="19">
        <v>0.61395009125784927</v>
      </c>
      <c r="W71" s="19">
        <v>7.0571705158773703</v>
      </c>
      <c r="X71" s="19">
        <v>27.329003524837482</v>
      </c>
      <c r="Y71" s="19">
        <v>24.243524774694066</v>
      </c>
      <c r="Z71" s="19">
        <v>24.751011244575835</v>
      </c>
      <c r="AA71" s="19">
        <v>0.20470850172371124</v>
      </c>
      <c r="AC71" s="17">
        <v>8.8426791486733016</v>
      </c>
      <c r="AD71" s="17">
        <v>0.92922010606408045</v>
      </c>
      <c r="AE71" s="17">
        <v>11.253537930224679</v>
      </c>
      <c r="AF71" s="17">
        <v>18.992213746603923</v>
      </c>
      <c r="AG71" s="17">
        <v>3.0401586389506363</v>
      </c>
      <c r="AH71" s="17">
        <v>14.051008731220701</v>
      </c>
      <c r="AI71" s="17">
        <v>11.927924751507414</v>
      </c>
      <c r="AJ71" s="17">
        <v>4.4078096728096305</v>
      </c>
      <c r="AK71" s="17">
        <v>0.25666500966116945</v>
      </c>
      <c r="AL71" s="17">
        <v>0.80606960534645589</v>
      </c>
      <c r="AM71" s="17">
        <v>3.2873040717680282</v>
      </c>
      <c r="AN71" s="17">
        <v>0.40946425600280245</v>
      </c>
      <c r="AO71" s="17">
        <v>6.7724840466525981E-3</v>
      </c>
      <c r="AP71" s="17">
        <v>0.78988093031576834</v>
      </c>
      <c r="AQ71" s="17">
        <v>1.2438730309735255</v>
      </c>
      <c r="AR71" s="17">
        <v>7.8233321215135625</v>
      </c>
      <c r="AS71" s="17">
        <v>5.8336970443943717E-2</v>
      </c>
    </row>
    <row r="72" spans="1:45" ht="15.5">
      <c r="A72" s="8" t="s">
        <v>22</v>
      </c>
      <c r="B72" s="7"/>
      <c r="C72" s="12" t="s">
        <v>100</v>
      </c>
      <c r="D72" s="15" t="s">
        <v>124</v>
      </c>
      <c r="E72" s="15"/>
      <c r="F72" s="15">
        <v>9</v>
      </c>
      <c r="G72" s="19">
        <v>565570.63906589884</v>
      </c>
      <c r="H72" s="19">
        <v>5.7400792341448792</v>
      </c>
      <c r="I72" s="19">
        <v>427799.91387614817</v>
      </c>
      <c r="J72" s="19">
        <v>4.0035858088156182</v>
      </c>
      <c r="K72" s="19">
        <v>62.556174850098529</v>
      </c>
      <c r="L72" s="19">
        <v>36.209760529276338</v>
      </c>
      <c r="M72" s="19">
        <v>5.2796225982500289</v>
      </c>
      <c r="N72" s="19">
        <v>28.190118647704608</v>
      </c>
      <c r="O72" s="19">
        <v>110.4887061418078</v>
      </c>
      <c r="P72" s="19">
        <v>4.002235704984713</v>
      </c>
      <c r="Q72" s="19">
        <v>0.40339827500438052</v>
      </c>
      <c r="R72" s="19">
        <v>1.4045614178466963</v>
      </c>
      <c r="S72" s="19">
        <v>5.8033424724699891</v>
      </c>
      <c r="T72" s="19">
        <f>0.5*0.777</f>
        <v>0.38850000000000001</v>
      </c>
      <c r="U72" s="19">
        <f>0.5*0.037</f>
        <v>1.8499999999999999E-2</v>
      </c>
      <c r="V72" s="19">
        <v>9.5614099648846818E-2</v>
      </c>
      <c r="W72" s="19">
        <v>2.7347507330183749</v>
      </c>
      <c r="X72" s="19">
        <v>13.200512910530179</v>
      </c>
      <c r="Y72" s="19">
        <v>11.201457537665384</v>
      </c>
      <c r="Z72" s="19">
        <v>11.441017977699033</v>
      </c>
      <c r="AA72" s="19">
        <v>8.1109676348623538E-2</v>
      </c>
      <c r="AC72" s="17">
        <v>5.5473321181786046</v>
      </c>
      <c r="AD72" s="17">
        <v>1.2981009811936406</v>
      </c>
      <c r="AE72" s="17">
        <v>15.300710339057478</v>
      </c>
      <c r="AF72" s="17">
        <v>12.475916912043784</v>
      </c>
      <c r="AG72" s="17">
        <v>2.7673509560329821</v>
      </c>
      <c r="AH72" s="17">
        <v>9.7917908776695572</v>
      </c>
      <c r="AI72" s="17">
        <v>10.126488553992029</v>
      </c>
      <c r="AJ72" s="17">
        <v>2.5314099539482919</v>
      </c>
      <c r="AK72" s="17">
        <v>0.19283913682970966</v>
      </c>
      <c r="AL72" s="17">
        <v>0.56699681480183428</v>
      </c>
      <c r="AM72" s="17">
        <v>2.3186430235714086</v>
      </c>
      <c r="AN72" s="17">
        <v>0.32518361840661447</v>
      </c>
      <c r="AO72" s="17">
        <v>6.0418356528957736E-3</v>
      </c>
      <c r="AP72" s="17">
        <v>0.20662838202638886</v>
      </c>
      <c r="AQ72" s="17">
        <v>1.2986718973719629</v>
      </c>
      <c r="AR72" s="17">
        <v>6.3208632413578307</v>
      </c>
      <c r="AS72" s="17">
        <v>7.6017123494921596E-2</v>
      </c>
    </row>
    <row r="73" spans="1:45" ht="15.5">
      <c r="A73" s="8" t="s">
        <v>22</v>
      </c>
      <c r="B73" s="7"/>
      <c r="C73" s="12" t="s">
        <v>29</v>
      </c>
      <c r="D73" s="15" t="s">
        <v>124</v>
      </c>
      <c r="E73" s="15"/>
      <c r="F73" s="15">
        <v>10</v>
      </c>
      <c r="G73" s="19">
        <v>551702.39558450226</v>
      </c>
      <c r="H73" s="19">
        <v>8.5985208407197717</v>
      </c>
      <c r="I73" s="19">
        <v>446031.18861279136</v>
      </c>
      <c r="J73" s="19">
        <v>2.5915473068210924</v>
      </c>
      <c r="K73" s="19">
        <v>27.776384678718813</v>
      </c>
      <c r="L73" s="19">
        <v>32.477919508347384</v>
      </c>
      <c r="M73" s="19">
        <v>5.3491113114353013</v>
      </c>
      <c r="N73" s="19">
        <v>25.492156270213066</v>
      </c>
      <c r="O73" s="19">
        <v>110.45867610247944</v>
      </c>
      <c r="P73" s="19">
        <v>4.264786439543272</v>
      </c>
      <c r="Q73" s="19">
        <v>0.60201174755209896</v>
      </c>
      <c r="R73" s="19">
        <v>1.1285203710490581</v>
      </c>
      <c r="S73" s="19">
        <v>6.6958569976404938</v>
      </c>
      <c r="T73" s="19">
        <v>1.4791278311446521</v>
      </c>
      <c r="U73" s="19">
        <f>0.5*0.036</f>
        <v>1.7999999999999999E-2</v>
      </c>
      <c r="V73" s="19">
        <v>0.26722904142264259</v>
      </c>
      <c r="W73" s="19">
        <v>2.5358470559038153</v>
      </c>
      <c r="X73" s="19">
        <v>14.374849161952909</v>
      </c>
      <c r="Y73" s="19">
        <v>12.886734394933125</v>
      </c>
      <c r="Z73" s="19">
        <v>13.592064847977284</v>
      </c>
      <c r="AA73" s="19">
        <v>0.18565645698068559</v>
      </c>
      <c r="AC73" s="17">
        <v>2.9479726844609719</v>
      </c>
      <c r="AD73" s="17">
        <v>0.44217692072836168</v>
      </c>
      <c r="AE73" s="17">
        <v>5.8281130101652829</v>
      </c>
      <c r="AF73" s="17">
        <v>7.2379619466397216</v>
      </c>
      <c r="AG73" s="17">
        <v>2.4474057783564831</v>
      </c>
      <c r="AH73" s="17">
        <v>4.3774404641005953</v>
      </c>
      <c r="AI73" s="17">
        <v>5.0001557685935358</v>
      </c>
      <c r="AJ73" s="17">
        <v>1.5956625864389105</v>
      </c>
      <c r="AK73" s="17">
        <v>0.18085625990477122</v>
      </c>
      <c r="AL73" s="17">
        <v>0.49739840490035758</v>
      </c>
      <c r="AM73" s="17">
        <v>1.1369059484080168</v>
      </c>
      <c r="AN73" s="17">
        <v>0.22163792481189734</v>
      </c>
      <c r="AO73" s="17">
        <v>5.2923024392250153E-3</v>
      </c>
      <c r="AP73" s="17">
        <v>0.55660171904609868</v>
      </c>
      <c r="AQ73" s="17">
        <v>0.4349237391214848</v>
      </c>
      <c r="AR73" s="17">
        <v>1.9426431029185331</v>
      </c>
      <c r="AS73" s="17">
        <v>5.3145767407014474E-2</v>
      </c>
    </row>
    <row r="74" spans="1:45" ht="15.5">
      <c r="A74" s="8" t="s">
        <v>22</v>
      </c>
      <c r="B74" s="7"/>
      <c r="C74" s="9" t="s">
        <v>101</v>
      </c>
      <c r="D74" s="15" t="s">
        <v>125</v>
      </c>
      <c r="E74" s="15">
        <f>MEDIAN(K74:K82)</f>
        <v>200.34533087790226</v>
      </c>
      <c r="F74" s="15">
        <v>1</v>
      </c>
      <c r="G74" s="19">
        <v>556597.1912229833</v>
      </c>
      <c r="H74" s="19">
        <v>12.882320147190171</v>
      </c>
      <c r="I74" s="19">
        <v>363277.34577279713</v>
      </c>
      <c r="J74" s="19">
        <v>129.16274037101221</v>
      </c>
      <c r="K74" s="19">
        <v>416.56111979590503</v>
      </c>
      <c r="L74" s="19">
        <v>517.37050550361573</v>
      </c>
      <c r="M74" s="19">
        <v>56.179368744549379</v>
      </c>
      <c r="N74" s="19">
        <v>23.141942633529695</v>
      </c>
      <c r="O74" s="19">
        <v>2.7809031881328501</v>
      </c>
      <c r="P74" s="19">
        <f>0.5*0.078</f>
        <v>3.9E-2</v>
      </c>
      <c r="Q74" s="19">
        <v>0.23341139615815837</v>
      </c>
      <c r="R74" s="19">
        <v>0.38646088497321474</v>
      </c>
      <c r="S74" s="19">
        <v>2.9531090884534787</v>
      </c>
      <c r="T74" s="19">
        <f>0.5*0.846</f>
        <v>0.42299999999999999</v>
      </c>
      <c r="U74" s="19">
        <f>0.5*0.042</f>
        <v>2.1000000000000001E-2</v>
      </c>
      <c r="V74" s="19" t="s">
        <v>25</v>
      </c>
      <c r="W74" s="19">
        <v>1.3357491624711662</v>
      </c>
      <c r="X74" s="19">
        <v>258.98242110189528</v>
      </c>
      <c r="Y74" s="19">
        <v>233.00595257234454</v>
      </c>
      <c r="Z74" s="19">
        <v>240.91507438501321</v>
      </c>
      <c r="AA74" s="19">
        <v>0.11644741788178159</v>
      </c>
      <c r="AC74" s="17">
        <v>9.7779126797345288</v>
      </c>
      <c r="AD74" s="17">
        <v>32.409975930401302</v>
      </c>
      <c r="AE74" s="17">
        <v>114.89824443787911</v>
      </c>
      <c r="AF74" s="17">
        <v>224.12432649420958</v>
      </c>
      <c r="AG74" s="17">
        <v>19.828511612387889</v>
      </c>
      <c r="AH74" s="17">
        <v>6.0773357739466478</v>
      </c>
      <c r="AI74" s="17">
        <v>0.91625887414342522</v>
      </c>
      <c r="AJ74" s="17">
        <v>9.9435376232888381E-2</v>
      </c>
      <c r="AK74" s="17">
        <v>9.0631642685408784E-2</v>
      </c>
      <c r="AL74" s="17">
        <v>0.14137058270856115</v>
      </c>
      <c r="AM74" s="17">
        <v>0.78883700634716469</v>
      </c>
      <c r="AN74" s="17">
        <v>0.48597375671165516</v>
      </c>
      <c r="AO74" s="17">
        <v>6.4762413357718129E-3</v>
      </c>
      <c r="AP74" s="17">
        <v>6.664078328149553E-2</v>
      </c>
      <c r="AQ74" s="17">
        <v>0.66597631712599947</v>
      </c>
      <c r="AR74" s="17">
        <v>37.541898337107433</v>
      </c>
      <c r="AS74" s="17">
        <v>7.8628797827224942E-2</v>
      </c>
    </row>
    <row r="75" spans="1:45" ht="15.5">
      <c r="A75" s="8" t="s">
        <v>22</v>
      </c>
      <c r="B75" s="7"/>
      <c r="C75" s="9" t="s">
        <v>102</v>
      </c>
      <c r="D75" s="15" t="s">
        <v>125</v>
      </c>
      <c r="E75" s="15"/>
      <c r="F75" s="15">
        <v>2</v>
      </c>
      <c r="G75" s="19">
        <v>523334.66264072666</v>
      </c>
      <c r="H75" s="19">
        <v>0.82354858120565799</v>
      </c>
      <c r="I75" s="19">
        <v>464992.62746343925</v>
      </c>
      <c r="J75" s="19">
        <v>44.584409043408129</v>
      </c>
      <c r="K75" s="19">
        <v>200.34533087790226</v>
      </c>
      <c r="L75" s="19">
        <v>576.75568073894465</v>
      </c>
      <c r="M75" s="19">
        <v>14.491906226582046</v>
      </c>
      <c r="N75" s="19">
        <v>8.7067145632729535</v>
      </c>
      <c r="O75" s="19">
        <f>0.5*1.801</f>
        <v>0.90049999999999997</v>
      </c>
      <c r="P75" s="19">
        <f>0.5*0.07</f>
        <v>3.5000000000000003E-2</v>
      </c>
      <c r="Q75" s="19">
        <v>0.16519309913653626</v>
      </c>
      <c r="R75" s="19">
        <v>0.25883972798649291</v>
      </c>
      <c r="S75" s="19">
        <v>1.05055204127033</v>
      </c>
      <c r="T75" s="19">
        <f>0.5*0.758</f>
        <v>0.379</v>
      </c>
      <c r="U75" s="19">
        <f>0.5*0.037</f>
        <v>1.8499999999999999E-2</v>
      </c>
      <c r="V75" s="19">
        <v>2.2788528011005511E-2</v>
      </c>
      <c r="W75" s="19">
        <v>1.6417068737536802</v>
      </c>
      <c r="X75" s="19">
        <v>127.699590810838</v>
      </c>
      <c r="Y75" s="19">
        <v>118.59018176415708</v>
      </c>
      <c r="Z75" s="19">
        <v>119.52967398186992</v>
      </c>
      <c r="AA75" s="19">
        <f>0.5*0.028</f>
        <v>1.4E-2</v>
      </c>
      <c r="AC75" s="17">
        <v>0.37330360487021119</v>
      </c>
      <c r="AD75" s="17">
        <v>36.366853854916805</v>
      </c>
      <c r="AE75" s="17">
        <v>135.66032705648075</v>
      </c>
      <c r="AF75" s="17">
        <v>579.57127116482877</v>
      </c>
      <c r="AG75" s="17">
        <v>11.342178139349901</v>
      </c>
      <c r="AH75" s="17">
        <v>6.4109801795697017</v>
      </c>
      <c r="AI75" s="17">
        <v>0.24879107334190184</v>
      </c>
      <c r="AJ75" s="17">
        <v>3.6467985438359329E-2</v>
      </c>
      <c r="AK75" s="17">
        <v>8.8732365543620101E-2</v>
      </c>
      <c r="AL75" s="17">
        <v>0.22399614186290082</v>
      </c>
      <c r="AM75" s="17">
        <v>0.32136080289076735</v>
      </c>
      <c r="AN75" s="17">
        <v>0.29061925064555733</v>
      </c>
      <c r="AO75" s="17">
        <v>5.4754425628571112E-3</v>
      </c>
      <c r="AP75" s="17">
        <v>1.5796655253334731E-2</v>
      </c>
      <c r="AQ75" s="17">
        <v>0.72368832118396509</v>
      </c>
      <c r="AR75" s="17">
        <v>19.011792464312894</v>
      </c>
      <c r="AS75" s="17">
        <v>1.73223549817525E-2</v>
      </c>
    </row>
    <row r="76" spans="1:45" ht="15.5">
      <c r="A76" s="8" t="s">
        <v>22</v>
      </c>
      <c r="B76" s="7"/>
      <c r="C76" s="9" t="s">
        <v>103</v>
      </c>
      <c r="D76" s="15" t="s">
        <v>125</v>
      </c>
      <c r="E76" s="15"/>
      <c r="F76" s="15">
        <v>3</v>
      </c>
      <c r="G76" s="19">
        <v>552783.44207419397</v>
      </c>
      <c r="H76" s="19">
        <v>6.2221917070532609</v>
      </c>
      <c r="I76" s="19">
        <v>386538.2942406761</v>
      </c>
      <c r="J76" s="19">
        <v>140.25670683413716</v>
      </c>
      <c r="K76" s="19">
        <v>336.38748817558985</v>
      </c>
      <c r="L76" s="19">
        <v>1156.2254068317416</v>
      </c>
      <c r="M76" s="19">
        <v>253.1751192152085</v>
      </c>
      <c r="N76" s="19">
        <v>27.130571395787555</v>
      </c>
      <c r="O76" s="19">
        <v>2.8162932477043312</v>
      </c>
      <c r="P76" s="19">
        <v>0.38041888476555907</v>
      </c>
      <c r="Q76" s="19">
        <v>0.40953837833160778</v>
      </c>
      <c r="R76" s="19">
        <v>0.82056579762629189</v>
      </c>
      <c r="S76" s="19">
        <v>3.2749704739212913</v>
      </c>
      <c r="T76" s="19">
        <f>0.5*0.866</f>
        <v>0.433</v>
      </c>
      <c r="U76" s="19">
        <f>0.5*0.042</f>
        <v>2.1000000000000001E-2</v>
      </c>
      <c r="V76" s="19">
        <v>2.5357083908613409E-2</v>
      </c>
      <c r="W76" s="19">
        <v>1.0707142760114223</v>
      </c>
      <c r="X76" s="19">
        <v>218.67041151119133</v>
      </c>
      <c r="Y76" s="19">
        <v>206.15047064871669</v>
      </c>
      <c r="Z76" s="19">
        <v>213.14725877154149</v>
      </c>
      <c r="AA76" s="19">
        <v>6.8790373923839798E-2</v>
      </c>
      <c r="AC76" s="17">
        <v>2.5702591545148015</v>
      </c>
      <c r="AD76" s="17">
        <v>49.147734841051069</v>
      </c>
      <c r="AE76" s="17">
        <v>117.762385686234</v>
      </c>
      <c r="AF76" s="17">
        <v>539.30267610410738</v>
      </c>
      <c r="AG76" s="17">
        <v>241.86316566535552</v>
      </c>
      <c r="AH76" s="17">
        <v>8.6013087601626399</v>
      </c>
      <c r="AI76" s="17">
        <v>0.60400900311161043</v>
      </c>
      <c r="AJ76" s="17">
        <v>0.11200173396254495</v>
      </c>
      <c r="AK76" s="17">
        <v>8.2754076677257135E-2</v>
      </c>
      <c r="AL76" s="17">
        <v>0.65650778619685002</v>
      </c>
      <c r="AM76" s="17">
        <v>1.1512583107194962</v>
      </c>
      <c r="AN76" s="17">
        <v>0.52295029890532085</v>
      </c>
      <c r="AO76" s="17">
        <v>8.7059841240732082E-3</v>
      </c>
      <c r="AP76" s="17">
        <v>3.5966740840622187E-2</v>
      </c>
      <c r="AQ76" s="17">
        <v>0.16231803358909228</v>
      </c>
      <c r="AR76" s="17">
        <v>48.758985171742374</v>
      </c>
      <c r="AS76" s="17">
        <v>0.15946306551302541</v>
      </c>
    </row>
    <row r="77" spans="1:45" ht="15.5">
      <c r="A77" s="8" t="s">
        <v>22</v>
      </c>
      <c r="B77" s="7"/>
      <c r="C77" s="9" t="s">
        <v>104</v>
      </c>
      <c r="D77" s="15" t="s">
        <v>125</v>
      </c>
      <c r="E77" s="15"/>
      <c r="F77" s="15">
        <v>4</v>
      </c>
      <c r="G77" s="19">
        <v>504638.43337989965</v>
      </c>
      <c r="H77" s="19">
        <v>2.6909626078277782</v>
      </c>
      <c r="I77" s="19">
        <v>480745.5886172239</v>
      </c>
      <c r="J77" s="19">
        <v>122.1395811750205</v>
      </c>
      <c r="K77" s="19">
        <v>212.54524938172347</v>
      </c>
      <c r="L77" s="19">
        <v>990.46505214838635</v>
      </c>
      <c r="M77" s="19">
        <v>289.19908754272865</v>
      </c>
      <c r="N77" s="19">
        <v>16.3684874385428</v>
      </c>
      <c r="O77" s="19">
        <v>2.2380486848517194</v>
      </c>
      <c r="P77" s="19">
        <v>0.16287655429942416</v>
      </c>
      <c r="Q77" s="19">
        <v>0.30211290377834055</v>
      </c>
      <c r="R77" s="19">
        <v>0.7388132798680469</v>
      </c>
      <c r="S77" s="19">
        <v>2.7463957258174823</v>
      </c>
      <c r="T77" s="19">
        <f>0.5*0.654</f>
        <v>0.32700000000000001</v>
      </c>
      <c r="U77" s="19">
        <f>0.5*0.032</f>
        <v>1.6E-2</v>
      </c>
      <c r="V77" s="19">
        <v>0.13538183504807577</v>
      </c>
      <c r="W77" s="19">
        <v>0.54755001449744178</v>
      </c>
      <c r="X77" s="19">
        <v>190.86885660700545</v>
      </c>
      <c r="Y77" s="19">
        <v>170.31518164475779</v>
      </c>
      <c r="Z77" s="19">
        <v>181.79300308071834</v>
      </c>
      <c r="AA77" s="19">
        <f>0.5*0.024</f>
        <v>1.2E-2</v>
      </c>
      <c r="AC77" s="17">
        <v>1.1928695565741947</v>
      </c>
      <c r="AD77" s="17">
        <v>26.924799448543524</v>
      </c>
      <c r="AE77" s="17">
        <v>46.959098456209937</v>
      </c>
      <c r="AF77" s="17">
        <v>892.62441919219339</v>
      </c>
      <c r="AG77" s="17">
        <v>150.35021670566266</v>
      </c>
      <c r="AH77" s="17">
        <v>6.2132620947812098</v>
      </c>
      <c r="AI77" s="17">
        <v>1.081402730452468</v>
      </c>
      <c r="AJ77" s="17">
        <v>9.167288936509474E-2</v>
      </c>
      <c r="AK77" s="17">
        <v>0.14852788807989786</v>
      </c>
      <c r="AL77" s="17">
        <v>0.19971334551475289</v>
      </c>
      <c r="AM77" s="17">
        <v>1.0268887295991822</v>
      </c>
      <c r="AN77" s="17">
        <v>0.26073979901545963</v>
      </c>
      <c r="AO77" s="17">
        <v>3.2772591250461568E-3</v>
      </c>
      <c r="AP77" s="17">
        <v>0.35073934642768756</v>
      </c>
      <c r="AQ77" s="17">
        <v>9.4520797459602457E-2</v>
      </c>
      <c r="AR77" s="17">
        <v>41.242385398974228</v>
      </c>
      <c r="AS77" s="17">
        <v>2.596254497202658E-3</v>
      </c>
    </row>
    <row r="78" spans="1:45" ht="15.5">
      <c r="A78" s="8" t="s">
        <v>22</v>
      </c>
      <c r="B78" s="7"/>
      <c r="C78" s="9" t="s">
        <v>105</v>
      </c>
      <c r="D78" s="15" t="s">
        <v>125</v>
      </c>
      <c r="E78" s="15"/>
      <c r="F78" s="15">
        <v>5</v>
      </c>
      <c r="G78" s="19">
        <v>538311.61145992507</v>
      </c>
      <c r="H78" s="19">
        <v>1.6467459578113584</v>
      </c>
      <c r="I78" s="19">
        <v>451528.24238847895</v>
      </c>
      <c r="J78" s="19">
        <v>63.08654345062007</v>
      </c>
      <c r="K78" s="19">
        <v>106.99913638372121</v>
      </c>
      <c r="L78" s="19">
        <v>2214.8472470724009</v>
      </c>
      <c r="M78" s="19">
        <v>225.37707535046184</v>
      </c>
      <c r="N78" s="19">
        <v>6.584981671775342</v>
      </c>
      <c r="O78" s="19">
        <v>2.6809340267172743</v>
      </c>
      <c r="P78" s="19">
        <f>0.5*0.064</f>
        <v>3.2000000000000001E-2</v>
      </c>
      <c r="Q78" s="19">
        <v>0.26069883104573499</v>
      </c>
      <c r="R78" s="19">
        <v>0.50477006114973388</v>
      </c>
      <c r="S78" s="19">
        <v>0.91884894123751071</v>
      </c>
      <c r="T78" s="19">
        <f>0.5*0.697</f>
        <v>0.34849999999999998</v>
      </c>
      <c r="U78" s="19">
        <f>0.5*0.034</f>
        <v>1.7000000000000001E-2</v>
      </c>
      <c r="V78" s="19">
        <v>2.1953153398673597E-2</v>
      </c>
      <c r="W78" s="19">
        <v>1.3314659402369551</v>
      </c>
      <c r="X78" s="19">
        <v>98.74300223723003</v>
      </c>
      <c r="Y78" s="19">
        <v>92.419498202062343</v>
      </c>
      <c r="Z78" s="19">
        <v>95.30506345846328</v>
      </c>
      <c r="AA78" s="19">
        <v>3.4784262022548779E-2</v>
      </c>
      <c r="AC78" s="17">
        <v>0.89512003724917122</v>
      </c>
      <c r="AD78" s="17">
        <v>72.072621036469059</v>
      </c>
      <c r="AE78" s="17">
        <v>29.0096091792579</v>
      </c>
      <c r="AF78" s="17">
        <v>1351.8200947748335</v>
      </c>
      <c r="AG78" s="17">
        <v>209.35471109008017</v>
      </c>
      <c r="AH78" s="17">
        <v>3.2817047943399666</v>
      </c>
      <c r="AI78" s="17">
        <v>1.0834298228947259</v>
      </c>
      <c r="AJ78" s="17">
        <v>2.6159581387181313E-2</v>
      </c>
      <c r="AK78" s="17">
        <v>0.21170401312538514</v>
      </c>
      <c r="AL78" s="17">
        <v>0.44626518541204696</v>
      </c>
      <c r="AM78" s="17">
        <v>0.5623321440869038</v>
      </c>
      <c r="AN78" s="17">
        <v>0.10216066867719892</v>
      </c>
      <c r="AO78" s="17">
        <v>4.9223925779205433E-3</v>
      </c>
      <c r="AP78" s="17">
        <v>1.3658435686431859E-2</v>
      </c>
      <c r="AQ78" s="17">
        <v>0.63472864116754424</v>
      </c>
      <c r="AR78" s="17">
        <v>33.530727041264029</v>
      </c>
      <c r="AS78" s="17">
        <v>3.5566472141900694E-2</v>
      </c>
    </row>
    <row r="79" spans="1:45" ht="15.5">
      <c r="A79" s="8" t="s">
        <v>22</v>
      </c>
      <c r="B79" s="7"/>
      <c r="C79" s="9" t="s">
        <v>106</v>
      </c>
      <c r="D79" s="15" t="s">
        <v>125</v>
      </c>
      <c r="E79" s="15"/>
      <c r="F79" s="15">
        <v>6</v>
      </c>
      <c r="G79" s="19">
        <v>528451.96976151632</v>
      </c>
      <c r="H79" s="19">
        <v>2.0652140369290635</v>
      </c>
      <c r="I79" s="19">
        <v>460987.36921048642</v>
      </c>
      <c r="J79" s="19">
        <v>2.3640756865136723</v>
      </c>
      <c r="K79" s="19">
        <v>22.6630621943807</v>
      </c>
      <c r="L79" s="19">
        <v>404.01267815820893</v>
      </c>
      <c r="M79" s="19">
        <v>1.6674628190437844</v>
      </c>
      <c r="N79" s="19">
        <f>0.5*0.895</f>
        <v>0.44750000000000001</v>
      </c>
      <c r="O79" s="19">
        <v>2.0907507802387899</v>
      </c>
      <c r="P79" s="19">
        <f>0.5*0.076</f>
        <v>3.7999999999999999E-2</v>
      </c>
      <c r="Q79" s="19">
        <f>0.5*0.112</f>
        <v>5.6000000000000001E-2</v>
      </c>
      <c r="R79" s="19">
        <f>0.5*0.216</f>
        <v>0.108</v>
      </c>
      <c r="S79" s="19">
        <v>0.16995904284850472</v>
      </c>
      <c r="T79" s="19">
        <f>0.5*0.816</f>
        <v>0.40799999999999997</v>
      </c>
      <c r="U79" s="19">
        <f>0.5*0.039</f>
        <v>1.95E-2</v>
      </c>
      <c r="V79" s="19">
        <f>0.5*0.021</f>
        <v>1.0500000000000001E-2</v>
      </c>
      <c r="W79" s="19">
        <v>0.91580459354862054</v>
      </c>
      <c r="X79" s="19">
        <v>74.804503480436324</v>
      </c>
      <c r="Y79" s="19">
        <v>64.038277464795215</v>
      </c>
      <c r="Z79" s="19">
        <v>64.78104886714641</v>
      </c>
      <c r="AA79" s="19">
        <f>0.5*0.03</f>
        <v>1.4999999999999999E-2</v>
      </c>
      <c r="AC79" s="17">
        <v>8.6834992539803704</v>
      </c>
      <c r="AD79" s="17">
        <v>5.2275013457082444</v>
      </c>
      <c r="AE79" s="17">
        <v>78.373219858900114</v>
      </c>
      <c r="AF79" s="17">
        <v>118.99253083780349</v>
      </c>
      <c r="AG79" s="17">
        <v>2.9928365675406079</v>
      </c>
      <c r="AH79" s="17">
        <v>1.5905814796290041</v>
      </c>
      <c r="AI79" s="17">
        <v>1.2618623122033021</v>
      </c>
      <c r="AJ79" s="17">
        <v>1.8656995630210088E-2</v>
      </c>
      <c r="AK79" s="17">
        <v>2.6661586487079253E-2</v>
      </c>
      <c r="AL79" s="17">
        <v>4.9795646952672815E-2</v>
      </c>
      <c r="AM79" s="17">
        <v>0.31785973596924155</v>
      </c>
      <c r="AN79" s="17">
        <v>0.81650226249048996</v>
      </c>
      <c r="AO79" s="17">
        <v>9.2760503157757624E-3</v>
      </c>
      <c r="AP79" s="17">
        <v>3.638186855141369E-2</v>
      </c>
      <c r="AQ79" s="17">
        <v>0.40001409208816485</v>
      </c>
      <c r="AR79" s="17">
        <v>11.72082336164949</v>
      </c>
      <c r="AS79" s="17">
        <v>4.0140992979197918E-2</v>
      </c>
    </row>
    <row r="80" spans="1:45" ht="15.5">
      <c r="A80" s="8" t="s">
        <v>22</v>
      </c>
      <c r="B80" s="7"/>
      <c r="C80" s="9" t="s">
        <v>107</v>
      </c>
      <c r="D80" s="15" t="s">
        <v>125</v>
      </c>
      <c r="E80" s="15"/>
      <c r="F80" s="15">
        <v>7</v>
      </c>
      <c r="G80" s="19">
        <v>523244.69110607239</v>
      </c>
      <c r="H80" s="19">
        <f>0.5*0.511</f>
        <v>0.2555</v>
      </c>
      <c r="I80" s="19">
        <v>470742.51237899991</v>
      </c>
      <c r="J80" s="19">
        <v>46.799636222777394</v>
      </c>
      <c r="K80" s="19">
        <v>111.25688387685636</v>
      </c>
      <c r="L80" s="19">
        <v>580.41493890742572</v>
      </c>
      <c r="M80" s="19">
        <v>5.9206701366389041</v>
      </c>
      <c r="N80" s="19">
        <v>3.9704876707325099</v>
      </c>
      <c r="O80" s="19">
        <v>2.0047468645068154</v>
      </c>
      <c r="P80" s="19">
        <f>0.5*0.066</f>
        <v>3.3000000000000002E-2</v>
      </c>
      <c r="Q80" s="19">
        <v>0.16046286007257171</v>
      </c>
      <c r="R80" s="19">
        <f>0.5*0.191</f>
        <v>9.5500000000000002E-2</v>
      </c>
      <c r="S80" s="19">
        <v>0.79244594102673283</v>
      </c>
      <c r="T80" s="19">
        <v>0.74632145197923982</v>
      </c>
      <c r="U80" s="19">
        <f>0.5*0.035</f>
        <v>1.7500000000000002E-2</v>
      </c>
      <c r="V80" s="19">
        <v>0.36076908246739281</v>
      </c>
      <c r="W80" s="19">
        <v>2.1297375973540182</v>
      </c>
      <c r="X80" s="19">
        <v>194.7035920384227</v>
      </c>
      <c r="Y80" s="19">
        <v>186.88831013502232</v>
      </c>
      <c r="Z80" s="19">
        <v>186.06691876961699</v>
      </c>
      <c r="AA80" s="19">
        <f>0.5*0.026</f>
        <v>1.2999999999999999E-2</v>
      </c>
      <c r="AC80" s="17">
        <v>0.44689458678564248</v>
      </c>
      <c r="AD80" s="17">
        <v>22.131632352864443</v>
      </c>
      <c r="AE80" s="17">
        <v>14.377257104190003</v>
      </c>
      <c r="AF80" s="17">
        <v>175.14976241838869</v>
      </c>
      <c r="AG80" s="17">
        <v>4.8575340672294036</v>
      </c>
      <c r="AH80" s="17">
        <v>1.8361700558242888</v>
      </c>
      <c r="AI80" s="17">
        <v>1.2165745538783574</v>
      </c>
      <c r="AJ80" s="17">
        <v>3.9760100042770287E-2</v>
      </c>
      <c r="AK80" s="17">
        <v>0.10514753760536387</v>
      </c>
      <c r="AL80" s="17">
        <v>0.1093842780093707</v>
      </c>
      <c r="AM80" s="17">
        <v>0.36874343002488302</v>
      </c>
      <c r="AN80" s="17">
        <v>0.49938367383808335</v>
      </c>
      <c r="AO80" s="17">
        <v>5.4877012799975818E-3</v>
      </c>
      <c r="AP80" s="17">
        <v>0.39116095841300708</v>
      </c>
      <c r="AQ80" s="17">
        <v>0.23413035691968476</v>
      </c>
      <c r="AR80" s="17">
        <v>58.104360276409487</v>
      </c>
      <c r="AS80" s="17">
        <v>2.267654294620702E-2</v>
      </c>
    </row>
    <row r="81" spans="1:45" ht="15.5">
      <c r="A81" s="8" t="s">
        <v>22</v>
      </c>
      <c r="B81" s="7"/>
      <c r="C81" s="9" t="s">
        <v>108</v>
      </c>
      <c r="D81" s="15" t="s">
        <v>125</v>
      </c>
      <c r="E81" s="15"/>
      <c r="F81" s="15">
        <v>8</v>
      </c>
      <c r="G81" s="19">
        <v>544740.2128396607</v>
      </c>
      <c r="H81" s="19">
        <v>16.443581327596149</v>
      </c>
      <c r="I81" s="19">
        <v>442126.43801419053</v>
      </c>
      <c r="J81" s="19">
        <v>31.168006128579641</v>
      </c>
      <c r="K81" s="19">
        <v>136.42201459972352</v>
      </c>
      <c r="L81" s="19">
        <v>1744.30337405928</v>
      </c>
      <c r="M81" s="19">
        <v>11.056116318718779</v>
      </c>
      <c r="N81" s="19">
        <v>8.3938922351922294</v>
      </c>
      <c r="O81" s="19">
        <f>0.5*1.777</f>
        <v>0.88849999999999996</v>
      </c>
      <c r="P81" s="19">
        <v>0.17060259729196492</v>
      </c>
      <c r="Q81" s="19">
        <v>0.18720291395581451</v>
      </c>
      <c r="R81" s="19">
        <f>0.5*0.201</f>
        <v>0.10050000000000001</v>
      </c>
      <c r="S81" s="19">
        <v>0.68220744777081832</v>
      </c>
      <c r="T81" s="19">
        <f>0.5*0.753</f>
        <v>0.3765</v>
      </c>
      <c r="U81" s="19">
        <f>0.5*0.036</f>
        <v>1.7999999999999999E-2</v>
      </c>
      <c r="V81" s="19">
        <v>1.1996189657360272</v>
      </c>
      <c r="W81" s="19">
        <v>2.1710165999087541</v>
      </c>
      <c r="X81" s="19">
        <v>156.57699124477992</v>
      </c>
      <c r="Y81" s="19">
        <v>149.88557155995881</v>
      </c>
      <c r="Z81" s="19">
        <v>145.2511375440545</v>
      </c>
      <c r="AA81" s="19">
        <v>0.13230983442419586</v>
      </c>
      <c r="AC81" s="17">
        <v>9.6712381723848875</v>
      </c>
      <c r="AD81" s="17">
        <v>24.467435483406643</v>
      </c>
      <c r="AE81" s="17">
        <v>54.007434063550228</v>
      </c>
      <c r="AF81" s="17">
        <v>2073.21878468161</v>
      </c>
      <c r="AG81" s="17">
        <v>6.1153225884095272</v>
      </c>
      <c r="AH81" s="17">
        <v>5.4100434528551302</v>
      </c>
      <c r="AI81" s="17">
        <v>0.23982878481367456</v>
      </c>
      <c r="AJ81" s="17">
        <v>0.13575315347113356</v>
      </c>
      <c r="AK81" s="17">
        <v>0.1612789482022855</v>
      </c>
      <c r="AL81" s="17">
        <v>5.8815843944655367E-2</v>
      </c>
      <c r="AM81" s="17">
        <v>0.26828999068553877</v>
      </c>
      <c r="AN81" s="17">
        <v>0.31154601258598835</v>
      </c>
      <c r="AO81" s="17">
        <v>5.6098665455311912E-3</v>
      </c>
      <c r="AP81" s="17">
        <v>2.3100271261037872</v>
      </c>
      <c r="AQ81" s="17">
        <v>0.40117802656904805</v>
      </c>
      <c r="AR81" s="17">
        <v>21.243329167806742</v>
      </c>
      <c r="AS81" s="17">
        <v>0.10361249626104814</v>
      </c>
    </row>
    <row r="82" spans="1:45" ht="15.5">
      <c r="A82" s="8" t="s">
        <v>22</v>
      </c>
      <c r="B82" s="7"/>
      <c r="C82" s="9" t="s">
        <v>109</v>
      </c>
      <c r="D82" s="15" t="s">
        <v>125</v>
      </c>
      <c r="E82" s="15"/>
      <c r="F82" s="15">
        <v>9</v>
      </c>
      <c r="G82" s="19">
        <v>553708.63901526737</v>
      </c>
      <c r="H82" s="19">
        <v>2.0669594491196293</v>
      </c>
      <c r="I82" s="19">
        <v>430262.14336212608</v>
      </c>
      <c r="J82" s="19">
        <v>27.261003005705746</v>
      </c>
      <c r="K82" s="19">
        <v>230.1542849383589</v>
      </c>
      <c r="L82" s="19">
        <v>156.49116305939879</v>
      </c>
      <c r="M82" s="19">
        <v>1.5308562573293827</v>
      </c>
      <c r="N82" s="19">
        <v>22.116912286026469</v>
      </c>
      <c r="O82" s="19">
        <v>2.0303720100843048</v>
      </c>
      <c r="P82" s="19">
        <f>0.5*0.07</f>
        <v>3.5000000000000003E-2</v>
      </c>
      <c r="Q82" s="19">
        <f>0.5*0.103</f>
        <v>5.1499999999999997E-2</v>
      </c>
      <c r="R82" s="19">
        <f>0.5*0.2</f>
        <v>0.1</v>
      </c>
      <c r="S82" s="19">
        <v>1.2570168082565025</v>
      </c>
      <c r="T82" s="19">
        <f>0.5*0.751</f>
        <v>0.3755</v>
      </c>
      <c r="U82" s="19">
        <f>0.5*0.036</f>
        <v>1.7999999999999999E-2</v>
      </c>
      <c r="V82" s="19">
        <v>0.35947242177869043</v>
      </c>
      <c r="W82" s="19">
        <v>0.21574505380962328</v>
      </c>
      <c r="X82" s="19">
        <v>81.327439396109583</v>
      </c>
      <c r="Y82" s="19">
        <v>74.346820926059024</v>
      </c>
      <c r="Z82" s="19">
        <v>75.106421803052513</v>
      </c>
      <c r="AA82" s="19">
        <v>4.1013171414851834E-2</v>
      </c>
      <c r="AC82" s="17">
        <v>1.4070197799087318</v>
      </c>
      <c r="AD82" s="17">
        <v>9.1687937360518905</v>
      </c>
      <c r="AE82" s="17">
        <v>53.519874279088661</v>
      </c>
      <c r="AF82" s="17">
        <v>113.83093721734359</v>
      </c>
      <c r="AG82" s="17">
        <v>1.1293769936953029</v>
      </c>
      <c r="AH82" s="17">
        <v>4.292254830188603</v>
      </c>
      <c r="AI82" s="17">
        <v>0.96752406609908614</v>
      </c>
      <c r="AJ82" s="17">
        <v>9.3276280334100552E-3</v>
      </c>
      <c r="AK82" s="17">
        <v>2.53622801603113E-2</v>
      </c>
      <c r="AL82" s="17">
        <v>2.6622905479399387E-2</v>
      </c>
      <c r="AM82" s="17">
        <v>0.34252977076070551</v>
      </c>
      <c r="AN82" s="17">
        <v>0.43103803487518061</v>
      </c>
      <c r="AO82" s="17">
        <v>5.3998924216756145E-3</v>
      </c>
      <c r="AP82" s="17">
        <v>0.85377968252054026</v>
      </c>
      <c r="AQ82" s="17">
        <v>9.4776058645422601E-2</v>
      </c>
      <c r="AR82" s="17">
        <v>17.289691102544641</v>
      </c>
      <c r="AS82" s="17">
        <v>0.11296996270091501</v>
      </c>
    </row>
    <row r="83" spans="1:45" ht="15.5">
      <c r="A83" s="8" t="s">
        <v>22</v>
      </c>
      <c r="B83" s="7"/>
      <c r="C83" s="9" t="s">
        <v>30</v>
      </c>
      <c r="D83" s="15" t="s">
        <v>125</v>
      </c>
      <c r="E83" s="15"/>
      <c r="F83" s="15">
        <v>10</v>
      </c>
      <c r="G83" s="19">
        <v>528787.53059382341</v>
      </c>
      <c r="H83" s="19">
        <v>1.1728270619253356</v>
      </c>
      <c r="I83" s="19">
        <v>457934.27743546863</v>
      </c>
      <c r="J83" s="19">
        <v>157.71817770625023</v>
      </c>
      <c r="K83" s="19">
        <v>351.71234991649851</v>
      </c>
      <c r="L83" s="19">
        <v>1661.0121372544741</v>
      </c>
      <c r="M83" s="19">
        <v>485.44488517304421</v>
      </c>
      <c r="N83" s="19">
        <v>13.699489321625535</v>
      </c>
      <c r="O83" s="19">
        <v>1.6754520991910695</v>
      </c>
      <c r="P83" s="19">
        <v>0.25882584866633618</v>
      </c>
      <c r="Q83" s="19">
        <v>0.39498669884462112</v>
      </c>
      <c r="R83" s="19">
        <v>0.83000299168342784</v>
      </c>
      <c r="S83" s="19">
        <v>2.7450154976827896</v>
      </c>
      <c r="T83" s="19">
        <f>0.5*0.709</f>
        <v>0.35449999999999998</v>
      </c>
      <c r="U83" s="19">
        <f>0.5*0.034</f>
        <v>1.7000000000000001E-2</v>
      </c>
      <c r="V83" s="19">
        <v>0.26092742923578527</v>
      </c>
      <c r="W83" s="19">
        <v>1.1300533850093997</v>
      </c>
      <c r="X83" s="19">
        <v>193.10943791713231</v>
      </c>
      <c r="Y83" s="19">
        <v>165.74693366569264</v>
      </c>
      <c r="Z83" s="19">
        <v>168.34831263395625</v>
      </c>
      <c r="AA83" s="19">
        <f>0.5*0.026</f>
        <v>1.2999999999999999E-2</v>
      </c>
      <c r="AC83" s="17">
        <v>0.26662904420976857</v>
      </c>
      <c r="AD83" s="17">
        <v>28.358640053052394</v>
      </c>
      <c r="AE83" s="17">
        <v>57.55882473142897</v>
      </c>
      <c r="AF83" s="17">
        <v>200.98041058697964</v>
      </c>
      <c r="AG83" s="17">
        <v>247.05181096450326</v>
      </c>
      <c r="AH83" s="17">
        <v>3.1212407597795719</v>
      </c>
      <c r="AI83" s="17">
        <v>1.239295896827912</v>
      </c>
      <c r="AJ83" s="17">
        <v>0.12927076507057397</v>
      </c>
      <c r="AK83" s="17">
        <v>0.1097598835629521</v>
      </c>
      <c r="AL83" s="17">
        <v>0.47956242735400012</v>
      </c>
      <c r="AM83" s="17">
        <v>1.0259536001839369</v>
      </c>
      <c r="AN83" s="17">
        <v>0.42107753907298567</v>
      </c>
      <c r="AO83" s="17">
        <v>5.0615840857183986E-3</v>
      </c>
      <c r="AP83" s="17">
        <v>0.43666654505122121</v>
      </c>
      <c r="AQ83" s="17">
        <v>0.4172894371840834</v>
      </c>
      <c r="AR83" s="17">
        <v>24.986812128646338</v>
      </c>
      <c r="AS83" s="17">
        <v>3.57180607259471E-3</v>
      </c>
    </row>
    <row r="84" spans="1:45" ht="15.5">
      <c r="A84" s="8" t="s">
        <v>22</v>
      </c>
      <c r="B84" s="7"/>
      <c r="C84" s="10" t="s">
        <v>110</v>
      </c>
      <c r="D84" s="15" t="s">
        <v>126</v>
      </c>
      <c r="E84" s="15">
        <f>MEDIAN(K84:K96)</f>
        <v>18.349515763246671</v>
      </c>
      <c r="F84" s="15">
        <v>1</v>
      </c>
      <c r="G84" s="19">
        <v>511425.57774543477</v>
      </c>
      <c r="H84" s="19">
        <v>12.242150043319427</v>
      </c>
      <c r="I84" s="19">
        <v>486444.96650562866</v>
      </c>
      <c r="J84" s="19">
        <v>8.6623134757271458E-2</v>
      </c>
      <c r="K84" s="19">
        <v>4.7341568109294485</v>
      </c>
      <c r="L84" s="19">
        <v>16.319716744066938</v>
      </c>
      <c r="M84" s="19">
        <v>19.436660933061741</v>
      </c>
      <c r="N84" s="19">
        <v>116.22447261465206</v>
      </c>
      <c r="O84" s="19">
        <v>9.8984892876361386</v>
      </c>
      <c r="P84" s="19">
        <v>13.411222645803292</v>
      </c>
      <c r="Q84" s="19">
        <v>4.3337474093202175</v>
      </c>
      <c r="R84" s="19">
        <v>6.1917839520582714</v>
      </c>
      <c r="S84" s="19">
        <v>25.631644738232737</v>
      </c>
      <c r="T84" s="19">
        <v>1.1147397752544919</v>
      </c>
      <c r="U84" s="19">
        <f>0.5*0.035</f>
        <v>1.7500000000000002E-2</v>
      </c>
      <c r="V84" s="19">
        <v>1.435351799676738</v>
      </c>
      <c r="W84" s="19">
        <v>11.432097242024129</v>
      </c>
      <c r="X84" s="19">
        <v>99.959960282710142</v>
      </c>
      <c r="Y84" s="19">
        <v>86.040044463051586</v>
      </c>
      <c r="Z84" s="19">
        <v>84.852136215156293</v>
      </c>
      <c r="AA84" s="19">
        <f>0.5*0.027</f>
        <v>1.35E-2</v>
      </c>
      <c r="AC84" s="18">
        <v>3.0150902702607292</v>
      </c>
      <c r="AD84" s="18">
        <v>0.10709706754675685</v>
      </c>
      <c r="AE84" s="18">
        <v>5.5253714824847568</v>
      </c>
      <c r="AF84" s="18">
        <v>10.401353276320039</v>
      </c>
      <c r="AG84" s="18">
        <v>6.7198841435177572</v>
      </c>
      <c r="AH84" s="18">
        <v>13.094718208447301</v>
      </c>
      <c r="AI84" s="18">
        <v>3.7237135501580547</v>
      </c>
      <c r="AJ84" s="18">
        <v>17.062126653277012</v>
      </c>
      <c r="AK84" s="18">
        <v>0.75188589737993516</v>
      </c>
      <c r="AL84" s="18">
        <v>1.8811700823072133</v>
      </c>
      <c r="AM84" s="18">
        <v>6.6425600530045479</v>
      </c>
      <c r="AN84" s="18">
        <v>0.53426982588866168</v>
      </c>
      <c r="AO84" s="18">
        <v>5.0098518565094086E-3</v>
      </c>
      <c r="AP84" s="18">
        <v>2.3529299595544533</v>
      </c>
      <c r="AQ84" s="18">
        <v>3.5601511920007836</v>
      </c>
      <c r="AR84" s="18">
        <v>29.657752601778689</v>
      </c>
      <c r="AS84" s="18">
        <v>3.5569662486208365E-3</v>
      </c>
    </row>
    <row r="85" spans="1:45" ht="15.5">
      <c r="A85" s="8" t="s">
        <v>22</v>
      </c>
      <c r="B85" s="7"/>
      <c r="C85" s="10" t="s">
        <v>111</v>
      </c>
      <c r="D85" s="15" t="s">
        <v>126</v>
      </c>
      <c r="E85" s="15"/>
      <c r="F85" s="15">
        <v>2</v>
      </c>
      <c r="G85" s="19">
        <v>513145.20953529543</v>
      </c>
      <c r="H85" s="19">
        <v>14.422698064394904</v>
      </c>
      <c r="I85" s="19">
        <v>482549.45042847033</v>
      </c>
      <c r="J85" s="19">
        <v>0.1094196667635412</v>
      </c>
      <c r="K85" s="19">
        <v>10.240731147935335</v>
      </c>
      <c r="L85" s="19">
        <v>3.9336432107223729</v>
      </c>
      <c r="M85" s="19">
        <v>21.427817936794924</v>
      </c>
      <c r="N85" s="19">
        <v>269.94415029242487</v>
      </c>
      <c r="O85" s="19">
        <v>41.805245869964153</v>
      </c>
      <c r="P85" s="19">
        <v>15.595442345181141</v>
      </c>
      <c r="Q85" s="19">
        <v>5.7648009409333678</v>
      </c>
      <c r="R85" s="19">
        <v>3.56847557342609</v>
      </c>
      <c r="S85" s="19">
        <v>56.235481539204386</v>
      </c>
      <c r="T85" s="19">
        <v>0.85720251453251528</v>
      </c>
      <c r="U85" s="19">
        <f>0.5*0.034</f>
        <v>1.7000000000000001E-2</v>
      </c>
      <c r="V85" s="19">
        <v>0.55511532844175093</v>
      </c>
      <c r="W85" s="19">
        <v>7.7269517382403006</v>
      </c>
      <c r="X85" s="19">
        <v>103.82579723830088</v>
      </c>
      <c r="Y85" s="19">
        <v>85.92728407428632</v>
      </c>
      <c r="Z85" s="19">
        <v>87.231462218556672</v>
      </c>
      <c r="AA85" s="19">
        <f>0.5*0.026</f>
        <v>1.2999999999999999E-2</v>
      </c>
      <c r="AC85" s="18">
        <v>1.369458164552817</v>
      </c>
      <c r="AD85" s="18">
        <v>3.16563268993389E-2</v>
      </c>
      <c r="AE85" s="18">
        <v>4.3033863761675972</v>
      </c>
      <c r="AF85" s="18">
        <v>2.6744562981638929</v>
      </c>
      <c r="AG85" s="18">
        <v>4.7653127761863079</v>
      </c>
      <c r="AH85" s="18">
        <v>23.094840857996779</v>
      </c>
      <c r="AI85" s="18">
        <v>14.960762148398503</v>
      </c>
      <c r="AJ85" s="18">
        <v>5.2578267035130954</v>
      </c>
      <c r="AK85" s="18">
        <v>0.81237238191453542</v>
      </c>
      <c r="AL85" s="18">
        <v>0.63527724259395468</v>
      </c>
      <c r="AM85" s="18">
        <v>7.4177616276297726</v>
      </c>
      <c r="AN85" s="18">
        <v>0.48122557275466876</v>
      </c>
      <c r="AO85" s="18">
        <v>4.6391796574809649E-3</v>
      </c>
      <c r="AP85" s="18">
        <v>1.3650802164506586</v>
      </c>
      <c r="AQ85" s="18">
        <v>0.36818412489564217</v>
      </c>
      <c r="AR85" s="18">
        <v>17.165465752791011</v>
      </c>
      <c r="AS85" s="18">
        <v>3.2084647047249484E-3</v>
      </c>
    </row>
    <row r="86" spans="1:45" ht="15.5">
      <c r="A86" s="8" t="s">
        <v>22</v>
      </c>
      <c r="B86" s="7"/>
      <c r="C86" s="10" t="s">
        <v>112</v>
      </c>
      <c r="D86" s="15" t="s">
        <v>126</v>
      </c>
      <c r="E86" s="15"/>
      <c r="F86" s="15">
        <v>3</v>
      </c>
      <c r="G86" s="19">
        <v>521438.51973224117</v>
      </c>
      <c r="H86" s="19">
        <v>15.692777484728717</v>
      </c>
      <c r="I86" s="19">
        <v>475387.15744680644</v>
      </c>
      <c r="J86" s="19">
        <v>0.31973144179668078</v>
      </c>
      <c r="K86" s="19">
        <v>28.084332169463174</v>
      </c>
      <c r="L86" s="19">
        <v>7.5773196090265458</v>
      </c>
      <c r="M86" s="19">
        <v>144.49405215439674</v>
      </c>
      <c r="N86" s="19">
        <v>300.50266142782141</v>
      </c>
      <c r="O86" s="19">
        <v>47.001712122326055</v>
      </c>
      <c r="P86" s="19">
        <v>22.114805909631396</v>
      </c>
      <c r="Q86" s="19">
        <v>5.24975142882451</v>
      </c>
      <c r="R86" s="19">
        <v>7.2294715020787237</v>
      </c>
      <c r="S86" s="19">
        <v>62.46573119191244</v>
      </c>
      <c r="T86" s="19">
        <v>1.1623221538791135</v>
      </c>
      <c r="U86" s="19">
        <f>0.5*0.035</f>
        <v>1.7500000000000002E-2</v>
      </c>
      <c r="V86" s="19">
        <v>0.1942552017662682</v>
      </c>
      <c r="W86" s="19">
        <v>6.1598086023654091</v>
      </c>
      <c r="X86" s="19">
        <v>98.380709543260892</v>
      </c>
      <c r="Y86" s="19">
        <v>81.211779814452512</v>
      </c>
      <c r="Z86" s="19">
        <v>80.298793155555785</v>
      </c>
      <c r="AA86" s="19">
        <f>0.5*0.027</f>
        <v>1.35E-2</v>
      </c>
      <c r="AC86" s="18">
        <v>4.6546769015237279</v>
      </c>
      <c r="AD86" s="18">
        <v>0.3995355804446975</v>
      </c>
      <c r="AE86" s="18">
        <v>29.598714307251729</v>
      </c>
      <c r="AF86" s="18">
        <v>7.3205426417310129</v>
      </c>
      <c r="AG86" s="18">
        <v>190.99351594883686</v>
      </c>
      <c r="AH86" s="18">
        <v>13.005122728762622</v>
      </c>
      <c r="AI86" s="18">
        <v>27.119854983028912</v>
      </c>
      <c r="AJ86" s="18">
        <v>18.99597954689267</v>
      </c>
      <c r="AK86" s="18">
        <v>0.7659046418939317</v>
      </c>
      <c r="AL86" s="18">
        <v>6.6356682151689386</v>
      </c>
      <c r="AM86" s="18">
        <v>15.407650711614501</v>
      </c>
      <c r="AN86" s="18">
        <v>0.46603289891689453</v>
      </c>
      <c r="AO86" s="18">
        <v>5.5686319849921825E-3</v>
      </c>
      <c r="AP86" s="18">
        <v>0.2705651538795944</v>
      </c>
      <c r="AQ86" s="18">
        <v>1.8510658882125559</v>
      </c>
      <c r="AR86" s="18">
        <v>8.7026377966713326</v>
      </c>
      <c r="AS86" s="18">
        <v>2.1577501749120372E-2</v>
      </c>
    </row>
    <row r="87" spans="1:45" ht="15.5">
      <c r="A87" s="8" t="s">
        <v>22</v>
      </c>
      <c r="B87" s="7"/>
      <c r="C87" s="10" t="s">
        <v>113</v>
      </c>
      <c r="D87" s="15" t="s">
        <v>126</v>
      </c>
      <c r="E87" s="15"/>
      <c r="F87" s="15">
        <v>4</v>
      </c>
      <c r="G87" s="19">
        <v>509222.84529850195</v>
      </c>
      <c r="H87" s="19">
        <v>16.571442740778149</v>
      </c>
      <c r="I87" s="19">
        <v>489752.76951343362</v>
      </c>
      <c r="J87" s="19">
        <v>4.309201596387488E-2</v>
      </c>
      <c r="K87" s="19">
        <v>4.4295797859668955</v>
      </c>
      <c r="L87" s="19">
        <v>2.5393010437777264</v>
      </c>
      <c r="M87" s="19">
        <v>8.7242450313235054</v>
      </c>
      <c r="N87" s="19">
        <v>260.78091176392513</v>
      </c>
      <c r="O87" s="19">
        <v>27.114446757801915</v>
      </c>
      <c r="P87" s="19">
        <v>2.5590473094203716</v>
      </c>
      <c r="Q87" s="19">
        <v>5.4986146049074698</v>
      </c>
      <c r="R87" s="19">
        <v>3.0716037967761842</v>
      </c>
      <c r="S87" s="19">
        <v>51.768803058518131</v>
      </c>
      <c r="T87" s="19">
        <f>0.5*0.732</f>
        <v>0.36599999999999999</v>
      </c>
      <c r="U87" s="19">
        <f>0.5*0.035</f>
        <v>1.7500000000000002E-2</v>
      </c>
      <c r="V87" s="19">
        <v>0.2720129894745611</v>
      </c>
      <c r="W87" s="19">
        <v>4.7588173992757179</v>
      </c>
      <c r="X87" s="19">
        <v>110.2338797659944</v>
      </c>
      <c r="Y87" s="19">
        <v>86.949869072949653</v>
      </c>
      <c r="Z87" s="19">
        <v>91.5289547333076</v>
      </c>
      <c r="AA87" s="19">
        <f>0.5*0.027</f>
        <v>1.35E-2</v>
      </c>
      <c r="AC87" s="18">
        <v>2.5302066648827823</v>
      </c>
      <c r="AD87" s="18">
        <v>1.5123864755728467E-2</v>
      </c>
      <c r="AE87" s="18">
        <v>1.3521000620262735</v>
      </c>
      <c r="AF87" s="18">
        <v>2.9859946822455328</v>
      </c>
      <c r="AG87" s="18">
        <v>0.92230831826005277</v>
      </c>
      <c r="AH87" s="18">
        <v>33.048047499392247</v>
      </c>
      <c r="AI87" s="18">
        <v>7.7609387053157475</v>
      </c>
      <c r="AJ87" s="18">
        <v>0.99189271463039685</v>
      </c>
      <c r="AK87" s="18">
        <v>1.3114345378207231</v>
      </c>
      <c r="AL87" s="18">
        <v>0.62971081382838301</v>
      </c>
      <c r="AM87" s="18">
        <v>10.314814103806619</v>
      </c>
      <c r="AN87" s="18">
        <v>0.28652538794309068</v>
      </c>
      <c r="AO87" s="18">
        <v>6.114537886886021E-3</v>
      </c>
      <c r="AP87" s="18">
        <v>0.33903227187583934</v>
      </c>
      <c r="AQ87" s="18">
        <v>0.60851696687241363</v>
      </c>
      <c r="AR87" s="18">
        <v>16.820694823535646</v>
      </c>
      <c r="AS87" s="18">
        <v>4.0677315016896566E-3</v>
      </c>
    </row>
    <row r="88" spans="1:45" ht="15.5">
      <c r="A88" s="8" t="s">
        <v>22</v>
      </c>
      <c r="B88" s="7"/>
      <c r="C88" s="10" t="s">
        <v>114</v>
      </c>
      <c r="D88" s="15" t="s">
        <v>126</v>
      </c>
      <c r="E88" s="15"/>
      <c r="F88" s="15">
        <v>5</v>
      </c>
      <c r="G88" s="19">
        <v>513888.0561465206</v>
      </c>
      <c r="H88" s="19">
        <v>9.4818163299544906</v>
      </c>
      <c r="I88" s="19">
        <v>483594.26670851582</v>
      </c>
      <c r="J88" s="19">
        <v>6.2252012177529625E-2</v>
      </c>
      <c r="K88" s="19">
        <v>9.4675961541776417</v>
      </c>
      <c r="L88" s="19">
        <v>3.3737484820772892</v>
      </c>
      <c r="M88" s="19">
        <v>13.924018715258953</v>
      </c>
      <c r="N88" s="19">
        <v>254.16085827046399</v>
      </c>
      <c r="O88" s="19">
        <v>32.066449735505216</v>
      </c>
      <c r="P88" s="19">
        <v>23.666536771183075</v>
      </c>
      <c r="Q88" s="19">
        <v>7.436911569731361</v>
      </c>
      <c r="R88" s="19">
        <v>5.042485109582298</v>
      </c>
      <c r="S88" s="19">
        <v>58.528886518545072</v>
      </c>
      <c r="T88" s="19">
        <v>1.0950942016196983</v>
      </c>
      <c r="U88" s="19">
        <f>0.5*0.034</f>
        <v>1.7000000000000001E-2</v>
      </c>
      <c r="V88" s="19">
        <v>3.1460095425715933</v>
      </c>
      <c r="W88" s="19">
        <v>9.2904698106411701</v>
      </c>
      <c r="X88" s="19">
        <v>150.49012170214581</v>
      </c>
      <c r="Y88" s="19">
        <v>123.58798397397555</v>
      </c>
      <c r="Z88" s="19">
        <v>129.81462917232523</v>
      </c>
      <c r="AA88" s="19">
        <f>0.5*0.027</f>
        <v>1.35E-2</v>
      </c>
      <c r="AC88" s="18">
        <v>1.7755683172251393</v>
      </c>
      <c r="AD88" s="18">
        <v>5.0368685700520568E-2</v>
      </c>
      <c r="AE88" s="18">
        <v>6.7512425702691479</v>
      </c>
      <c r="AF88" s="18">
        <v>1.7558938421569972</v>
      </c>
      <c r="AG88" s="18">
        <v>4.0101218901596338</v>
      </c>
      <c r="AH88" s="18">
        <v>24.786488025411426</v>
      </c>
      <c r="AI88" s="18">
        <v>11.522731692248954</v>
      </c>
      <c r="AJ88" s="18">
        <v>16.834916498448493</v>
      </c>
      <c r="AK88" s="18">
        <v>0.68270530195778367</v>
      </c>
      <c r="AL88" s="18">
        <v>0.69241930873488333</v>
      </c>
      <c r="AM88" s="18">
        <v>4.516344746549267</v>
      </c>
      <c r="AN88" s="18">
        <v>0.40925417948815218</v>
      </c>
      <c r="AO88" s="18">
        <v>5.5697829690745694E-3</v>
      </c>
      <c r="AP88" s="18">
        <v>7.0328495864877087</v>
      </c>
      <c r="AQ88" s="18">
        <v>1.481104668264106</v>
      </c>
      <c r="AR88" s="18">
        <v>16.718214860071512</v>
      </c>
      <c r="AS88" s="18">
        <v>8.8599209489047034E-3</v>
      </c>
    </row>
    <row r="89" spans="1:45" ht="15.5">
      <c r="A89" s="8" t="s">
        <v>22</v>
      </c>
      <c r="B89" s="7"/>
      <c r="C89" s="10" t="s">
        <v>115</v>
      </c>
      <c r="D89" s="15" t="s">
        <v>126</v>
      </c>
      <c r="E89" s="15"/>
      <c r="F89" s="15">
        <v>6</v>
      </c>
      <c r="G89" s="19">
        <v>523042.82761218987</v>
      </c>
      <c r="H89" s="19">
        <v>16.599513131808052</v>
      </c>
      <c r="I89" s="19">
        <v>473544.99419771036</v>
      </c>
      <c r="J89" s="19">
        <v>0.40026218600489649</v>
      </c>
      <c r="K89" s="19">
        <v>28.929778737012427</v>
      </c>
      <c r="L89" s="19">
        <v>9.0387964961221314</v>
      </c>
      <c r="M89" s="19">
        <v>17.956070770560586</v>
      </c>
      <c r="N89" s="19">
        <v>245.70375733079368</v>
      </c>
      <c r="O89" s="19">
        <v>36.487705861049534</v>
      </c>
      <c r="P89" s="19">
        <v>20.120639177356253</v>
      </c>
      <c r="Q89" s="19">
        <v>3.3318078403830258</v>
      </c>
      <c r="R89" s="19">
        <v>1.8317055232843309</v>
      </c>
      <c r="S89" s="19">
        <v>39.283407732455522</v>
      </c>
      <c r="T89" s="19">
        <v>0.81205454957849099</v>
      </c>
      <c r="U89" s="19">
        <f>0.5*0.036</f>
        <v>1.7999999999999999E-2</v>
      </c>
      <c r="V89" s="19">
        <v>3.1716419553762023</v>
      </c>
      <c r="W89" s="19">
        <v>4.6734203732361053</v>
      </c>
      <c r="X89" s="19">
        <v>62.826757147704882</v>
      </c>
      <c r="Y89" s="19">
        <v>51.056268817865316</v>
      </c>
      <c r="Z89" s="19">
        <v>53.278849009813428</v>
      </c>
      <c r="AA89" s="19">
        <f>0.5*0.028</f>
        <v>1.4E-2</v>
      </c>
      <c r="AC89" s="18">
        <v>1.0603270127839175</v>
      </c>
      <c r="AD89" s="18">
        <v>0.40378259395956795</v>
      </c>
      <c r="AE89" s="18">
        <v>25.108016393975973</v>
      </c>
      <c r="AF89" s="18">
        <v>4.6223542642432491</v>
      </c>
      <c r="AG89" s="18">
        <v>7.1455887076389804</v>
      </c>
      <c r="AH89" s="18">
        <v>71.031263783029559</v>
      </c>
      <c r="AI89" s="18">
        <v>23.363566534081045</v>
      </c>
      <c r="AJ89" s="18">
        <v>12.928360176177584</v>
      </c>
      <c r="AK89" s="18">
        <v>1.1190691149939249</v>
      </c>
      <c r="AL89" s="18">
        <v>0.63727080562268346</v>
      </c>
      <c r="AM89" s="18">
        <v>15.334266211438086</v>
      </c>
      <c r="AN89" s="18">
        <v>0.409494633564843</v>
      </c>
      <c r="AO89" s="18">
        <v>6.807867576790032E-3</v>
      </c>
      <c r="AP89" s="18">
        <v>5.3319780331452353</v>
      </c>
      <c r="AQ89" s="18">
        <v>1.4068723983605846</v>
      </c>
      <c r="AR89" s="18">
        <v>16.588174067056901</v>
      </c>
      <c r="AS89" s="18">
        <v>4.4074864365319247E-3</v>
      </c>
    </row>
    <row r="90" spans="1:45" ht="15.5">
      <c r="A90" s="8" t="s">
        <v>22</v>
      </c>
      <c r="B90" s="7"/>
      <c r="C90" s="10" t="s">
        <v>116</v>
      </c>
      <c r="D90" s="15" t="s">
        <v>126</v>
      </c>
      <c r="E90" s="15"/>
      <c r="F90" s="15">
        <v>7</v>
      </c>
      <c r="G90" s="19">
        <v>514264.43234378949</v>
      </c>
      <c r="H90" s="19">
        <v>10.268338055394704</v>
      </c>
      <c r="I90" s="19">
        <v>478748.93187541992</v>
      </c>
      <c r="J90" s="19">
        <v>0.51306065325671624</v>
      </c>
      <c r="K90" s="19">
        <v>46.266214763915244</v>
      </c>
      <c r="L90" s="19">
        <v>21.191924166035236</v>
      </c>
      <c r="M90" s="19">
        <v>79.627370490998942</v>
      </c>
      <c r="N90" s="19">
        <v>268.50036850043483</v>
      </c>
      <c r="O90" s="19">
        <v>65.722897963410219</v>
      </c>
      <c r="P90" s="19">
        <v>55.287068941594896</v>
      </c>
      <c r="Q90" s="19">
        <v>5.727410641139457</v>
      </c>
      <c r="R90" s="19">
        <v>9.5645154583480458</v>
      </c>
      <c r="S90" s="19">
        <v>69.875198837854697</v>
      </c>
      <c r="T90" s="19">
        <v>1.3071877903337752</v>
      </c>
      <c r="U90" s="19">
        <f>0.5*0.033</f>
        <v>1.6500000000000001E-2</v>
      </c>
      <c r="V90" s="19">
        <v>6.3125270751300917</v>
      </c>
      <c r="W90" s="19">
        <v>13.411418166853018</v>
      </c>
      <c r="X90" s="19">
        <v>151.20242196513937</v>
      </c>
      <c r="Y90" s="19">
        <v>126.59003580642309</v>
      </c>
      <c r="Z90" s="19">
        <v>122.34757737604468</v>
      </c>
      <c r="AA90" s="19">
        <f>0.5*0.026</f>
        <v>1.2999999999999999E-2</v>
      </c>
      <c r="AC90" s="18">
        <v>0.58845519151598147</v>
      </c>
      <c r="AD90" s="18">
        <v>0.11943238855722324</v>
      </c>
      <c r="AE90" s="18">
        <v>19.739424247830851</v>
      </c>
      <c r="AF90" s="18">
        <v>3.1257529270645175</v>
      </c>
      <c r="AG90" s="18">
        <v>73.990566830294298</v>
      </c>
      <c r="AH90" s="18">
        <v>60.713579335139542</v>
      </c>
      <c r="AI90" s="18">
        <v>24.086348678743541</v>
      </c>
      <c r="AJ90" s="18">
        <v>23.95379198802388</v>
      </c>
      <c r="AK90" s="18">
        <v>1.5113686377996636</v>
      </c>
      <c r="AL90" s="18">
        <v>4.4852513695047875</v>
      </c>
      <c r="AM90" s="18">
        <v>15.221459188257461</v>
      </c>
      <c r="AN90" s="18">
        <v>0.47862851222677349</v>
      </c>
      <c r="AO90" s="18">
        <v>5.2296164179535011E-3</v>
      </c>
      <c r="AP90" s="18">
        <v>8.1786660719219721</v>
      </c>
      <c r="AQ90" s="18">
        <v>2.7891841948503178</v>
      </c>
      <c r="AR90" s="18">
        <v>35.691880305804411</v>
      </c>
      <c r="AS90" s="18">
        <v>8.0444570957372476E-3</v>
      </c>
    </row>
    <row r="91" spans="1:45" ht="15.5">
      <c r="A91" s="8" t="s">
        <v>22</v>
      </c>
      <c r="B91" s="7"/>
      <c r="C91" s="10" t="s">
        <v>117</v>
      </c>
      <c r="D91" s="15" t="s">
        <v>126</v>
      </c>
      <c r="E91" s="15"/>
      <c r="F91" s="15">
        <v>8</v>
      </c>
      <c r="G91" s="19">
        <v>524085.89644138428</v>
      </c>
      <c r="H91" s="19">
        <v>13.114234243402191</v>
      </c>
      <c r="I91" s="19">
        <v>470360.25502095267</v>
      </c>
      <c r="J91" s="19">
        <v>0.37718662293427574</v>
      </c>
      <c r="K91" s="19">
        <v>29.855073232559931</v>
      </c>
      <c r="L91" s="19">
        <v>29.520190006662688</v>
      </c>
      <c r="M91" s="19">
        <v>206.7624868825319</v>
      </c>
      <c r="N91" s="19">
        <v>311.24373914559021</v>
      </c>
      <c r="O91" s="19">
        <v>57.876137781050922</v>
      </c>
      <c r="P91" s="19">
        <v>52.059922440183641</v>
      </c>
      <c r="Q91" s="19">
        <v>10.834451515892797</v>
      </c>
      <c r="R91" s="19">
        <v>14.107880098903081</v>
      </c>
      <c r="S91" s="19">
        <v>94.154286129410622</v>
      </c>
      <c r="T91" s="19">
        <v>1.1116951161032578</v>
      </c>
      <c r="U91" s="19">
        <f>0.5*0.035</f>
        <v>1.7500000000000002E-2</v>
      </c>
      <c r="V91" s="19">
        <v>3.3266046382242251</v>
      </c>
      <c r="W91" s="19">
        <v>10.175177917566993</v>
      </c>
      <c r="X91" s="19">
        <v>205.7216550035113</v>
      </c>
      <c r="Y91" s="19">
        <v>172.94749447750903</v>
      </c>
      <c r="Z91" s="19">
        <v>173.75755808860032</v>
      </c>
      <c r="AA91" s="19">
        <f>0.5*0.027</f>
        <v>1.35E-2</v>
      </c>
      <c r="AC91" s="18">
        <v>3.9046082258651751</v>
      </c>
      <c r="AD91" s="18">
        <v>0.32007897702044291</v>
      </c>
      <c r="AE91" s="18">
        <v>12.994491528175788</v>
      </c>
      <c r="AF91" s="18">
        <v>23.549269045046465</v>
      </c>
      <c r="AG91" s="18">
        <v>228.38679621657761</v>
      </c>
      <c r="AH91" s="18">
        <v>31.201325610970233</v>
      </c>
      <c r="AI91" s="18">
        <v>17.513169855370304</v>
      </c>
      <c r="AJ91" s="18">
        <v>37.871763454058332</v>
      </c>
      <c r="AK91" s="18">
        <v>2.5298964034325095</v>
      </c>
      <c r="AL91" s="18">
        <v>12.05889193442531</v>
      </c>
      <c r="AM91" s="18">
        <v>17.378372196981896</v>
      </c>
      <c r="AN91" s="18">
        <v>0.44740797131205939</v>
      </c>
      <c r="AO91" s="18">
        <v>5.1043406493193194E-3</v>
      </c>
      <c r="AP91" s="18">
        <v>6.2256483955896931</v>
      </c>
      <c r="AQ91" s="18">
        <v>3.3546852353871435</v>
      </c>
      <c r="AR91" s="18">
        <v>53.523329428196732</v>
      </c>
      <c r="AS91" s="18">
        <v>2.8060915615829487E-3</v>
      </c>
    </row>
    <row r="92" spans="1:45" ht="15.5">
      <c r="A92" s="8" t="s">
        <v>22</v>
      </c>
      <c r="B92" s="7"/>
      <c r="C92" s="10" t="s">
        <v>118</v>
      </c>
      <c r="D92" s="15" t="s">
        <v>126</v>
      </c>
      <c r="E92" s="15"/>
      <c r="F92" s="15">
        <v>9</v>
      </c>
      <c r="G92" s="19">
        <v>522944.2448980934</v>
      </c>
      <c r="H92" s="19">
        <v>21.952509010480924</v>
      </c>
      <c r="I92" s="19">
        <v>469846.81040170934</v>
      </c>
      <c r="J92" s="19">
        <v>0.55917748723352112</v>
      </c>
      <c r="K92" s="19">
        <v>38.501541901028645</v>
      </c>
      <c r="L92" s="19">
        <v>22.655266584951192</v>
      </c>
      <c r="M92" s="19">
        <v>32.643389039807687</v>
      </c>
      <c r="N92" s="19">
        <v>257.19817219534826</v>
      </c>
      <c r="O92" s="19">
        <v>60.137020163302282</v>
      </c>
      <c r="P92" s="19">
        <v>72.392239612441244</v>
      </c>
      <c r="Q92" s="19">
        <v>6.1067502781884944</v>
      </c>
      <c r="R92" s="19">
        <v>5.082219518063706</v>
      </c>
      <c r="S92" s="19">
        <v>60.40862218990182</v>
      </c>
      <c r="T92" s="19">
        <v>1.3198717800066202</v>
      </c>
      <c r="U92" s="19">
        <f>0.5*0.033</f>
        <v>1.6500000000000001E-2</v>
      </c>
      <c r="V92" s="19">
        <v>8.380277634739798</v>
      </c>
      <c r="W92" s="19">
        <v>10.648137994435764</v>
      </c>
      <c r="X92" s="19">
        <v>136.086343472919</v>
      </c>
      <c r="Y92" s="19">
        <v>106.14506821135723</v>
      </c>
      <c r="Z92" s="19">
        <v>109.40565658233943</v>
      </c>
      <c r="AA92" s="19">
        <f>0.5*0.026</f>
        <v>1.2999999999999999E-2</v>
      </c>
      <c r="AC92" s="18">
        <v>2.9834210881505361</v>
      </c>
      <c r="AD92" s="18">
        <v>0.38543411461950322</v>
      </c>
      <c r="AE92" s="18">
        <v>23.594879797126467</v>
      </c>
      <c r="AF92" s="18">
        <v>17.348236630916894</v>
      </c>
      <c r="AG92" s="18">
        <v>15.50270551385565</v>
      </c>
      <c r="AH92" s="18">
        <v>22.461794586756714</v>
      </c>
      <c r="AI92" s="18">
        <v>17.872527735652042</v>
      </c>
      <c r="AJ92" s="18">
        <v>32.449534936215123</v>
      </c>
      <c r="AK92" s="18">
        <v>0.47473049324173727</v>
      </c>
      <c r="AL92" s="18">
        <v>0.92356603920444813</v>
      </c>
      <c r="AM92" s="18">
        <v>11.78068819181836</v>
      </c>
      <c r="AN92" s="18">
        <v>0.530387771026545</v>
      </c>
      <c r="AO92" s="18">
        <v>5.468891270737429E-3</v>
      </c>
      <c r="AP92" s="18">
        <v>17.635580123621839</v>
      </c>
      <c r="AQ92" s="18">
        <v>1.14467277701895</v>
      </c>
      <c r="AR92" s="18">
        <v>4.472765456461171</v>
      </c>
      <c r="AS92" s="18">
        <v>2.847219025663858E-3</v>
      </c>
    </row>
    <row r="93" spans="1:45" ht="15.5">
      <c r="A93" s="8" t="s">
        <v>22</v>
      </c>
      <c r="B93" s="7"/>
      <c r="C93" s="10" t="s">
        <v>31</v>
      </c>
      <c r="D93" s="15" t="s">
        <v>126</v>
      </c>
      <c r="E93" s="15"/>
      <c r="F93" s="15">
        <v>10</v>
      </c>
      <c r="G93" s="19">
        <v>520057.03179932182</v>
      </c>
      <c r="H93" s="19">
        <v>24.513020772837095</v>
      </c>
      <c r="I93" s="19">
        <v>478540.52711469273</v>
      </c>
      <c r="J93" s="19">
        <v>0.38132456990808095</v>
      </c>
      <c r="K93" s="19">
        <v>42.089264702012315</v>
      </c>
      <c r="L93" s="19">
        <v>13.561238548754829</v>
      </c>
      <c r="M93" s="19">
        <v>23.833530564777334</v>
      </c>
      <c r="N93" s="19">
        <v>234.15874622256794</v>
      </c>
      <c r="O93" s="19">
        <v>73.210125842091259</v>
      </c>
      <c r="P93" s="19">
        <v>17.911758882856361</v>
      </c>
      <c r="Q93" s="19">
        <v>4.5338724218055138</v>
      </c>
      <c r="R93" s="19">
        <v>2.5526754252299604</v>
      </c>
      <c r="S93" s="19">
        <v>46.241173057148842</v>
      </c>
      <c r="T93" s="19">
        <v>0.99676551096172727</v>
      </c>
      <c r="U93" s="19">
        <f>0.5*0.034</f>
        <v>1.7000000000000001E-2</v>
      </c>
      <c r="V93" s="19">
        <v>0.97589345191893884</v>
      </c>
      <c r="W93" s="19">
        <v>6.4129766133408932</v>
      </c>
      <c r="X93" s="19">
        <v>94.542022638521004</v>
      </c>
      <c r="Y93" s="19">
        <v>81.123287220556421</v>
      </c>
      <c r="Z93" s="19">
        <v>79.71737292732638</v>
      </c>
      <c r="AA93" s="19">
        <f>0.5*0.026</f>
        <v>1.2999999999999999E-2</v>
      </c>
      <c r="AC93" s="18">
        <v>4.5817446462980858</v>
      </c>
      <c r="AD93" s="18">
        <v>0.44172383068486037</v>
      </c>
      <c r="AE93" s="18">
        <v>26.355764253845258</v>
      </c>
      <c r="AF93" s="18">
        <v>9.6238450837081349</v>
      </c>
      <c r="AG93" s="18">
        <v>4.1419818290063128</v>
      </c>
      <c r="AH93" s="18">
        <v>10.282252694800954</v>
      </c>
      <c r="AI93" s="18">
        <v>3.9277098054059505</v>
      </c>
      <c r="AJ93" s="18">
        <v>17.350423519886096</v>
      </c>
      <c r="AK93" s="18">
        <v>0.14404397553974743</v>
      </c>
      <c r="AL93" s="18">
        <v>0.64926305122942407</v>
      </c>
      <c r="AM93" s="18">
        <v>6.8032613599316347</v>
      </c>
      <c r="AN93" s="18">
        <v>0.38685541872865958</v>
      </c>
      <c r="AO93" s="18">
        <v>6.2872981221894029E-3</v>
      </c>
      <c r="AP93" s="18">
        <v>0.92114124248501761</v>
      </c>
      <c r="AQ93" s="18">
        <v>0.36807096841392656</v>
      </c>
      <c r="AR93" s="18">
        <v>8.0369667404425389</v>
      </c>
      <c r="AS93" s="18">
        <v>3.434961995737125E-3</v>
      </c>
    </row>
    <row r="94" spans="1:45" ht="15.5">
      <c r="A94" s="8" t="s">
        <v>22</v>
      </c>
      <c r="B94" s="7"/>
      <c r="C94" s="10" t="s">
        <v>32</v>
      </c>
      <c r="D94" s="15" t="s">
        <v>126</v>
      </c>
      <c r="E94" s="15"/>
      <c r="F94" s="15">
        <v>11</v>
      </c>
      <c r="G94" s="19">
        <v>532963.92729516421</v>
      </c>
      <c r="H94" s="19">
        <v>19.136031528183384</v>
      </c>
      <c r="I94" s="19">
        <v>465124.55431515491</v>
      </c>
      <c r="J94" s="19">
        <v>0.12412187377622996</v>
      </c>
      <c r="K94" s="19">
        <v>18.349515763246671</v>
      </c>
      <c r="L94" s="19">
        <v>5.6766010378229481</v>
      </c>
      <c r="M94" s="19">
        <v>25.329339317814288</v>
      </c>
      <c r="N94" s="19">
        <v>250.6168897186148</v>
      </c>
      <c r="O94" s="19">
        <v>54.577865322818184</v>
      </c>
      <c r="P94" s="19">
        <v>20.753549388866745</v>
      </c>
      <c r="Q94" s="19">
        <v>6.2456876513834896</v>
      </c>
      <c r="R94" s="19">
        <v>4.5569512754197428</v>
      </c>
      <c r="S94" s="19">
        <v>49.603669504332593</v>
      </c>
      <c r="T94" s="19">
        <f>0.5*0.705</f>
        <v>0.35249999999999998</v>
      </c>
      <c r="U94" s="19">
        <f>0.5*0.034</f>
        <v>1.7000000000000001E-2</v>
      </c>
      <c r="V94" s="19">
        <v>3.0527237280113155</v>
      </c>
      <c r="W94" s="19">
        <v>9.20210164631726</v>
      </c>
      <c r="X94" s="19">
        <v>142.56703526938415</v>
      </c>
      <c r="Y94" s="19">
        <v>119.59276915926139</v>
      </c>
      <c r="Z94" s="19">
        <v>124.31302179231798</v>
      </c>
      <c r="AA94" s="19">
        <f>0.5*0.026</f>
        <v>1.2999999999999999E-2</v>
      </c>
      <c r="AC94" s="18">
        <v>1.4740265894048843</v>
      </c>
      <c r="AD94" s="18">
        <v>7.4492212223163795E-2</v>
      </c>
      <c r="AE94" s="18">
        <v>12.451606239572456</v>
      </c>
      <c r="AF94" s="18">
        <v>3.745684713352246</v>
      </c>
      <c r="AG94" s="18">
        <v>3.6742057386382654</v>
      </c>
      <c r="AH94" s="18">
        <v>66.944399961887783</v>
      </c>
      <c r="AI94" s="18">
        <v>25.275846375278309</v>
      </c>
      <c r="AJ94" s="18">
        <v>6.9069674880086867</v>
      </c>
      <c r="AK94" s="18">
        <v>1.365394399870792</v>
      </c>
      <c r="AL94" s="18">
        <v>0.77071957160871385</v>
      </c>
      <c r="AM94" s="18">
        <v>13.783905410856626</v>
      </c>
      <c r="AN94" s="18">
        <v>0.33150778134578335</v>
      </c>
      <c r="AO94" s="18">
        <v>6.6615920198673517E-3</v>
      </c>
      <c r="AP94" s="18">
        <v>4.1850388224230457</v>
      </c>
      <c r="AQ94" s="18">
        <v>1.5455800494453837</v>
      </c>
      <c r="AR94" s="18">
        <v>21.329969637929594</v>
      </c>
      <c r="AS94" s="18">
        <v>3.2922667785942918E-3</v>
      </c>
    </row>
    <row r="95" spans="1:45" ht="15.5">
      <c r="A95" s="8" t="s">
        <v>22</v>
      </c>
      <c r="B95" s="7"/>
      <c r="C95" s="10" t="s">
        <v>33</v>
      </c>
      <c r="D95" s="15" t="s">
        <v>126</v>
      </c>
      <c r="E95" s="15"/>
      <c r="F95" s="15">
        <v>12</v>
      </c>
      <c r="G95" s="19">
        <v>531517.60205123888</v>
      </c>
      <c r="H95" s="19">
        <v>14.306501736485725</v>
      </c>
      <c r="I95" s="19">
        <v>464968.71988524741</v>
      </c>
      <c r="J95" s="19">
        <v>5.2937314347780234E-2</v>
      </c>
      <c r="K95" s="19">
        <v>6.8813385014883943</v>
      </c>
      <c r="L95" s="19">
        <v>2.5774572806413891</v>
      </c>
      <c r="M95" s="19">
        <v>11.235581372136004</v>
      </c>
      <c r="N95" s="19">
        <v>201.21099932024651</v>
      </c>
      <c r="O95" s="19">
        <v>39.224340236460236</v>
      </c>
      <c r="P95" s="19">
        <v>5.9588907540959042</v>
      </c>
      <c r="Q95" s="19">
        <v>4.2288553302722311</v>
      </c>
      <c r="R95" s="19">
        <v>2.8978255416472027</v>
      </c>
      <c r="S95" s="19">
        <v>30.459559837301388</v>
      </c>
      <c r="T95" s="19">
        <f>0.5*0.768</f>
        <v>0.38400000000000001</v>
      </c>
      <c r="U95" s="19">
        <f>0.5*0.037</f>
        <v>1.8499999999999999E-2</v>
      </c>
      <c r="V95" s="19">
        <v>1.8449848728563332</v>
      </c>
      <c r="W95" s="19">
        <v>5.3864284716381459</v>
      </c>
      <c r="X95" s="19">
        <v>95.391901722090395</v>
      </c>
      <c r="Y95" s="19">
        <v>77.897964954022484</v>
      </c>
      <c r="Z95" s="19">
        <v>82.101873527798773</v>
      </c>
      <c r="AA95" s="19">
        <f>0.5*0.028</f>
        <v>1.4E-2</v>
      </c>
      <c r="AC95" s="18">
        <v>4.0427307729001436</v>
      </c>
      <c r="AD95" s="18">
        <v>2.592402556794618E-2</v>
      </c>
      <c r="AE95" s="18">
        <v>1.5423753535975206</v>
      </c>
      <c r="AF95" s="18">
        <v>0.90955364977885822</v>
      </c>
      <c r="AG95" s="18">
        <v>4.2032063510269948</v>
      </c>
      <c r="AH95" s="18">
        <v>38.512590344103508</v>
      </c>
      <c r="AI95" s="18">
        <v>5.6033929299849179</v>
      </c>
      <c r="AJ95" s="18">
        <v>1.5077933515898634</v>
      </c>
      <c r="AK95" s="18">
        <v>1.3080455721412185</v>
      </c>
      <c r="AL95" s="18">
        <v>1.1977230598101993</v>
      </c>
      <c r="AM95" s="18">
        <v>8.0836869633742623</v>
      </c>
      <c r="AN95" s="18">
        <v>0.30210980367977253</v>
      </c>
      <c r="AO95" s="18">
        <v>7.9655017769000545E-3</v>
      </c>
      <c r="AP95" s="18">
        <v>2.514401041680761</v>
      </c>
      <c r="AQ95" s="18">
        <v>1.9745827176796438</v>
      </c>
      <c r="AR95" s="18">
        <v>30.245343930313314</v>
      </c>
      <c r="AS95" s="18">
        <v>1.2108766465124647E-2</v>
      </c>
    </row>
    <row r="96" spans="1:45" ht="15.5">
      <c r="A96" s="8" t="s">
        <v>22</v>
      </c>
      <c r="B96" s="7"/>
      <c r="C96" s="10" t="s">
        <v>34</v>
      </c>
      <c r="D96" s="15" t="s">
        <v>126</v>
      </c>
      <c r="E96" s="15"/>
      <c r="F96" s="15">
        <v>13</v>
      </c>
      <c r="G96" s="19">
        <v>525635.77999046422</v>
      </c>
      <c r="H96" s="19">
        <v>21.518741907579528</v>
      </c>
      <c r="I96" s="19">
        <v>473426.43144394015</v>
      </c>
      <c r="J96" s="19">
        <v>2.9791570909891152E-2</v>
      </c>
      <c r="K96" s="19">
        <v>1.7497955144787838</v>
      </c>
      <c r="L96" s="19">
        <v>1.1770556810955544</v>
      </c>
      <c r="M96" s="19">
        <v>19.831610399755562</v>
      </c>
      <c r="N96" s="19">
        <v>270.08565380354349</v>
      </c>
      <c r="O96" s="19">
        <v>24.658692550344703</v>
      </c>
      <c r="P96" s="19">
        <v>3.004144674349277</v>
      </c>
      <c r="Q96" s="19">
        <v>4.5659769731852347</v>
      </c>
      <c r="R96" s="19">
        <v>1.7450427886648827</v>
      </c>
      <c r="S96" s="19">
        <v>30.109133135236231</v>
      </c>
      <c r="T96" s="19">
        <v>1.0514965288390687</v>
      </c>
      <c r="U96" s="19">
        <f>0.5*0.035</f>
        <v>1.7500000000000002E-2</v>
      </c>
      <c r="V96" s="19">
        <f>0.5*0.02</f>
        <v>0.01</v>
      </c>
      <c r="W96" s="19">
        <v>4.181692005549376</v>
      </c>
      <c r="X96" s="19">
        <v>82.021943415297159</v>
      </c>
      <c r="Y96" s="19">
        <v>62.535091485997938</v>
      </c>
      <c r="Z96" s="19">
        <v>68.461030890687852</v>
      </c>
      <c r="AA96" s="19">
        <f>0.5*0.027</f>
        <v>1.35E-2</v>
      </c>
      <c r="AC96" s="18">
        <v>3.6580217518107503</v>
      </c>
      <c r="AD96" s="18">
        <v>9.2721247716291647E-3</v>
      </c>
      <c r="AE96" s="18">
        <v>0.8699508027554933</v>
      </c>
      <c r="AF96" s="18">
        <v>0.70073397363685996</v>
      </c>
      <c r="AG96" s="18">
        <v>6.4902529440084313</v>
      </c>
      <c r="AH96" s="18">
        <v>27.952299209865647</v>
      </c>
      <c r="AI96" s="18">
        <v>3.949607467277636</v>
      </c>
      <c r="AJ96" s="18">
        <v>1.6253353669088937</v>
      </c>
      <c r="AK96" s="18">
        <v>0.44614990731731752</v>
      </c>
      <c r="AL96" s="18">
        <v>0.44640227414970535</v>
      </c>
      <c r="AM96" s="18">
        <v>7.553534107823455</v>
      </c>
      <c r="AN96" s="18">
        <v>0.62185823440564203</v>
      </c>
      <c r="AO96" s="18">
        <v>7.5838670427870424E-3</v>
      </c>
      <c r="AP96" s="18">
        <v>1.8416874252842129E-2</v>
      </c>
      <c r="AQ96" s="18">
        <v>0.77320163712002865</v>
      </c>
      <c r="AR96" s="18">
        <v>14.048851768549625</v>
      </c>
      <c r="AS96" s="18">
        <v>3.8437752028287297E-3</v>
      </c>
    </row>
  </sheetData>
  <phoneticPr fontId="26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/>
  <sheetData/>
  <phoneticPr fontId="26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/>
  <sheetData/>
  <phoneticPr fontId="26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8</vt:i4>
      </vt:variant>
    </vt:vector>
  </HeadingPairs>
  <TitlesOfParts>
    <vt:vector size="11" baseType="lpstr">
      <vt:lpstr>Data</vt:lpstr>
      <vt:lpstr>Sheet2</vt:lpstr>
      <vt:lpstr>Sheet3</vt:lpstr>
      <vt:lpstr>HP8-319.8</vt:lpstr>
      <vt:lpstr>R009680A</vt:lpstr>
      <vt:lpstr>fort-1-5-4009</vt:lpstr>
      <vt:lpstr>DLR7-146.5m</vt:lpstr>
      <vt:lpstr>DGDD353-10223</vt:lpstr>
      <vt:lpstr>MXB76.1</vt:lpstr>
      <vt:lpstr>Mt Young 77</vt:lpstr>
      <vt:lpstr>MDDH7-26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Dan Gregory</cp:lastModifiedBy>
  <dcterms:created xsi:type="dcterms:W3CDTF">2015-11-20T02:50:55Z</dcterms:created>
  <dcterms:modified xsi:type="dcterms:W3CDTF">2019-03-21T19:12:54Z</dcterms:modified>
</cp:coreProperties>
</file>