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ropbox\Research\PhD\Teeth\NW Spain cave\enamel triangles\loose tooth records\CPL5_M1\"/>
    </mc:Choice>
  </mc:AlternateContent>
  <bookViews>
    <workbookView xWindow="0" yWindow="0" windowWidth="28800" windowHeight="11610"/>
  </bookViews>
  <sheets>
    <sheet name="AB" sheetId="1" r:id="rId1"/>
    <sheet name="CD" sheetId="2" r:id="rId2"/>
    <sheet name="DA" sheetId="3" r:id="rId3"/>
    <sheet name="Dist" sheetId="4" r:id="rId4"/>
    <sheet name="estimate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5" l="1"/>
</calcChain>
</file>

<file path=xl/sharedStrings.xml><?xml version="1.0" encoding="utf-8"?>
<sst xmlns="http://schemas.openxmlformats.org/spreadsheetml/2006/main" count="850" uniqueCount="41">
  <si>
    <t>D</t>
  </si>
  <si>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</si>
  <si>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</si>
  <si>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</si>
  <si>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</si>
  <si>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</si>
  <si>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</si>
  <si>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</si>
  <si>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</si>
  <si>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</si>
  <si>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</si>
  <si>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</si>
  <si>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</si>
  <si>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</si>
  <si>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</si>
  <si>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</si>
  <si>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</si>
  <si>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</si>
  <si>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</si>
  <si>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</si>
  <si>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</si>
  <si>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</si>
  <si>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</si>
  <si>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</si>
  <si>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</si>
  <si>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</si>
  <si>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</si>
  <si>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</si>
  <si>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</si>
  <si>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</si>
  <si>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</si>
  <si>
    <t xml:space="preserve"> </t>
  </si>
  <si>
    <t>x1</t>
  </si>
  <si>
    <t>y1</t>
  </si>
  <si>
    <t>x2</t>
  </si>
  <si>
    <t>y2</t>
  </si>
  <si>
    <t>XY</t>
  </si>
  <si>
    <t># pnts</t>
  </si>
  <si>
    <t>AB</t>
  </si>
  <si>
    <t>CD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</si>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</sst>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 applyAlignment="1">
      <alignment horizontal="center" vertical="top"/>
    </xf>
    <xf numFmtId="0" fontId="0" fillId="0" borderId="0" xfId="0" applyFont="1" applyAlignment="1">
      <alignment horizontal="right" vertical="top"/>
    </xf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AB!$H$2:$H$4</c:f>
              <c:strCache>
                <c:ptCount val="3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AB!$A$5:$A$41</c:f>
              <c:numCache>
                <c:formatCode>General</c:formatCode>
                <c:ptCount val="37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  <c:pt idx="8">
                  <c:v>1100</c:v>
                </c:pt>
                <c:pt idx="9">
                  <c:v>1200</c:v>
                </c:pt>
                <c:pt idx="10">
                  <c:v>1300</c:v>
                </c:pt>
                <c:pt idx="11">
                  <c:v>1400</c:v>
                </c:pt>
                <c:pt idx="12">
                  <c:v>1500</c:v>
                </c:pt>
                <c:pt idx="13">
                  <c:v>1600</c:v>
                </c:pt>
                <c:pt idx="14">
                  <c:v>1700</c:v>
                </c:pt>
                <c:pt idx="15">
                  <c:v>1800</c:v>
                </c:pt>
                <c:pt idx="16">
                  <c:v>1900</c:v>
                </c:pt>
                <c:pt idx="17">
                  <c:v>2000</c:v>
                </c:pt>
                <c:pt idx="18">
                  <c:v>2100</c:v>
                </c:pt>
                <c:pt idx="19">
                  <c:v>2200</c:v>
                </c:pt>
                <c:pt idx="20">
                  <c:v>2300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2700</c:v>
                </c:pt>
                <c:pt idx="25">
                  <c:v>2800</c:v>
                </c:pt>
                <c:pt idx="26">
                  <c:v>2900</c:v>
                </c:pt>
                <c:pt idx="27">
                  <c:v>3000</c:v>
                </c:pt>
                <c:pt idx="28">
                  <c:v>3100</c:v>
                </c:pt>
                <c:pt idx="29">
                  <c:v>3200</c:v>
                </c:pt>
                <c:pt idx="30">
                  <c:v>3300</c:v>
                </c:pt>
                <c:pt idx="31">
                  <c:v>3400</c:v>
                </c:pt>
                <c:pt idx="32">
                  <c:v>3500</c:v>
                </c:pt>
                <c:pt idx="33">
                  <c:v>3600</c:v>
                </c:pt>
                <c:pt idx="34">
                  <c:v>3700</c:v>
                </c:pt>
                <c:pt idx="35">
                  <c:v>3800</c:v>
                </c:pt>
                <c:pt idx="36">
                  <c:v>3900</c:v>
                </c:pt>
              </c:numCache>
            </c:numRef>
          </c:xVal>
          <c:yVal>
            <c:numRef>
              <c:f>AB!$X$5:$X$41</c:f>
              <c:numCache>
                <c:formatCode>General</c:formatCode>
                <c:ptCount val="37"/>
                <c:pt idx="0">
                  <c:v>3.6244024333261767E-3</c:v>
                </c:pt>
                <c:pt idx="1">
                  <c:v>2.0766928448440309E-3</c:v>
                </c:pt>
                <c:pt idx="2">
                  <c:v>4.8895335800861065E-3</c:v>
                </c:pt>
                <c:pt idx="3">
                  <c:v>5.7536020620530173E-3</c:v>
                </c:pt>
                <c:pt idx="4">
                  <c:v>3.7086816233140862E-3</c:v>
                </c:pt>
                <c:pt idx="5">
                  <c:v>2.2740821451387571E-3</c:v>
                </c:pt>
                <c:pt idx="6">
                  <c:v>0</c:v>
                </c:pt>
                <c:pt idx="7">
                  <c:v>3.3446707708944491E-3</c:v>
                </c:pt>
                <c:pt idx="8">
                  <c:v>2.3691368361417895E-3</c:v>
                </c:pt>
                <c:pt idx="9">
                  <c:v>2.9662145885367133E-3</c:v>
                </c:pt>
                <c:pt idx="10">
                  <c:v>1.5826033526541116E-3</c:v>
                </c:pt>
                <c:pt idx="11">
                  <c:v>3.703724445892142E-3</c:v>
                </c:pt>
                <c:pt idx="12">
                  <c:v>3.6264591940341115E-3</c:v>
                </c:pt>
                <c:pt idx="13">
                  <c:v>2.4416583507582529E-3</c:v>
                </c:pt>
                <c:pt idx="14">
                  <c:v>2.7104917137653205E-3</c:v>
                </c:pt>
                <c:pt idx="15">
                  <c:v>3.8736671888799932E-3</c:v>
                </c:pt>
                <c:pt idx="16">
                  <c:v>2.7188311684945426E-3</c:v>
                </c:pt>
                <c:pt idx="17">
                  <c:v>2.8288759346169557E-3</c:v>
                </c:pt>
                <c:pt idx="18">
                  <c:v>2.9092689182464303E-3</c:v>
                </c:pt>
                <c:pt idx="19">
                  <c:v>2.2217650784645193E-3</c:v>
                </c:pt>
                <c:pt idx="20">
                  <c:v>2.4353359128659212E-3</c:v>
                </c:pt>
                <c:pt idx="21">
                  <c:v>3.3212875070370495E-3</c:v>
                </c:pt>
                <c:pt idx="22">
                  <c:v>2.5103299912853398E-3</c:v>
                </c:pt>
                <c:pt idx="23">
                  <c:v>1.9981906924357645E-3</c:v>
                </c:pt>
                <c:pt idx="24">
                  <c:v>2.6451484358817378E-3</c:v>
                </c:pt>
                <c:pt idx="25">
                  <c:v>1.7859082938174299E-3</c:v>
                </c:pt>
                <c:pt idx="26">
                  <c:v>1.0967804800854593E-3</c:v>
                </c:pt>
                <c:pt idx="27">
                  <c:v>3.4331272346336552E-3</c:v>
                </c:pt>
                <c:pt idx="28">
                  <c:v>2.7334428260319412E-3</c:v>
                </c:pt>
                <c:pt idx="29">
                  <c:v>3.7196490711901759E-3</c:v>
                </c:pt>
                <c:pt idx="30">
                  <c:v>1.9916430557513887E-3</c:v>
                </c:pt>
                <c:pt idx="31">
                  <c:v>3.0933769397613765E-3</c:v>
                </c:pt>
                <c:pt idx="32">
                  <c:v>0</c:v>
                </c:pt>
                <c:pt idx="33">
                  <c:v>2.485630822702662E-3</c:v>
                </c:pt>
                <c:pt idx="34">
                  <c:v>0</c:v>
                </c:pt>
                <c:pt idx="35">
                  <c:v>3.0639398638683665E-3</c:v>
                </c:pt>
                <c:pt idx="36">
                  <c:v>1.0369493543281249E-3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976448"/>
        <c:axId val="967103248"/>
      </c:scatterChart>
      <c:valAx>
        <c:axId val="131697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67103248"/>
        <c:crosses val="autoZero"/>
        <c:crossBetween val="midCat"/>
      </c:valAx>
      <c:valAx>
        <c:axId val="96710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1697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12</xdr:row>
      <xdr:rowOff>61912</xdr:rowOff>
    </xdr:from>
    <xdr:to>
      <xdr:col>18</xdr:col>
      <xdr:colOff>352425</xdr:colOff>
      <xdr:row>26</xdr:row>
      <xdr:rowOff>138112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tabSelected="1" workbookViewId="0">
      <selection activeCell="O6" sqref="O6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0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24</v>
      </c>
      <c r="W2" t="s">
        <v>24</v>
      </c>
      <c r="X2" t="s">
        <v>24</v>
      </c>
    </row>
    <row r="3" spans="1:24" x14ac:dyDescent="0.25">
      <c r="A3">
        <v>100</v>
      </c>
      <c r="B3" t="s">
        <v>24</v>
      </c>
      <c r="C3" t="s">
        <v>24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24</v>
      </c>
      <c r="W3" t="s">
        <v>24</v>
      </c>
      <c r="X3" t="s">
        <v>24</v>
      </c>
    </row>
    <row r="4" spans="1:24" x14ac:dyDescent="0.25">
      <c r="A4">
        <v>200</v>
      </c>
      <c r="B4" t="s">
        <v>24</v>
      </c>
      <c r="C4" t="s">
        <v>24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  <c r="X4" t="s">
        <v>24</v>
      </c>
    </row>
    <row r="5" spans="1:24" x14ac:dyDescent="0.25">
      <c r="A5">
        <v>300</v>
      </c>
      <c r="B5">
        <v>40.133211278860713</v>
      </c>
      <c r="C5" t="s">
        <v>31</v>
      </c>
      <c r="D5">
        <v>0.13791612292822292</v>
      </c>
      <c r="E5">
        <v>0.81372663932401146</v>
      </c>
      <c r="F5">
        <v>2.1241082409262844</v>
      </c>
      <c r="G5">
        <v>17.603546280425164</v>
      </c>
      <c r="H5">
        <v>0.23310857794140361</v>
      </c>
      <c r="I5">
        <v>0.45524505032805407</v>
      </c>
      <c r="J5">
        <v>0.14998828423728455</v>
      </c>
      <c r="K5">
        <v>37.963042469509482</v>
      </c>
      <c r="L5">
        <v>3.5073444010416191E-3</v>
      </c>
      <c r="M5">
        <v>3.5513724251895751E-3</v>
      </c>
      <c r="N5">
        <v>3.074919290079622E-3</v>
      </c>
      <c r="O5">
        <v>0.28750431481059785</v>
      </c>
      <c r="P5">
        <v>3.5177361591686471E-3</v>
      </c>
      <c r="Q5">
        <v>1.8656623619384748E-3</v>
      </c>
      <c r="R5">
        <v>3.1274824481110998E-2</v>
      </c>
      <c r="S5">
        <v>2.2103934078975128E-3</v>
      </c>
      <c r="T5" t="s">
        <v>31</v>
      </c>
      <c r="U5">
        <v>4.4146937082557174E-2</v>
      </c>
      <c r="V5" t="s">
        <v>31</v>
      </c>
      <c r="W5">
        <v>1.8291486664558762E-3</v>
      </c>
      <c r="X5">
        <v>3.6244024333261767E-3</v>
      </c>
    </row>
    <row r="6" spans="1:24" x14ac:dyDescent="0.25">
      <c r="A6">
        <v>400</v>
      </c>
      <c r="B6">
        <v>40.015036000839935</v>
      </c>
      <c r="C6" t="s">
        <v>31</v>
      </c>
      <c r="D6">
        <v>0.1315715076621122</v>
      </c>
      <c r="E6">
        <v>0.56849953695028432</v>
      </c>
      <c r="F6">
        <v>1.5996513670482972</v>
      </c>
      <c r="G6">
        <v>17.868764659027065</v>
      </c>
      <c r="H6">
        <v>0.36881654664492464</v>
      </c>
      <c r="I6">
        <v>0.51212521225922569</v>
      </c>
      <c r="J6">
        <v>0.1053643077134262</v>
      </c>
      <c r="K6">
        <v>38.535000892554869</v>
      </c>
      <c r="L6">
        <v>1.6313902369550529E-3</v>
      </c>
      <c r="M6">
        <v>1.229528297574687E-3</v>
      </c>
      <c r="N6">
        <v>8.0452137694361596E-3</v>
      </c>
      <c r="O6">
        <v>0.19047388463830456</v>
      </c>
      <c r="P6">
        <v>2.0760353101882912E-3</v>
      </c>
      <c r="Q6">
        <v>1.8980451792449749E-3</v>
      </c>
      <c r="R6">
        <v>2.7916909723297384E-2</v>
      </c>
      <c r="S6">
        <v>2.9173322510965974E-3</v>
      </c>
      <c r="T6" t="s">
        <v>31</v>
      </c>
      <c r="U6">
        <v>5.6904937048890158E-2</v>
      </c>
      <c r="V6" t="s">
        <v>31</v>
      </c>
      <c r="W6" t="s">
        <v>31</v>
      </c>
      <c r="X6">
        <v>2.0766928448440309E-3</v>
      </c>
    </row>
    <row r="7" spans="1:24" x14ac:dyDescent="0.25">
      <c r="A7">
        <v>500</v>
      </c>
      <c r="B7">
        <v>40.466282900904254</v>
      </c>
      <c r="C7" t="s">
        <v>31</v>
      </c>
      <c r="D7">
        <v>0.23951018368838051</v>
      </c>
      <c r="E7">
        <v>0.61760648787627814</v>
      </c>
      <c r="F7">
        <v>3.0170846893999697</v>
      </c>
      <c r="G7">
        <v>17.252895884646275</v>
      </c>
      <c r="H7">
        <v>0.36427481859547856</v>
      </c>
      <c r="I7">
        <v>0.44086431268369969</v>
      </c>
      <c r="J7">
        <v>0.11018179067397593</v>
      </c>
      <c r="K7">
        <v>37.206845072982247</v>
      </c>
      <c r="L7">
        <v>1.8643393392085499E-3</v>
      </c>
      <c r="M7">
        <v>1.4939018499684304E-3</v>
      </c>
      <c r="N7">
        <v>1.3687904018783639E-2</v>
      </c>
      <c r="O7">
        <v>0.19256077607046743</v>
      </c>
      <c r="P7">
        <v>1.8884218159987143E-3</v>
      </c>
      <c r="Q7">
        <v>1.4981387730528429E-3</v>
      </c>
      <c r="R7">
        <v>1.636198891142138E-2</v>
      </c>
      <c r="S7">
        <v>1.5544785916107983E-3</v>
      </c>
      <c r="T7" t="s">
        <v>31</v>
      </c>
      <c r="U7">
        <v>4.341735999016938E-2</v>
      </c>
      <c r="V7" t="s">
        <v>31</v>
      </c>
      <c r="W7">
        <v>5.2370156086712655E-3</v>
      </c>
      <c r="X7">
        <v>4.8895335800861065E-3</v>
      </c>
    </row>
    <row r="8" spans="1:24" x14ac:dyDescent="0.25">
      <c r="A8">
        <v>600</v>
      </c>
      <c r="B8">
        <v>40.532913305513091</v>
      </c>
      <c r="C8" t="s">
        <v>31</v>
      </c>
      <c r="D8">
        <v>0.2670366276953563</v>
      </c>
      <c r="E8">
        <v>1.1920307526397438</v>
      </c>
      <c r="F8">
        <v>2.9956431164274702</v>
      </c>
      <c r="G8">
        <v>16.821043668947649</v>
      </c>
      <c r="H8">
        <v>0.54348752265305833</v>
      </c>
      <c r="I8">
        <v>0.44495299305475833</v>
      </c>
      <c r="J8">
        <v>0.32404746072704232</v>
      </c>
      <c r="K8">
        <v>36.275531362440354</v>
      </c>
      <c r="L8">
        <v>4.470573443318652E-3</v>
      </c>
      <c r="M8">
        <v>1.8268876225102969E-3</v>
      </c>
      <c r="N8">
        <v>6.6365793795813879E-2</v>
      </c>
      <c r="O8">
        <v>0.44496883137237303</v>
      </c>
      <c r="P8">
        <v>4.9051732374440747E-4</v>
      </c>
      <c r="Q8">
        <v>3.3958477050975672E-3</v>
      </c>
      <c r="R8">
        <v>1.4131075259354843E-2</v>
      </c>
      <c r="S8">
        <v>2.8481643656443198E-3</v>
      </c>
      <c r="T8" t="s">
        <v>31</v>
      </c>
      <c r="U8">
        <v>5.3119167442646428E-2</v>
      </c>
      <c r="V8" t="s">
        <v>31</v>
      </c>
      <c r="W8">
        <v>5.9427295089462063E-3</v>
      </c>
      <c r="X8">
        <v>5.7536020620530173E-3</v>
      </c>
    </row>
    <row r="9" spans="1:24" x14ac:dyDescent="0.25">
      <c r="A9">
        <v>700</v>
      </c>
      <c r="B9">
        <v>39.852818485505907</v>
      </c>
      <c r="C9" t="s">
        <v>31</v>
      </c>
      <c r="D9">
        <v>5.1371426014826554E-2</v>
      </c>
      <c r="E9">
        <v>0.3169590987664358</v>
      </c>
      <c r="F9">
        <v>0.67818880542854842</v>
      </c>
      <c r="G9">
        <v>18.322917455503376</v>
      </c>
      <c r="H9">
        <v>0.54955288277252479</v>
      </c>
      <c r="I9">
        <v>0.43773304703031135</v>
      </c>
      <c r="J9">
        <v>7.9633522640621374E-2</v>
      </c>
      <c r="K9">
        <v>39.514407065926228</v>
      </c>
      <c r="L9" t="s">
        <v>31</v>
      </c>
      <c r="M9" t="s">
        <v>31</v>
      </c>
      <c r="N9">
        <v>1.8752288891015226E-2</v>
      </c>
      <c r="O9">
        <v>0.1003066557074395</v>
      </c>
      <c r="P9">
        <v>1.8484416913952233E-4</v>
      </c>
      <c r="Q9">
        <v>1.8811863044546364E-3</v>
      </c>
      <c r="R9">
        <v>1.0511644133883929E-2</v>
      </c>
      <c r="S9">
        <v>2.0230983919564747E-3</v>
      </c>
      <c r="T9" t="s">
        <v>31</v>
      </c>
      <c r="U9">
        <v>4.3297083512231639E-2</v>
      </c>
      <c r="V9" t="s">
        <v>31</v>
      </c>
      <c r="W9">
        <v>1.5752727677770688E-2</v>
      </c>
      <c r="X9">
        <v>3.7086816233140862E-3</v>
      </c>
    </row>
    <row r="10" spans="1:24" x14ac:dyDescent="0.25">
      <c r="A10">
        <v>800</v>
      </c>
      <c r="B10">
        <v>40.537177819005663</v>
      </c>
      <c r="C10">
        <v>1.4566498884510213</v>
      </c>
      <c r="D10">
        <v>0.21455509324101565</v>
      </c>
      <c r="E10">
        <v>0.50653459231906095</v>
      </c>
      <c r="F10">
        <v>1.0216945004980378</v>
      </c>
      <c r="G10">
        <v>16.946884944477176</v>
      </c>
      <c r="I10">
        <v>0.33919144171218146</v>
      </c>
      <c r="J10">
        <v>9.442647514856832E-2</v>
      </c>
      <c r="K10">
        <v>36.54691518540659</v>
      </c>
      <c r="L10">
        <v>1.3123788820533608E-3</v>
      </c>
      <c r="M10">
        <v>1.8053904988121546E-3</v>
      </c>
      <c r="N10">
        <v>3.7075513321844587E-3</v>
      </c>
      <c r="O10">
        <v>0.16530353264095854</v>
      </c>
      <c r="P10">
        <v>8.0208181683343103E-4</v>
      </c>
      <c r="Q10">
        <v>1.3865031864405482E-3</v>
      </c>
      <c r="R10">
        <v>7.9622429315217604E-3</v>
      </c>
      <c r="S10">
        <v>1.6519779971310425E-3</v>
      </c>
      <c r="T10" t="s">
        <v>31</v>
      </c>
      <c r="U10">
        <v>3.7665074905196799E-2</v>
      </c>
      <c r="V10" t="s">
        <v>31</v>
      </c>
      <c r="W10">
        <v>4.4194951750125434E-3</v>
      </c>
      <c r="X10">
        <v>2.2740821451387571E-3</v>
      </c>
    </row>
    <row r="11" spans="1:24" x14ac:dyDescent="0.25">
      <c r="A11">
        <v>900</v>
      </c>
      <c r="B11" t="s">
        <v>24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  <c r="U11" t="s">
        <v>24</v>
      </c>
      <c r="V11" t="s">
        <v>24</v>
      </c>
      <c r="W11" t="s">
        <v>24</v>
      </c>
      <c r="X11" t="s">
        <v>24</v>
      </c>
    </row>
    <row r="12" spans="1:24" x14ac:dyDescent="0.25">
      <c r="A12">
        <v>1000</v>
      </c>
      <c r="B12">
        <v>39.129203294032486</v>
      </c>
      <c r="C12">
        <v>5.1699884720617515</v>
      </c>
      <c r="D12">
        <v>0.16587967683042598</v>
      </c>
      <c r="E12">
        <v>0.2151318204507848</v>
      </c>
      <c r="F12">
        <v>0.27293775575690843</v>
      </c>
      <c r="G12">
        <v>16.90395521875892</v>
      </c>
      <c r="H12">
        <v>1.1705628095962242</v>
      </c>
      <c r="I12">
        <v>0.35190423780256058</v>
      </c>
      <c r="J12">
        <v>8.6414271663955433E-2</v>
      </c>
      <c r="K12">
        <v>36.454334805596474</v>
      </c>
      <c r="L12">
        <v>1.635460560792197E-4</v>
      </c>
      <c r="M12">
        <v>1.088194976344007E-3</v>
      </c>
      <c r="N12">
        <v>1.3204827350426346E-4</v>
      </c>
      <c r="O12">
        <v>3.2525456162172596E-2</v>
      </c>
      <c r="P12" t="s">
        <v>31</v>
      </c>
      <c r="Q12">
        <v>4.549099720694046E-4</v>
      </c>
      <c r="R12">
        <v>4.6325490480109109E-3</v>
      </c>
      <c r="S12">
        <v>1.8930549741400615E-3</v>
      </c>
      <c r="T12" t="s">
        <v>31</v>
      </c>
      <c r="U12">
        <v>2.8237910135669043E-2</v>
      </c>
      <c r="V12" t="s">
        <v>31</v>
      </c>
      <c r="W12">
        <v>7.2152970806357714E-3</v>
      </c>
      <c r="X12">
        <v>3.3446707708944491E-3</v>
      </c>
    </row>
    <row r="13" spans="1:24" x14ac:dyDescent="0.25">
      <c r="A13">
        <v>1100</v>
      </c>
      <c r="B13">
        <v>39.088875428857172</v>
      </c>
      <c r="C13">
        <v>3.2997944982190082</v>
      </c>
      <c r="D13">
        <v>0.19973919143198693</v>
      </c>
      <c r="E13">
        <v>5.6521980377075939E-2</v>
      </c>
      <c r="F13" t="s">
        <v>31</v>
      </c>
      <c r="G13">
        <v>17.932384885682662</v>
      </c>
      <c r="H13">
        <v>0.46506321180788029</v>
      </c>
      <c r="I13">
        <v>0.22789768408494637</v>
      </c>
      <c r="J13">
        <v>3.3836229146956978E-3</v>
      </c>
      <c r="K13">
        <v>38.672201507020368</v>
      </c>
      <c r="L13" t="s">
        <v>31</v>
      </c>
      <c r="M13">
        <v>2.1180278907530358E-3</v>
      </c>
      <c r="N13" t="s">
        <v>31</v>
      </c>
      <c r="O13">
        <v>4.1223746250852568E-3</v>
      </c>
      <c r="P13" t="s">
        <v>31</v>
      </c>
      <c r="Q13">
        <v>1.1222784193219881E-3</v>
      </c>
      <c r="R13">
        <v>4.4137779780815635E-3</v>
      </c>
      <c r="S13">
        <v>1.5510755027606364E-3</v>
      </c>
      <c r="T13" t="s">
        <v>31</v>
      </c>
      <c r="U13">
        <v>2.669714408420126E-2</v>
      </c>
      <c r="V13" t="s">
        <v>31</v>
      </c>
      <c r="W13">
        <v>1.1744174267861333E-2</v>
      </c>
      <c r="X13">
        <v>2.3691368361417895E-3</v>
      </c>
    </row>
    <row r="14" spans="1:24" x14ac:dyDescent="0.25">
      <c r="A14">
        <v>1200</v>
      </c>
      <c r="B14">
        <v>39.746355232137766</v>
      </c>
      <c r="C14">
        <v>1.1398902494953944</v>
      </c>
      <c r="D14">
        <v>0.16110391717482567</v>
      </c>
      <c r="E14">
        <v>5.1368777265233347E-2</v>
      </c>
      <c r="F14" t="s">
        <v>31</v>
      </c>
      <c r="G14">
        <v>18.227608097492659</v>
      </c>
      <c r="H14">
        <v>1.014368192972452</v>
      </c>
      <c r="I14">
        <v>0.27160136442525284</v>
      </c>
      <c r="J14">
        <v>1.7406628738581006E-2</v>
      </c>
      <c r="K14">
        <v>39.308867048689692</v>
      </c>
      <c r="L14" t="s">
        <v>31</v>
      </c>
      <c r="M14">
        <v>2.557798955966631E-3</v>
      </c>
      <c r="N14" t="s">
        <v>31</v>
      </c>
      <c r="O14">
        <v>1.3777611674215163E-2</v>
      </c>
      <c r="P14" t="s">
        <v>31</v>
      </c>
      <c r="Q14">
        <v>1.6569179983521533E-3</v>
      </c>
      <c r="R14">
        <v>4.6471608983273379E-3</v>
      </c>
      <c r="S14">
        <v>1.4592640281734285E-3</v>
      </c>
      <c r="T14" t="s">
        <v>31</v>
      </c>
      <c r="U14">
        <v>2.5858913925479517E-2</v>
      </c>
      <c r="V14" t="s">
        <v>31</v>
      </c>
      <c r="W14">
        <v>8.5066095391043116E-3</v>
      </c>
      <c r="X14">
        <v>2.9662145885367133E-3</v>
      </c>
    </row>
    <row r="15" spans="1:24" x14ac:dyDescent="0.25">
      <c r="A15">
        <v>1300</v>
      </c>
      <c r="B15">
        <v>39.43056052017134</v>
      </c>
      <c r="C15">
        <v>2.8681076256443232</v>
      </c>
      <c r="D15">
        <v>0.17728147071648609</v>
      </c>
      <c r="E15">
        <v>5.5758913318307679E-2</v>
      </c>
      <c r="F15" t="s">
        <v>31</v>
      </c>
      <c r="G15">
        <v>17.81154792104866</v>
      </c>
      <c r="H15">
        <v>0.97116311573043435</v>
      </c>
      <c r="I15">
        <v>0.22264401366293801</v>
      </c>
      <c r="J15">
        <v>3.8026301873169892E-3</v>
      </c>
      <c r="K15">
        <v>38.41160976333358</v>
      </c>
      <c r="L15">
        <v>7.7767895151093213E-5</v>
      </c>
      <c r="M15">
        <v>1.5250006374177632E-3</v>
      </c>
      <c r="N15" t="s">
        <v>31</v>
      </c>
      <c r="O15">
        <v>4.5837782994234593E-3</v>
      </c>
      <c r="P15" t="s">
        <v>31</v>
      </c>
      <c r="Q15">
        <v>1.2880749120715565E-3</v>
      </c>
      <c r="R15">
        <v>5.5615637578837829E-3</v>
      </c>
      <c r="S15">
        <v>1.1039236389625265E-3</v>
      </c>
      <c r="T15" t="s">
        <v>31</v>
      </c>
      <c r="U15">
        <v>2.5843657025886521E-2</v>
      </c>
      <c r="V15" t="s">
        <v>31</v>
      </c>
      <c r="W15">
        <v>5.9576566671591009E-3</v>
      </c>
      <c r="X15">
        <v>1.5826033526541116E-3</v>
      </c>
    </row>
    <row r="16" spans="1:24" x14ac:dyDescent="0.25">
      <c r="A16">
        <v>1400</v>
      </c>
      <c r="B16">
        <v>40.403801935385474</v>
      </c>
      <c r="C16">
        <v>2.8828553538061614</v>
      </c>
      <c r="D16">
        <v>9.2580634835145101E-2</v>
      </c>
      <c r="E16">
        <v>5.2807594208829085E-2</v>
      </c>
      <c r="F16" t="s">
        <v>31</v>
      </c>
      <c r="G16">
        <v>16.92450646602769</v>
      </c>
      <c r="I16">
        <v>0.20180494870133991</v>
      </c>
      <c r="J16">
        <v>9.6787735099741791E-3</v>
      </c>
      <c r="K16">
        <v>36.498654731845271</v>
      </c>
      <c r="L16">
        <v>1.3015083218792332E-3</v>
      </c>
      <c r="M16">
        <v>1.3685149207725308E-3</v>
      </c>
      <c r="N16" t="s">
        <v>31</v>
      </c>
      <c r="O16">
        <v>4.8164510194317958E-3</v>
      </c>
      <c r="P16" t="s">
        <v>31</v>
      </c>
      <c r="Q16" t="s">
        <v>31</v>
      </c>
      <c r="R16">
        <v>5.1669019804911351E-3</v>
      </c>
      <c r="S16">
        <v>1.718226763187573E-3</v>
      </c>
      <c r="T16" t="s">
        <v>31</v>
      </c>
      <c r="U16">
        <v>2.4201274238017108E-2</v>
      </c>
      <c r="V16" t="s">
        <v>31</v>
      </c>
      <c r="W16">
        <v>1.1188453471414408E-2</v>
      </c>
      <c r="X16">
        <v>3.703724445892142E-3</v>
      </c>
    </row>
    <row r="17" spans="1:24" x14ac:dyDescent="0.25">
      <c r="A17">
        <v>1500</v>
      </c>
      <c r="B17">
        <v>39.599781392749861</v>
      </c>
      <c r="C17">
        <v>2.7053182050634286</v>
      </c>
      <c r="D17">
        <v>0.12811131116684471</v>
      </c>
      <c r="E17">
        <v>4.3191447732211764E-2</v>
      </c>
      <c r="F17" t="s">
        <v>31</v>
      </c>
      <c r="G17">
        <v>17.739645599158095</v>
      </c>
      <c r="H17">
        <v>1.2500157327494446</v>
      </c>
      <c r="I17">
        <v>0.2231076865044257</v>
      </c>
      <c r="J17">
        <v>1.9363194578343435E-3</v>
      </c>
      <c r="K17">
        <v>38.256548342407079</v>
      </c>
      <c r="L17">
        <v>5.6780514114094442E-4</v>
      </c>
      <c r="M17">
        <v>2.0551657611210497E-3</v>
      </c>
      <c r="N17" t="s">
        <v>31</v>
      </c>
      <c r="O17">
        <v>4.3584232049645576E-3</v>
      </c>
      <c r="P17" t="s">
        <v>31</v>
      </c>
      <c r="Q17">
        <v>9.1797018606998076E-4</v>
      </c>
      <c r="R17">
        <v>6.2530215886075031E-3</v>
      </c>
      <c r="S17">
        <v>1.4226061195822337E-3</v>
      </c>
      <c r="T17" t="s">
        <v>31</v>
      </c>
      <c r="U17">
        <v>2.6551363978313695E-2</v>
      </c>
      <c r="V17" t="s">
        <v>31</v>
      </c>
      <c r="W17">
        <v>6.591147836918403E-3</v>
      </c>
      <c r="X17">
        <v>3.6264591940341115E-3</v>
      </c>
    </row>
    <row r="18" spans="1:24" x14ac:dyDescent="0.25">
      <c r="A18">
        <v>1600</v>
      </c>
      <c r="B18">
        <v>39.291684774916021</v>
      </c>
      <c r="C18">
        <v>3.3460320134176018</v>
      </c>
      <c r="D18">
        <v>0.30070812712418699</v>
      </c>
      <c r="E18">
        <v>5.6670300022866937E-2</v>
      </c>
      <c r="F18" t="s">
        <v>31</v>
      </c>
      <c r="G18">
        <v>17.700437352613701</v>
      </c>
      <c r="H18">
        <v>0.86529824911465691</v>
      </c>
      <c r="I18">
        <v>0.21020851474940469</v>
      </c>
      <c r="J18">
        <v>6.6462523897156981E-3</v>
      </c>
      <c r="K18">
        <v>38.171993542765669</v>
      </c>
      <c r="L18" t="s">
        <v>31</v>
      </c>
      <c r="M18">
        <v>1.9256836112758911E-3</v>
      </c>
      <c r="N18" t="s">
        <v>31</v>
      </c>
      <c r="O18">
        <v>3.0539637482247884E-3</v>
      </c>
      <c r="P18" t="s">
        <v>31</v>
      </c>
      <c r="Q18">
        <v>1.1293076513953853E-3</v>
      </c>
      <c r="R18">
        <v>8.2515085137573694E-3</v>
      </c>
      <c r="S18">
        <v>1.3991295375201753E-3</v>
      </c>
      <c r="T18" t="s">
        <v>31</v>
      </c>
      <c r="U18">
        <v>2.592854653711341E-2</v>
      </c>
      <c r="V18" t="s">
        <v>31</v>
      </c>
      <c r="W18">
        <v>6.1910749361193214E-3</v>
      </c>
      <c r="X18">
        <v>2.4416583507582529E-3</v>
      </c>
    </row>
    <row r="19" spans="1:24" x14ac:dyDescent="0.25">
      <c r="A19">
        <v>1700</v>
      </c>
      <c r="B19">
        <v>39.6899991214515</v>
      </c>
      <c r="C19">
        <v>1.3349572323515042</v>
      </c>
      <c r="D19">
        <v>0.21728647537831744</v>
      </c>
      <c r="E19">
        <v>4.3814880410823383E-2</v>
      </c>
      <c r="F19" t="s">
        <v>31</v>
      </c>
      <c r="G19">
        <v>18.220431802266681</v>
      </c>
      <c r="H19">
        <v>0.92399413064304126</v>
      </c>
      <c r="I19">
        <v>0.21278393723591599</v>
      </c>
      <c r="J19" t="s">
        <v>31</v>
      </c>
      <c r="K19">
        <v>39.293390962445621</v>
      </c>
      <c r="L19" t="s">
        <v>31</v>
      </c>
      <c r="M19">
        <v>3.1536449505061913E-3</v>
      </c>
      <c r="N19" t="s">
        <v>31</v>
      </c>
      <c r="O19">
        <v>7.4056685308886176E-3</v>
      </c>
      <c r="P19" t="s">
        <v>31</v>
      </c>
      <c r="Q19">
        <v>1.8555319988688322E-3</v>
      </c>
      <c r="R19">
        <v>1.0135607719326209E-2</v>
      </c>
      <c r="S19">
        <v>1.9361875559736285E-3</v>
      </c>
      <c r="T19" t="s">
        <v>31</v>
      </c>
      <c r="U19">
        <v>2.6912014489860248E-2</v>
      </c>
      <c r="V19" t="s">
        <v>31</v>
      </c>
      <c r="W19">
        <v>9.2323108573847748E-3</v>
      </c>
      <c r="X19">
        <v>2.7104917137653205E-3</v>
      </c>
    </row>
    <row r="20" spans="1:24" x14ac:dyDescent="0.25">
      <c r="A20">
        <v>1800</v>
      </c>
      <c r="B20">
        <v>39.733576479733244</v>
      </c>
      <c r="C20">
        <v>2.8069626637409044</v>
      </c>
      <c r="D20">
        <v>0.26701033009047154</v>
      </c>
      <c r="E20">
        <v>8.5279156879338777E-2</v>
      </c>
      <c r="F20" t="s">
        <v>31</v>
      </c>
      <c r="G20">
        <v>17.510810985592677</v>
      </c>
      <c r="H20">
        <v>1.5440245245828967</v>
      </c>
      <c r="I20">
        <v>0.22412635171951426</v>
      </c>
      <c r="J20">
        <v>7.5557019394768233E-3</v>
      </c>
      <c r="K20">
        <v>37.763053564997506</v>
      </c>
      <c r="L20" t="s">
        <v>31</v>
      </c>
      <c r="M20">
        <v>1.9770575748400882E-3</v>
      </c>
      <c r="N20" t="s">
        <v>31</v>
      </c>
      <c r="O20">
        <v>5.7677940535420637E-3</v>
      </c>
      <c r="P20" t="s">
        <v>31</v>
      </c>
      <c r="Q20">
        <v>2.1327249686817758E-3</v>
      </c>
      <c r="R20">
        <v>1.02517928104583E-2</v>
      </c>
      <c r="S20">
        <v>1.6268343370609501E-3</v>
      </c>
      <c r="T20" t="s">
        <v>31</v>
      </c>
      <c r="U20">
        <v>2.5418968348791062E-2</v>
      </c>
      <c r="V20" t="s">
        <v>31</v>
      </c>
      <c r="W20">
        <v>6.5514014416999233E-3</v>
      </c>
      <c r="X20">
        <v>3.8736671888799932E-3</v>
      </c>
    </row>
    <row r="21" spans="1:24" x14ac:dyDescent="0.25">
      <c r="A21">
        <v>1900</v>
      </c>
      <c r="B21">
        <v>39.833560291009675</v>
      </c>
      <c r="C21">
        <v>2.6960265888674351</v>
      </c>
      <c r="D21">
        <v>0.32449467820601846</v>
      </c>
      <c r="E21">
        <v>4.4361668242049554E-2</v>
      </c>
      <c r="F21" t="s">
        <v>31</v>
      </c>
      <c r="G21">
        <v>17.392136815763685</v>
      </c>
      <c r="H21">
        <v>1.7954456127075014</v>
      </c>
      <c r="I21">
        <v>0.3132153017692807</v>
      </c>
      <c r="J21">
        <v>3.8928298629793329E-2</v>
      </c>
      <c r="K21">
        <v>37.507126010544368</v>
      </c>
      <c r="L21" t="s">
        <v>31</v>
      </c>
      <c r="M21">
        <v>1.8992317562931238E-3</v>
      </c>
      <c r="N21" t="s">
        <v>31</v>
      </c>
      <c r="O21">
        <v>5.2924696778696313E-3</v>
      </c>
      <c r="P21" t="s">
        <v>31</v>
      </c>
      <c r="Q21">
        <v>1.3803291180523162E-3</v>
      </c>
      <c r="R21">
        <v>1.0854174151210151E-2</v>
      </c>
      <c r="S21">
        <v>1.5807206313101937E-3</v>
      </c>
      <c r="T21" t="s">
        <v>31</v>
      </c>
      <c r="U21">
        <v>2.5025121728409507E-2</v>
      </c>
      <c r="V21" t="s">
        <v>31</v>
      </c>
      <c r="W21">
        <v>5.953856028584433E-3</v>
      </c>
      <c r="X21">
        <v>2.7188311684945426E-3</v>
      </c>
    </row>
    <row r="22" spans="1:24" x14ac:dyDescent="0.25">
      <c r="A22">
        <v>2000</v>
      </c>
      <c r="B22">
        <v>39.948808213066286</v>
      </c>
      <c r="C22">
        <v>2.9078843956619091</v>
      </c>
      <c r="D22">
        <v>0.26287435552532384</v>
      </c>
      <c r="E22">
        <v>4.844518615657107E-2</v>
      </c>
      <c r="F22" t="s">
        <v>31</v>
      </c>
      <c r="G22">
        <v>17.277611799348989</v>
      </c>
      <c r="H22">
        <v>2.0114952156084249</v>
      </c>
      <c r="I22">
        <v>0.22781954123578946</v>
      </c>
      <c r="J22" t="s">
        <v>31</v>
      </c>
      <c r="K22">
        <v>37.260146339930685</v>
      </c>
      <c r="L22" t="s">
        <v>31</v>
      </c>
      <c r="M22">
        <v>1.780325289674E-3</v>
      </c>
      <c r="N22" t="s">
        <v>31</v>
      </c>
      <c r="O22">
        <v>5.3281974384672554E-3</v>
      </c>
      <c r="P22" t="s">
        <v>31</v>
      </c>
      <c r="Q22">
        <v>1.4144525667913524E-3</v>
      </c>
      <c r="R22">
        <v>9.0573539713295799E-3</v>
      </c>
      <c r="S22">
        <v>2.1963408601256302E-3</v>
      </c>
      <c r="T22" t="s">
        <v>31</v>
      </c>
      <c r="U22">
        <v>2.4670161314518085E-2</v>
      </c>
      <c r="V22" t="s">
        <v>31</v>
      </c>
      <c r="W22">
        <v>7.6392460905057285E-3</v>
      </c>
      <c r="X22">
        <v>2.8288759346169557E-3</v>
      </c>
    </row>
    <row r="23" spans="1:24" x14ac:dyDescent="0.25">
      <c r="A23">
        <v>2100</v>
      </c>
      <c r="B23">
        <v>39.298030826599103</v>
      </c>
      <c r="C23">
        <v>3.1513006779002746</v>
      </c>
      <c r="D23">
        <v>0.38843971290722862</v>
      </c>
      <c r="E23">
        <v>2.710002570977503E-2</v>
      </c>
      <c r="F23" t="s">
        <v>31</v>
      </c>
      <c r="G23">
        <v>17.731501462645571</v>
      </c>
      <c r="H23">
        <v>0.85048067789701942</v>
      </c>
      <c r="I23">
        <v>0.2532841765348281</v>
      </c>
      <c r="J23">
        <v>2.643514158052326E-3</v>
      </c>
      <c r="K23">
        <v>38.2389850517282</v>
      </c>
      <c r="L23" t="s">
        <v>31</v>
      </c>
      <c r="M23">
        <v>2.3644408860381862E-3</v>
      </c>
      <c r="N23" t="s">
        <v>31</v>
      </c>
      <c r="O23">
        <v>4.1655643748005197E-3</v>
      </c>
      <c r="P23">
        <v>3.812536270388776E-4</v>
      </c>
      <c r="Q23">
        <v>1.1861704426764377E-3</v>
      </c>
      <c r="R23">
        <v>8.4651243074981737E-3</v>
      </c>
      <c r="S23">
        <v>1.7845248999652633E-3</v>
      </c>
      <c r="T23" t="s">
        <v>31</v>
      </c>
      <c r="U23">
        <v>2.6273804377048553E-2</v>
      </c>
      <c r="V23" t="s">
        <v>31</v>
      </c>
      <c r="W23">
        <v>1.0703722086620342E-2</v>
      </c>
      <c r="X23">
        <v>2.9092689182464303E-3</v>
      </c>
    </row>
    <row r="24" spans="1:24" x14ac:dyDescent="0.25">
      <c r="A24">
        <v>2200</v>
      </c>
      <c r="B24">
        <v>39.322925810918235</v>
      </c>
      <c r="C24">
        <v>3.8115654423675442</v>
      </c>
      <c r="D24">
        <v>0.31252825547535201</v>
      </c>
      <c r="E24">
        <v>4.3557425937877842E-2</v>
      </c>
      <c r="F24" t="s">
        <v>31</v>
      </c>
      <c r="G24">
        <v>17.457323227354209</v>
      </c>
      <c r="H24">
        <v>1.1161714232291173</v>
      </c>
      <c r="I24">
        <v>0.22998719518419136</v>
      </c>
      <c r="J24">
        <v>4.3883043517640163E-3</v>
      </c>
      <c r="K24">
        <v>37.647704191339557</v>
      </c>
      <c r="L24" t="s">
        <v>31</v>
      </c>
      <c r="M24">
        <v>1.5076902401238083E-3</v>
      </c>
      <c r="N24">
        <v>1.8290446719889747E-4</v>
      </c>
      <c r="O24">
        <v>3.3342994535034819E-3</v>
      </c>
      <c r="P24">
        <v>4.644730018856252E-4</v>
      </c>
      <c r="Q24">
        <v>2.9951137233237253E-3</v>
      </c>
      <c r="R24">
        <v>7.1687190086049714E-3</v>
      </c>
      <c r="S24">
        <v>1.5541006388014741E-3</v>
      </c>
      <c r="T24" t="s">
        <v>31</v>
      </c>
      <c r="U24">
        <v>2.6077864545280802E-2</v>
      </c>
      <c r="V24" t="s">
        <v>31</v>
      </c>
      <c r="W24">
        <v>8.3417936849848728E-3</v>
      </c>
      <c r="X24">
        <v>2.2217650784645193E-3</v>
      </c>
    </row>
    <row r="25" spans="1:24" x14ac:dyDescent="0.25">
      <c r="A25">
        <v>2300</v>
      </c>
      <c r="B25">
        <v>39.52765910000123</v>
      </c>
      <c r="C25">
        <v>1.7799801211327699</v>
      </c>
      <c r="D25">
        <v>0.45994521518500331</v>
      </c>
      <c r="E25">
        <v>3.5006054831605418E-2</v>
      </c>
      <c r="F25">
        <v>5.1440322050066833E-3</v>
      </c>
      <c r="G25">
        <v>18.071693221516554</v>
      </c>
      <c r="H25">
        <v>0.81220081384840492</v>
      </c>
      <c r="I25">
        <v>0.27007260758916157</v>
      </c>
      <c r="J25">
        <v>1.0010033315872229E-2</v>
      </c>
      <c r="K25">
        <v>38.972627806663169</v>
      </c>
      <c r="L25" t="s">
        <v>31</v>
      </c>
      <c r="M25">
        <v>2.0749761761537215E-3</v>
      </c>
      <c r="N25" t="s">
        <v>31</v>
      </c>
      <c r="O25">
        <v>5.2785659199597263E-3</v>
      </c>
      <c r="P25" t="s">
        <v>31</v>
      </c>
      <c r="Q25">
        <v>1.5643632594415974E-3</v>
      </c>
      <c r="R25">
        <v>6.5020382494319229E-3</v>
      </c>
      <c r="S25">
        <v>1.834516988637644E-3</v>
      </c>
      <c r="T25" t="s">
        <v>31</v>
      </c>
      <c r="U25">
        <v>2.7481413047789581E-2</v>
      </c>
      <c r="V25" t="s">
        <v>31</v>
      </c>
      <c r="W25">
        <v>8.4897841569134477E-3</v>
      </c>
      <c r="X25">
        <v>2.4353359128659212E-3</v>
      </c>
    </row>
    <row r="26" spans="1:24" x14ac:dyDescent="0.25">
      <c r="A26">
        <v>2400</v>
      </c>
      <c r="B26">
        <v>39.333418316575255</v>
      </c>
      <c r="C26">
        <v>3.0112622733800132</v>
      </c>
      <c r="D26">
        <v>0.29676929398056945</v>
      </c>
      <c r="E26">
        <v>4.145356601457427E-2</v>
      </c>
      <c r="F26" t="s">
        <v>31</v>
      </c>
      <c r="G26">
        <v>17.780228041418255</v>
      </c>
      <c r="H26">
        <v>0.87024758912807898</v>
      </c>
      <c r="I26">
        <v>0.25450748461370254</v>
      </c>
      <c r="J26">
        <v>1.6959169433602306E-2</v>
      </c>
      <c r="K26">
        <v>38.344066672776243</v>
      </c>
      <c r="L26" t="s">
        <v>31</v>
      </c>
      <c r="M26">
        <v>2.2153182268348005E-3</v>
      </c>
      <c r="N26" t="s">
        <v>31</v>
      </c>
      <c r="O26">
        <v>3.6824403786799615E-3</v>
      </c>
      <c r="P26" t="s">
        <v>31</v>
      </c>
      <c r="Q26">
        <v>1.2806483798170035E-3</v>
      </c>
      <c r="R26">
        <v>6.0451696029084718E-3</v>
      </c>
      <c r="S26">
        <v>1.6742663226908109E-3</v>
      </c>
      <c r="T26" t="s">
        <v>31</v>
      </c>
      <c r="U26">
        <v>2.4899944584916615E-2</v>
      </c>
      <c r="V26" t="s">
        <v>31</v>
      </c>
      <c r="W26">
        <v>7.968517676809261E-3</v>
      </c>
      <c r="X26">
        <v>3.3212875070370495E-3</v>
      </c>
    </row>
    <row r="27" spans="1:24" x14ac:dyDescent="0.25">
      <c r="A27">
        <v>2500</v>
      </c>
      <c r="B27">
        <v>39.220252596861393</v>
      </c>
      <c r="C27">
        <v>3.8370032165457708</v>
      </c>
      <c r="D27">
        <v>0.33339043345335118</v>
      </c>
      <c r="E27">
        <v>8.9721932306367241E-2</v>
      </c>
      <c r="F27">
        <v>1.5107732730883137E-2</v>
      </c>
      <c r="G27">
        <v>17.526714289535253</v>
      </c>
      <c r="H27">
        <v>0.89585220271723187</v>
      </c>
      <c r="I27">
        <v>0.22101664804328097</v>
      </c>
      <c r="J27">
        <v>9.583969649975441E-3</v>
      </c>
      <c r="K27">
        <v>37.797349938771283</v>
      </c>
      <c r="L27" t="s">
        <v>31</v>
      </c>
      <c r="M27">
        <v>2.1890994003142044E-3</v>
      </c>
      <c r="N27" t="s">
        <v>31</v>
      </c>
      <c r="O27">
        <v>1.04013832045496E-2</v>
      </c>
      <c r="P27" t="s">
        <v>31</v>
      </c>
      <c r="Q27">
        <v>1.1840620878121549E-3</v>
      </c>
      <c r="R27">
        <v>4.3582369865564023E-3</v>
      </c>
      <c r="S27">
        <v>1.4283591469635524E-3</v>
      </c>
      <c r="T27" t="s">
        <v>31</v>
      </c>
      <c r="U27">
        <v>2.4276137188359734E-2</v>
      </c>
      <c r="V27" t="s">
        <v>31</v>
      </c>
      <c r="W27">
        <v>7.6594313793739875E-3</v>
      </c>
      <c r="X27">
        <v>2.5103299912853398E-3</v>
      </c>
    </row>
    <row r="28" spans="1:24" x14ac:dyDescent="0.25">
      <c r="A28">
        <v>2600</v>
      </c>
      <c r="B28">
        <v>38.784911242541099</v>
      </c>
      <c r="C28">
        <v>5.7981549175484144</v>
      </c>
      <c r="D28">
        <v>0.29746549429441815</v>
      </c>
      <c r="E28">
        <v>3.5638542466885061E-2</v>
      </c>
      <c r="F28">
        <v>9.3429755255199972E-3</v>
      </c>
      <c r="G28">
        <v>17.101736272346752</v>
      </c>
      <c r="H28">
        <v>0.78881270497723699</v>
      </c>
      <c r="I28">
        <v>0.23837439328858803</v>
      </c>
      <c r="J28">
        <v>1.5715008527344639E-2</v>
      </c>
      <c r="K28">
        <v>36.880860825831853</v>
      </c>
      <c r="L28" t="s">
        <v>31</v>
      </c>
      <c r="M28">
        <v>2.3152842120097617E-3</v>
      </c>
      <c r="N28" t="s">
        <v>31</v>
      </c>
      <c r="O28">
        <v>4.9649428931085099E-3</v>
      </c>
      <c r="P28" t="s">
        <v>31</v>
      </c>
      <c r="Q28">
        <v>1.0323550888662943E-3</v>
      </c>
      <c r="R28">
        <v>4.3286910895422625E-3</v>
      </c>
      <c r="S28">
        <v>1.5584390958212728E-3</v>
      </c>
      <c r="T28" t="s">
        <v>31</v>
      </c>
      <c r="U28">
        <v>2.2188908957654345E-2</v>
      </c>
      <c r="V28" t="s">
        <v>31</v>
      </c>
      <c r="W28">
        <v>1.0600810622454007E-2</v>
      </c>
      <c r="X28">
        <v>1.9981906924357645E-3</v>
      </c>
    </row>
    <row r="29" spans="1:24" x14ac:dyDescent="0.25">
      <c r="A29">
        <v>2700</v>
      </c>
      <c r="B29">
        <v>39.435348862850269</v>
      </c>
      <c r="C29">
        <v>1.7295109437618088</v>
      </c>
      <c r="D29">
        <v>0.34324542641035449</v>
      </c>
      <c r="E29">
        <v>4.4153750924758962E-2</v>
      </c>
      <c r="F29" t="s">
        <v>31</v>
      </c>
      <c r="G29">
        <v>18.232258676226081</v>
      </c>
      <c r="H29">
        <v>0.59268934797610351</v>
      </c>
      <c r="I29">
        <v>0.25503889606166452</v>
      </c>
      <c r="J29">
        <v>9.9355598624111191E-5</v>
      </c>
      <c r="K29">
        <v>39.318896284569341</v>
      </c>
      <c r="L29" t="s">
        <v>31</v>
      </c>
      <c r="M29">
        <v>2.1708320962090049E-3</v>
      </c>
      <c r="N29" t="s">
        <v>31</v>
      </c>
      <c r="O29">
        <v>4.9163460706101161E-3</v>
      </c>
      <c r="P29" t="s">
        <v>31</v>
      </c>
      <c r="Q29">
        <v>9.9996892920021867E-4</v>
      </c>
      <c r="R29">
        <v>4.4488035883850719E-3</v>
      </c>
      <c r="S29">
        <v>1.1091500213573973E-3</v>
      </c>
      <c r="T29" t="s">
        <v>31</v>
      </c>
      <c r="U29">
        <v>2.3278960524793307E-2</v>
      </c>
      <c r="V29" t="s">
        <v>31</v>
      </c>
      <c r="W29">
        <v>9.1892459545410178E-3</v>
      </c>
      <c r="X29">
        <v>2.6451484358817378E-3</v>
      </c>
    </row>
    <row r="30" spans="1:24" x14ac:dyDescent="0.25">
      <c r="A30">
        <v>2800</v>
      </c>
      <c r="B30">
        <v>39.219381492557751</v>
      </c>
      <c r="C30">
        <v>3.2292199962381454</v>
      </c>
      <c r="D30">
        <v>0.34239205810583145</v>
      </c>
      <c r="E30">
        <v>6.2146069218191241E-2</v>
      </c>
      <c r="F30">
        <v>3.5585017270784551E-2</v>
      </c>
      <c r="G30">
        <v>17.760265168785395</v>
      </c>
      <c r="H30">
        <v>0.71277406633081408</v>
      </c>
      <c r="I30">
        <v>0.28548669006688215</v>
      </c>
      <c r="J30">
        <v>2.2390295263009629E-3</v>
      </c>
      <c r="K30">
        <v>38.301015609683489</v>
      </c>
      <c r="L30">
        <v>5.5299500172933148E-5</v>
      </c>
      <c r="M30">
        <v>2.2719769439529095E-3</v>
      </c>
      <c r="N30" t="s">
        <v>31</v>
      </c>
      <c r="O30">
        <v>8.9001518049515258E-3</v>
      </c>
      <c r="P30" t="s">
        <v>31</v>
      </c>
      <c r="Q30">
        <v>1.0129187138913115E-3</v>
      </c>
      <c r="R30">
        <v>3.4023925507506063E-3</v>
      </c>
      <c r="S30">
        <v>1.3450950088651351E-3</v>
      </c>
      <c r="T30" t="s">
        <v>31</v>
      </c>
      <c r="U30">
        <v>2.2708765727355487E-2</v>
      </c>
      <c r="V30" t="s">
        <v>31</v>
      </c>
      <c r="W30">
        <v>8.0122936726804844E-3</v>
      </c>
      <c r="X30">
        <v>1.7859082938174299E-3</v>
      </c>
    </row>
    <row r="31" spans="1:24" x14ac:dyDescent="0.25">
      <c r="A31">
        <v>2900</v>
      </c>
      <c r="B31">
        <v>39.345474341252647</v>
      </c>
      <c r="C31">
        <v>2.7820463600620062</v>
      </c>
      <c r="D31">
        <v>0.27445725055972808</v>
      </c>
      <c r="E31">
        <v>7.1050826752657198E-2</v>
      </c>
      <c r="F31">
        <v>2.2751957737141965E-2</v>
      </c>
      <c r="G31">
        <v>17.846345226054837</v>
      </c>
      <c r="H31">
        <v>0.81725214655691514</v>
      </c>
      <c r="I31">
        <v>0.30287167781699631</v>
      </c>
      <c r="J31">
        <v>2.4555517921587677E-3</v>
      </c>
      <c r="K31">
        <v>38.48665211825061</v>
      </c>
      <c r="L31" t="s">
        <v>31</v>
      </c>
      <c r="M31">
        <v>1.7472767155439172E-3</v>
      </c>
      <c r="N31" t="s">
        <v>31</v>
      </c>
      <c r="O31">
        <v>6.2239135328362137E-3</v>
      </c>
      <c r="P31" t="s">
        <v>31</v>
      </c>
      <c r="Q31">
        <v>6.7250050032988552E-4</v>
      </c>
      <c r="R31">
        <v>4.1356844883179769E-3</v>
      </c>
      <c r="S31">
        <v>1.9262336820441946E-3</v>
      </c>
      <c r="T31" t="s">
        <v>31</v>
      </c>
      <c r="U31">
        <v>2.1587447115098152E-2</v>
      </c>
      <c r="V31" t="s">
        <v>31</v>
      </c>
      <c r="W31">
        <v>1.1252706650048488E-2</v>
      </c>
      <c r="X31">
        <v>1.0967804800854593E-3</v>
      </c>
    </row>
    <row r="32" spans="1:24" x14ac:dyDescent="0.25">
      <c r="A32">
        <v>3000</v>
      </c>
      <c r="B32">
        <v>39.462934512421164</v>
      </c>
      <c r="C32">
        <v>2.3427635572018883</v>
      </c>
      <c r="D32">
        <v>0.32355680660031139</v>
      </c>
      <c r="E32">
        <v>4.2826033503180497E-2</v>
      </c>
      <c r="F32" t="s">
        <v>31</v>
      </c>
      <c r="G32">
        <v>17.914030332534654</v>
      </c>
      <c r="H32">
        <v>0.91749973370700078</v>
      </c>
      <c r="I32">
        <v>0.31448249349024665</v>
      </c>
      <c r="J32" t="s">
        <v>31</v>
      </c>
      <c r="K32">
        <v>38.632618875795579</v>
      </c>
      <c r="L32" t="s">
        <v>31</v>
      </c>
      <c r="M32">
        <v>3.0806039317581887E-3</v>
      </c>
      <c r="N32" t="s">
        <v>31</v>
      </c>
      <c r="O32">
        <v>3.4699071819813349E-3</v>
      </c>
      <c r="P32" t="s">
        <v>31</v>
      </c>
      <c r="Q32">
        <v>1.2552397439523882E-3</v>
      </c>
      <c r="R32">
        <v>4.750167692762642E-3</v>
      </c>
      <c r="S32">
        <v>2.3899092332194624E-3</v>
      </c>
      <c r="T32" t="s">
        <v>31</v>
      </c>
      <c r="U32">
        <v>2.1718616491634712E-2</v>
      </c>
      <c r="V32" t="s">
        <v>31</v>
      </c>
      <c r="W32">
        <v>9.189289694972529E-3</v>
      </c>
      <c r="X32">
        <v>3.4331272346336552E-3</v>
      </c>
    </row>
    <row r="33" spans="1:24" x14ac:dyDescent="0.25">
      <c r="A33">
        <v>3100</v>
      </c>
      <c r="B33">
        <v>40.020768821094563</v>
      </c>
      <c r="C33" t="s">
        <v>31</v>
      </c>
      <c r="D33">
        <v>0.349135104359309</v>
      </c>
      <c r="E33">
        <v>5.1170947650025576E-2</v>
      </c>
      <c r="F33">
        <v>7.2332618227162479E-3</v>
      </c>
      <c r="G33">
        <v>18.392518920280391</v>
      </c>
      <c r="H33">
        <v>1.152157373428061</v>
      </c>
      <c r="I33">
        <v>0.30988687555210692</v>
      </c>
      <c r="J33">
        <v>1.9490551688916529E-3</v>
      </c>
      <c r="K33">
        <v>39.664506558447684</v>
      </c>
      <c r="L33" t="s">
        <v>31</v>
      </c>
      <c r="M33">
        <v>2.9833459003104955E-3</v>
      </c>
      <c r="N33" t="s">
        <v>31</v>
      </c>
      <c r="O33">
        <v>3.740626256511009E-3</v>
      </c>
      <c r="P33" t="s">
        <v>31</v>
      </c>
      <c r="Q33">
        <v>5.1561739459693012E-4</v>
      </c>
      <c r="R33">
        <v>4.2611072298788825E-3</v>
      </c>
      <c r="S33">
        <v>1.5423436265584681E-3</v>
      </c>
      <c r="T33" t="s">
        <v>31</v>
      </c>
      <c r="U33">
        <v>2.1311456623613032E-2</v>
      </c>
      <c r="V33" t="s">
        <v>31</v>
      </c>
      <c r="W33">
        <v>1.3585142338750912E-2</v>
      </c>
      <c r="X33">
        <v>2.7334428260319412E-3</v>
      </c>
    </row>
    <row r="34" spans="1:24" x14ac:dyDescent="0.25">
      <c r="A34">
        <v>3200</v>
      </c>
      <c r="B34">
        <v>39.562501154389096</v>
      </c>
      <c r="C34">
        <v>2.9205333299159664</v>
      </c>
      <c r="D34">
        <v>0.29532608799074828</v>
      </c>
      <c r="E34">
        <v>3.8856472799802186E-2</v>
      </c>
      <c r="F34" t="s">
        <v>31</v>
      </c>
      <c r="G34">
        <v>17.557742750339468</v>
      </c>
      <c r="H34">
        <v>1.3546071794408061</v>
      </c>
      <c r="I34">
        <v>0.34514238790176649</v>
      </c>
      <c r="J34">
        <v>1.300138113068362E-2</v>
      </c>
      <c r="K34">
        <v>37.864264568159562</v>
      </c>
      <c r="L34" t="s">
        <v>31</v>
      </c>
      <c r="M34">
        <v>3.9068408686588167E-3</v>
      </c>
      <c r="N34" t="s">
        <v>31</v>
      </c>
      <c r="O34">
        <v>2.9817200632587201E-3</v>
      </c>
      <c r="P34" t="s">
        <v>31</v>
      </c>
      <c r="Q34">
        <v>6.2518852530931909E-4</v>
      </c>
      <c r="R34">
        <v>3.8441155149351578E-3</v>
      </c>
      <c r="S34">
        <v>1.7183058576479223E-3</v>
      </c>
      <c r="T34" t="s">
        <v>31</v>
      </c>
      <c r="U34">
        <v>2.0419502940868875E-2</v>
      </c>
      <c r="V34" t="s">
        <v>31</v>
      </c>
      <c r="W34">
        <v>1.0809365090232533E-2</v>
      </c>
      <c r="X34">
        <v>3.7196490711901759E-3</v>
      </c>
    </row>
    <row r="35" spans="1:24" x14ac:dyDescent="0.25">
      <c r="A35">
        <v>3300</v>
      </c>
      <c r="B35">
        <v>38.984071304465743</v>
      </c>
      <c r="C35">
        <v>5.9241491995260205</v>
      </c>
      <c r="D35">
        <v>0.25583958774777882</v>
      </c>
      <c r="E35">
        <v>2.544060063704191E-2</v>
      </c>
      <c r="F35" t="s">
        <v>31</v>
      </c>
      <c r="G35">
        <v>16.734395783079197</v>
      </c>
      <c r="H35">
        <v>1.4293985413670147</v>
      </c>
      <c r="I35">
        <v>0.48081158318635092</v>
      </c>
      <c r="J35">
        <v>3.9648647384949554E-2</v>
      </c>
      <c r="K35">
        <v>36.088670299406992</v>
      </c>
      <c r="L35" t="s">
        <v>31</v>
      </c>
      <c r="M35">
        <v>2.4269855041725028E-3</v>
      </c>
      <c r="N35" t="s">
        <v>31</v>
      </c>
      <c r="O35">
        <v>2.6370257165420339E-3</v>
      </c>
      <c r="P35" t="s">
        <v>31</v>
      </c>
      <c r="Q35">
        <v>9.1149906685602904E-5</v>
      </c>
      <c r="R35">
        <v>3.7042576092681705E-3</v>
      </c>
      <c r="S35">
        <v>1.4528256611270292E-3</v>
      </c>
      <c r="T35" t="s">
        <v>31</v>
      </c>
      <c r="U35">
        <v>1.8577997923945818E-2</v>
      </c>
      <c r="V35" t="s">
        <v>31</v>
      </c>
      <c r="W35">
        <v>6.6925678214043698E-3</v>
      </c>
      <c r="X35">
        <v>1.9916430557513887E-3</v>
      </c>
    </row>
    <row r="36" spans="1:24" x14ac:dyDescent="0.25">
      <c r="A36">
        <v>3400</v>
      </c>
      <c r="B36">
        <v>39.620934626674057</v>
      </c>
      <c r="C36">
        <v>3.5897879417419372</v>
      </c>
      <c r="D36">
        <v>0.2132460709897159</v>
      </c>
      <c r="E36">
        <v>6.1027916930318185E-2</v>
      </c>
      <c r="F36" t="s">
        <v>31</v>
      </c>
      <c r="G36">
        <v>17.08986354705819</v>
      </c>
      <c r="H36">
        <v>1.8998370358773116</v>
      </c>
      <c r="I36">
        <v>0.55743223081228466</v>
      </c>
      <c r="J36">
        <v>6.6162169610876315E-2</v>
      </c>
      <c r="K36">
        <v>36.855256622725371</v>
      </c>
      <c r="L36" t="s">
        <v>31</v>
      </c>
      <c r="M36">
        <v>1.7480145673898011E-3</v>
      </c>
      <c r="N36" t="s">
        <v>31</v>
      </c>
      <c r="O36">
        <v>4.5234520247328085E-3</v>
      </c>
      <c r="P36" t="s">
        <v>31</v>
      </c>
      <c r="Q36">
        <v>6.1477046344819415E-4</v>
      </c>
      <c r="R36">
        <v>4.037915815628749E-3</v>
      </c>
      <c r="S36">
        <v>1.6016543578795278E-3</v>
      </c>
      <c r="T36" t="s">
        <v>31</v>
      </c>
      <c r="U36">
        <v>1.9956154995944438E-2</v>
      </c>
      <c r="V36" t="s">
        <v>31</v>
      </c>
      <c r="W36">
        <v>1.0876498415180154E-2</v>
      </c>
      <c r="X36">
        <v>3.0933769397613765E-3</v>
      </c>
    </row>
    <row r="37" spans="1:24" x14ac:dyDescent="0.25">
      <c r="A37">
        <v>3500</v>
      </c>
      <c r="B37" t="s">
        <v>24</v>
      </c>
      <c r="C37" t="s">
        <v>24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24</v>
      </c>
      <c r="T37" t="s">
        <v>24</v>
      </c>
      <c r="U37" t="s">
        <v>24</v>
      </c>
      <c r="V37" t="s">
        <v>24</v>
      </c>
      <c r="W37" t="s">
        <v>24</v>
      </c>
      <c r="X37" t="s">
        <v>24</v>
      </c>
    </row>
    <row r="38" spans="1:24" x14ac:dyDescent="0.25">
      <c r="A38">
        <v>3600</v>
      </c>
      <c r="B38">
        <v>39.479087202680105</v>
      </c>
      <c r="C38">
        <v>4.2745307157685888</v>
      </c>
      <c r="D38">
        <v>0.22521790049230503</v>
      </c>
      <c r="E38">
        <v>5.4275765343257482E-2</v>
      </c>
      <c r="F38" t="s">
        <v>31</v>
      </c>
      <c r="G38">
        <v>16.853747253071163</v>
      </c>
      <c r="H38">
        <v>1.9645023665890924</v>
      </c>
      <c r="I38">
        <v>0.64866448078624117</v>
      </c>
      <c r="J38">
        <v>0.10976636204199706</v>
      </c>
      <c r="K38">
        <v>36.346058489941171</v>
      </c>
      <c r="L38" t="s">
        <v>31</v>
      </c>
      <c r="M38">
        <v>1.822559689003908E-3</v>
      </c>
      <c r="N38" t="s">
        <v>31</v>
      </c>
      <c r="O38">
        <v>5.746683444426361E-3</v>
      </c>
      <c r="P38">
        <v>3.3271198029235344E-5</v>
      </c>
      <c r="Q38">
        <v>3.2324849380117361E-4</v>
      </c>
      <c r="R38">
        <v>3.6895613380456172E-3</v>
      </c>
      <c r="S38">
        <v>1.3605711652228505E-3</v>
      </c>
      <c r="T38" t="s">
        <v>31</v>
      </c>
      <c r="U38">
        <v>1.9941979955039497E-2</v>
      </c>
      <c r="V38" t="s">
        <v>31</v>
      </c>
      <c r="W38">
        <v>8.7459571797958765E-3</v>
      </c>
      <c r="X38">
        <v>2.485630822702662E-3</v>
      </c>
    </row>
    <row r="39" spans="1:24" x14ac:dyDescent="0.25">
      <c r="A39">
        <v>3700</v>
      </c>
      <c r="B39" t="s">
        <v>24</v>
      </c>
      <c r="C39" t="s">
        <v>24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24</v>
      </c>
      <c r="T39" t="s">
        <v>24</v>
      </c>
      <c r="U39" t="s">
        <v>24</v>
      </c>
      <c r="V39" t="s">
        <v>24</v>
      </c>
      <c r="W39" t="s">
        <v>24</v>
      </c>
      <c r="X39" t="s">
        <v>24</v>
      </c>
    </row>
    <row r="40" spans="1:24" x14ac:dyDescent="0.25">
      <c r="A40">
        <v>3800</v>
      </c>
      <c r="B40">
        <v>38.629301668568786</v>
      </c>
      <c r="C40">
        <v>6.1340658661302001</v>
      </c>
      <c r="D40">
        <v>0.22980822814675669</v>
      </c>
      <c r="E40">
        <v>3.9214674699706076E-2</v>
      </c>
      <c r="F40" t="s">
        <v>31</v>
      </c>
      <c r="G40">
        <v>16.942561640303964</v>
      </c>
      <c r="H40">
        <v>0.85512400005263378</v>
      </c>
      <c r="I40">
        <v>0.52290748056767455</v>
      </c>
      <c r="J40">
        <v>6.5104307991869712E-2</v>
      </c>
      <c r="K40">
        <v>36.537591735612907</v>
      </c>
      <c r="L40" t="s">
        <v>31</v>
      </c>
      <c r="M40">
        <v>2.4585901140196081E-3</v>
      </c>
      <c r="N40" t="s">
        <v>31</v>
      </c>
      <c r="O40">
        <v>4.1552786986000824E-3</v>
      </c>
      <c r="P40">
        <v>2.8099924967042874E-4</v>
      </c>
      <c r="Q40">
        <v>2.0252366883097184E-3</v>
      </c>
      <c r="R40">
        <v>3.2099074487457612E-3</v>
      </c>
      <c r="S40">
        <v>1.1321924026771667E-3</v>
      </c>
      <c r="T40" t="s">
        <v>31</v>
      </c>
      <c r="U40">
        <v>1.9947575501775734E-2</v>
      </c>
      <c r="V40" t="s">
        <v>31</v>
      </c>
      <c r="W40">
        <v>8.0466779578635909E-3</v>
      </c>
      <c r="X40">
        <v>3.0639398638683665E-3</v>
      </c>
    </row>
    <row r="41" spans="1:24" x14ac:dyDescent="0.25">
      <c r="A41">
        <v>3900</v>
      </c>
      <c r="B41">
        <v>39.31307174031933</v>
      </c>
      <c r="C41">
        <v>5.8867670928497366</v>
      </c>
      <c r="D41">
        <v>0.32636378582936831</v>
      </c>
      <c r="E41">
        <v>3.9921695372974519E-2</v>
      </c>
      <c r="F41" t="s">
        <v>31</v>
      </c>
      <c r="G41">
        <v>16.261118987630656</v>
      </c>
      <c r="H41">
        <v>2.2557343537055305</v>
      </c>
      <c r="I41">
        <v>0.67027968054356679</v>
      </c>
      <c r="J41">
        <v>0.12688442392208665</v>
      </c>
      <c r="K41">
        <v>35.068022141403432</v>
      </c>
      <c r="L41" t="s">
        <v>31</v>
      </c>
      <c r="M41">
        <v>2.0062321531359195E-3</v>
      </c>
      <c r="N41" t="s">
        <v>31</v>
      </c>
      <c r="O41">
        <v>1.6521179801412884E-2</v>
      </c>
      <c r="P41" t="s">
        <v>31</v>
      </c>
      <c r="Q41">
        <v>1.1068727946618537E-3</v>
      </c>
      <c r="R41">
        <v>2.9932938582783253E-3</v>
      </c>
      <c r="S41">
        <v>1.6697046630131918E-3</v>
      </c>
      <c r="T41" t="s">
        <v>31</v>
      </c>
      <c r="U41">
        <v>1.9116484238891698E-2</v>
      </c>
      <c r="V41" t="s">
        <v>31</v>
      </c>
      <c r="W41">
        <v>7.3853815596011396E-3</v>
      </c>
      <c r="X41">
        <v>1.0369493543281249E-3</v>
      </c>
    </row>
    <row r="42" spans="1:24" x14ac:dyDescent="0.25">
      <c r="B42" t="s">
        <v>24</v>
      </c>
      <c r="C42" t="s">
        <v>24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  <c r="R42" t="s">
        <v>24</v>
      </c>
      <c r="S42" t="s">
        <v>24</v>
      </c>
      <c r="T42" t="s">
        <v>24</v>
      </c>
      <c r="U42" t="s">
        <v>24</v>
      </c>
      <c r="V42" t="s">
        <v>24</v>
      </c>
      <c r="W42" t="s">
        <v>24</v>
      </c>
      <c r="X42" t="s">
        <v>24</v>
      </c>
    </row>
    <row r="52" spans="2:24" x14ac:dyDescent="0.25">
      <c r="B52" t="s">
        <v>24</v>
      </c>
      <c r="C52" t="s">
        <v>24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24</v>
      </c>
      <c r="Q52" t="s">
        <v>24</v>
      </c>
      <c r="R52" t="s">
        <v>24</v>
      </c>
      <c r="S52" t="s">
        <v>24</v>
      </c>
      <c r="T52" t="s">
        <v>24</v>
      </c>
      <c r="U52" t="s">
        <v>24</v>
      </c>
      <c r="V52" t="s">
        <v>24</v>
      </c>
      <c r="W52" t="s">
        <v>24</v>
      </c>
      <c r="X52" t="s">
        <v>24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"/>
  <sheetViews>
    <sheetView workbookViewId="0">
      <selection activeCell="A11" sqref="A11:XFD12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31</v>
      </c>
      <c r="B2">
        <v>41.159019722571074</v>
      </c>
      <c r="C2">
        <v>1.5433634062746422</v>
      </c>
      <c r="D2">
        <v>0.15413648242518199</v>
      </c>
      <c r="E2">
        <v>5.4504963128295045E-2</v>
      </c>
      <c r="F2">
        <v>0.36779556121744095</v>
      </c>
      <c r="G2">
        <v>16.749024751979046</v>
      </c>
      <c r="H2">
        <v>3.6310005311066882</v>
      </c>
      <c r="I2">
        <v>0.16754726619716212</v>
      </c>
      <c r="J2" t="s">
        <v>31</v>
      </c>
      <c r="K2">
        <v>36.120218497638376</v>
      </c>
      <c r="L2">
        <v>4.6442623513032752E-4</v>
      </c>
      <c r="M2">
        <v>2.077406367715833E-3</v>
      </c>
      <c r="N2" t="s">
        <v>31</v>
      </c>
      <c r="O2">
        <v>4.8429157380356167E-3</v>
      </c>
      <c r="P2" t="s">
        <v>31</v>
      </c>
      <c r="Q2">
        <v>1.4842034471197407E-3</v>
      </c>
      <c r="R2">
        <v>1.2198625512110272E-2</v>
      </c>
      <c r="S2">
        <v>2.7575435477937061E-3</v>
      </c>
      <c r="T2" t="s">
        <v>31</v>
      </c>
      <c r="U2">
        <v>2.2412105769775419E-2</v>
      </c>
      <c r="V2" t="s">
        <v>31</v>
      </c>
      <c r="W2">
        <v>2.910738701520677E-3</v>
      </c>
      <c r="X2">
        <v>4.2408521429001629E-3</v>
      </c>
    </row>
    <row r="3" spans="1:24" x14ac:dyDescent="0.25">
      <c r="A3">
        <v>100</v>
      </c>
      <c r="B3">
        <v>40.944866781283011</v>
      </c>
      <c r="C3">
        <v>0.20676811075767909</v>
      </c>
      <c r="D3">
        <v>0.16768265092763091</v>
      </c>
      <c r="E3">
        <v>6.0070556084471462E-2</v>
      </c>
      <c r="F3">
        <v>6.1816759571565093E-2</v>
      </c>
      <c r="G3">
        <v>17.477935264984744</v>
      </c>
      <c r="H3">
        <v>3.0042489077458412</v>
      </c>
      <c r="I3">
        <v>0.29873511773133227</v>
      </c>
      <c r="J3" t="s">
        <v>31</v>
      </c>
      <c r="K3">
        <v>37.692155215439236</v>
      </c>
      <c r="L3">
        <v>1.8876302680010654E-4</v>
      </c>
      <c r="M3">
        <v>1.6759706665196588E-3</v>
      </c>
      <c r="N3">
        <v>2.9034037003869671E-2</v>
      </c>
      <c r="O3">
        <v>6.4205697046787738E-3</v>
      </c>
      <c r="P3" t="s">
        <v>31</v>
      </c>
      <c r="Q3">
        <v>3.8799034445002807E-4</v>
      </c>
      <c r="R3">
        <v>1.4902834218295788E-2</v>
      </c>
      <c r="S3">
        <v>3.6215316470303888E-3</v>
      </c>
      <c r="T3" t="s">
        <v>31</v>
      </c>
      <c r="U3">
        <v>2.2794365726727616E-2</v>
      </c>
      <c r="V3" t="s">
        <v>31</v>
      </c>
      <c r="W3">
        <v>2.8340205239468794E-3</v>
      </c>
      <c r="X3">
        <v>3.8605526121759663E-3</v>
      </c>
    </row>
    <row r="4" spans="1:24" x14ac:dyDescent="0.25">
      <c r="A4">
        <v>200</v>
      </c>
      <c r="B4">
        <v>38.997366392161908</v>
      </c>
      <c r="C4">
        <v>4.3886908000959686</v>
      </c>
      <c r="D4">
        <v>0.38565368042584103</v>
      </c>
      <c r="E4">
        <v>4.8673519593123278E-2</v>
      </c>
      <c r="F4" t="s">
        <v>31</v>
      </c>
      <c r="G4">
        <v>17.46871816081806</v>
      </c>
      <c r="H4">
        <v>0.71382804034021041</v>
      </c>
      <c r="I4">
        <v>0.26931332654074142</v>
      </c>
      <c r="J4">
        <v>1.6394932010672634E-3</v>
      </c>
      <c r="K4">
        <v>37.672278009372263</v>
      </c>
      <c r="L4" t="s">
        <v>31</v>
      </c>
      <c r="M4">
        <v>2.4511025673959012E-3</v>
      </c>
      <c r="N4" t="s">
        <v>31</v>
      </c>
      <c r="O4">
        <v>5.8186120885070462E-3</v>
      </c>
      <c r="P4" t="s">
        <v>31</v>
      </c>
      <c r="Q4">
        <v>8.2738455873903661E-4</v>
      </c>
      <c r="R4">
        <v>3.7743309600949465E-3</v>
      </c>
      <c r="S4">
        <v>1.5188130990066184E-3</v>
      </c>
      <c r="T4" t="s">
        <v>31</v>
      </c>
      <c r="U4">
        <v>2.2299730025919489E-2</v>
      </c>
      <c r="V4" t="s">
        <v>31</v>
      </c>
      <c r="W4">
        <v>1.4044108545895797E-2</v>
      </c>
      <c r="X4">
        <v>3.1044956052446644E-3</v>
      </c>
    </row>
    <row r="5" spans="1:24" x14ac:dyDescent="0.25">
      <c r="A5">
        <v>300</v>
      </c>
      <c r="B5">
        <v>39.493076188220698</v>
      </c>
      <c r="C5">
        <v>1.0209119560565874</v>
      </c>
      <c r="D5">
        <v>0.37070886954549437</v>
      </c>
      <c r="E5">
        <v>3.3633396410429083E-2</v>
      </c>
      <c r="F5" t="s">
        <v>31</v>
      </c>
      <c r="G5">
        <v>18.451013920373821</v>
      </c>
      <c r="H5">
        <v>0.48884002349181616</v>
      </c>
      <c r="I5">
        <v>0.30203300951591711</v>
      </c>
      <c r="J5" t="s">
        <v>31</v>
      </c>
      <c r="K5">
        <v>39.790654332164742</v>
      </c>
      <c r="L5" t="s">
        <v>31</v>
      </c>
      <c r="M5">
        <v>1.8765361316822036E-3</v>
      </c>
      <c r="N5" t="s">
        <v>31</v>
      </c>
      <c r="O5">
        <v>2.3402413717118278E-3</v>
      </c>
      <c r="P5" t="s">
        <v>31</v>
      </c>
      <c r="Q5">
        <v>9.7942715564583517E-5</v>
      </c>
      <c r="R5">
        <v>3.7905559075245955E-3</v>
      </c>
      <c r="S5">
        <v>1.656008753506368E-3</v>
      </c>
      <c r="T5" t="s">
        <v>31</v>
      </c>
      <c r="U5">
        <v>2.4458325151798872E-2</v>
      </c>
      <c r="V5" t="s">
        <v>31</v>
      </c>
      <c r="W5">
        <v>1.216123233328574E-2</v>
      </c>
      <c r="X5">
        <v>2.7474618554011185E-3</v>
      </c>
    </row>
    <row r="6" spans="1:24" x14ac:dyDescent="0.25">
      <c r="A6">
        <v>400</v>
      </c>
      <c r="B6">
        <v>39.69726743148945</v>
      </c>
      <c r="C6">
        <v>0.77726388607688579</v>
      </c>
      <c r="D6">
        <v>0.41637430752433741</v>
      </c>
      <c r="E6">
        <v>4.2272689929636044E-2</v>
      </c>
      <c r="F6" t="s">
        <v>31</v>
      </c>
      <c r="G6">
        <v>18.336933405909082</v>
      </c>
      <c r="H6">
        <v>0.81398367315372311</v>
      </c>
      <c r="I6">
        <v>0.32220491281359132</v>
      </c>
      <c r="J6">
        <v>3.7093950206058108E-4</v>
      </c>
      <c r="K6">
        <v>39.544633255128446</v>
      </c>
      <c r="L6" t="s">
        <v>31</v>
      </c>
      <c r="M6">
        <v>2.362191349537272E-3</v>
      </c>
      <c r="N6" t="s">
        <v>31</v>
      </c>
      <c r="O6">
        <v>3.0246622886152276E-3</v>
      </c>
      <c r="P6" t="s">
        <v>31</v>
      </c>
      <c r="Q6">
        <v>3.4390743506196802E-4</v>
      </c>
      <c r="R6">
        <v>3.5091173270220453E-3</v>
      </c>
      <c r="S6">
        <v>1.5729410157222193E-3</v>
      </c>
      <c r="T6" t="s">
        <v>31</v>
      </c>
      <c r="U6">
        <v>2.2346676637497346E-2</v>
      </c>
      <c r="V6" t="s">
        <v>31</v>
      </c>
      <c r="W6">
        <v>1.2955623449031605E-2</v>
      </c>
      <c r="X6">
        <v>2.5803789702552051E-3</v>
      </c>
    </row>
    <row r="7" spans="1:24" x14ac:dyDescent="0.25">
      <c r="A7">
        <v>500</v>
      </c>
      <c r="B7">
        <v>39.561028363401661</v>
      </c>
      <c r="C7">
        <v>0.79474981067348316</v>
      </c>
      <c r="D7">
        <v>0.34721405692562862</v>
      </c>
      <c r="E7">
        <v>2.9888263756699042E-2</v>
      </c>
      <c r="F7" t="s">
        <v>31</v>
      </c>
      <c r="G7">
        <v>18.459698828825012</v>
      </c>
      <c r="H7">
        <v>0.58760005947547755</v>
      </c>
      <c r="I7">
        <v>0.36306443572060049</v>
      </c>
      <c r="J7" t="s">
        <v>31</v>
      </c>
      <c r="K7">
        <v>39.809383828092678</v>
      </c>
      <c r="L7" t="s">
        <v>31</v>
      </c>
      <c r="M7">
        <v>1.897656595378676E-3</v>
      </c>
      <c r="N7" t="s">
        <v>31</v>
      </c>
      <c r="O7">
        <v>2.7966172212351066E-3</v>
      </c>
      <c r="P7" t="s">
        <v>31</v>
      </c>
      <c r="Q7">
        <v>2.0692575552587818E-3</v>
      </c>
      <c r="R7">
        <v>2.3598889411230802E-3</v>
      </c>
      <c r="S7">
        <v>1.2895447753222243E-3</v>
      </c>
      <c r="T7" t="s">
        <v>31</v>
      </c>
      <c r="U7">
        <v>2.2745388659031224E-2</v>
      </c>
      <c r="V7" t="s">
        <v>31</v>
      </c>
      <c r="W7">
        <v>1.0391382740904967E-2</v>
      </c>
      <c r="X7">
        <v>3.8226166405099828E-3</v>
      </c>
    </row>
    <row r="8" spans="1:24" x14ac:dyDescent="0.25">
      <c r="A8">
        <v>600</v>
      </c>
      <c r="B8">
        <v>39.038753299488789</v>
      </c>
      <c r="C8">
        <v>3.4247331019829947</v>
      </c>
      <c r="D8">
        <v>0.27221356650475492</v>
      </c>
      <c r="E8">
        <v>3.2432948779613897E-2</v>
      </c>
      <c r="F8" t="s">
        <v>31</v>
      </c>
      <c r="G8">
        <v>17.825439630082439</v>
      </c>
      <c r="H8">
        <v>0.53412863125568588</v>
      </c>
      <c r="I8">
        <v>0.38130101667283756</v>
      </c>
      <c r="J8" t="s">
        <v>31</v>
      </c>
      <c r="K8">
        <v>38.441568018995383</v>
      </c>
      <c r="L8" t="s">
        <v>31</v>
      </c>
      <c r="M8">
        <v>2.6048630066522194E-3</v>
      </c>
      <c r="N8" t="s">
        <v>31</v>
      </c>
      <c r="O8">
        <v>2.1249915665158214E-3</v>
      </c>
      <c r="P8" t="s">
        <v>31</v>
      </c>
      <c r="Q8">
        <v>1.4994487503313377E-3</v>
      </c>
      <c r="R8">
        <v>3.0246287731624483E-3</v>
      </c>
      <c r="S8">
        <v>1.7134262457658958E-3</v>
      </c>
      <c r="T8" t="s">
        <v>31</v>
      </c>
      <c r="U8">
        <v>2.1417210777243064E-2</v>
      </c>
      <c r="V8" t="s">
        <v>31</v>
      </c>
      <c r="W8">
        <v>1.3376696712729607E-2</v>
      </c>
      <c r="X8">
        <v>3.6685204051394894E-3</v>
      </c>
    </row>
    <row r="9" spans="1:24" x14ac:dyDescent="0.25">
      <c r="A9">
        <v>700</v>
      </c>
      <c r="B9">
        <v>38.936898910655415</v>
      </c>
      <c r="C9">
        <v>3.9051685649130974</v>
      </c>
      <c r="D9">
        <v>0.31789829578388867</v>
      </c>
      <c r="E9">
        <v>3.9992359492829338E-2</v>
      </c>
      <c r="F9" t="s">
        <v>31</v>
      </c>
      <c r="G9">
        <v>17.579516696110247</v>
      </c>
      <c r="H9">
        <v>0.66665740469243517</v>
      </c>
      <c r="I9">
        <v>0.57825422051940223</v>
      </c>
      <c r="J9">
        <v>1.6236620314670654E-2</v>
      </c>
      <c r="K9">
        <v>37.911221312832311</v>
      </c>
      <c r="L9" t="s">
        <v>31</v>
      </c>
      <c r="M9">
        <v>1.5552495430594772E-3</v>
      </c>
      <c r="N9" t="s">
        <v>31</v>
      </c>
      <c r="O9">
        <v>4.5195022842915867E-3</v>
      </c>
      <c r="P9" t="s">
        <v>31</v>
      </c>
      <c r="Q9">
        <v>8.393592964570666E-4</v>
      </c>
      <c r="R9">
        <v>4.6257725283046971E-3</v>
      </c>
      <c r="S9">
        <v>8.9909661032834868E-4</v>
      </c>
      <c r="T9" t="s">
        <v>31</v>
      </c>
      <c r="U9">
        <v>2.1167239714925623E-2</v>
      </c>
      <c r="V9" t="s">
        <v>31</v>
      </c>
      <c r="W9">
        <v>1.2939121039664265E-2</v>
      </c>
      <c r="X9">
        <v>1.6102736686688986E-3</v>
      </c>
    </row>
    <row r="10" spans="1:24" x14ac:dyDescent="0.25">
      <c r="A10">
        <v>800</v>
      </c>
      <c r="B10">
        <v>39.086176885204807</v>
      </c>
      <c r="C10">
        <v>3.5821196003607803</v>
      </c>
      <c r="D10">
        <v>0.36915224782380252</v>
      </c>
      <c r="E10">
        <v>6.8751940389101387E-2</v>
      </c>
      <c r="F10">
        <v>6.0256865881277589E-3</v>
      </c>
      <c r="G10">
        <v>17.568243156147624</v>
      </c>
      <c r="H10">
        <v>0.81091440679753657</v>
      </c>
      <c r="I10">
        <v>0.54756688415632548</v>
      </c>
      <c r="J10">
        <v>6.684957098624965E-3</v>
      </c>
      <c r="K10">
        <v>37.886909286745905</v>
      </c>
      <c r="L10" t="s">
        <v>31</v>
      </c>
      <c r="M10">
        <v>1.2198245395268414E-3</v>
      </c>
      <c r="N10" t="s">
        <v>31</v>
      </c>
      <c r="O10">
        <v>8.6937844306764402E-3</v>
      </c>
      <c r="P10" t="s">
        <v>31</v>
      </c>
      <c r="Q10">
        <v>2.3354128316054225E-4</v>
      </c>
      <c r="R10">
        <v>1.3360558967825481E-2</v>
      </c>
      <c r="S10">
        <v>1.2799638887815864E-3</v>
      </c>
      <c r="T10" t="s">
        <v>31</v>
      </c>
      <c r="U10">
        <v>2.7041418065998687E-2</v>
      </c>
      <c r="V10" t="s">
        <v>31</v>
      </c>
      <c r="W10">
        <v>1.2153457712768682E-2</v>
      </c>
      <c r="X10">
        <v>3.4723997986161686E-3</v>
      </c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 t="s">
        <v>24</v>
      </c>
      <c r="C13" s="2" t="s">
        <v>24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24</v>
      </c>
      <c r="I13" s="2" t="s">
        <v>24</v>
      </c>
      <c r="J13" s="2" t="s">
        <v>24</v>
      </c>
      <c r="K13" s="2" t="s">
        <v>24</v>
      </c>
      <c r="L13" s="2" t="s">
        <v>24</v>
      </c>
      <c r="M13" s="2" t="s">
        <v>24</v>
      </c>
      <c r="N13" s="2" t="s">
        <v>24</v>
      </c>
      <c r="O13" s="2" t="s">
        <v>24</v>
      </c>
      <c r="P13" s="2" t="s">
        <v>24</v>
      </c>
      <c r="Q13" s="2" t="s">
        <v>24</v>
      </c>
      <c r="R13" s="2" t="s">
        <v>24</v>
      </c>
      <c r="S13" s="2" t="s">
        <v>24</v>
      </c>
      <c r="T13" s="2" t="s">
        <v>24</v>
      </c>
      <c r="U13" s="2" t="s">
        <v>24</v>
      </c>
      <c r="V13" s="2" t="s">
        <v>24</v>
      </c>
      <c r="W13" s="2" t="s">
        <v>24</v>
      </c>
      <c r="X13" s="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topLeftCell="A13" workbookViewId="0">
      <selection activeCell="D35" sqref="D35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31</v>
      </c>
      <c r="B2">
        <v>38.992536861599532</v>
      </c>
      <c r="C2">
        <v>4.6522951924592295</v>
      </c>
      <c r="D2">
        <v>0.31977321383055157</v>
      </c>
      <c r="E2">
        <v>4.9926987074402344E-2</v>
      </c>
      <c r="F2">
        <v>9.160180407116119E-3</v>
      </c>
      <c r="G2">
        <v>17.213362477599947</v>
      </c>
      <c r="H2">
        <v>1.0190440816691215</v>
      </c>
      <c r="I2">
        <v>0.54121941142405527</v>
      </c>
      <c r="J2">
        <v>9.8791547620644404E-3</v>
      </c>
      <c r="K2">
        <v>37.121589046341015</v>
      </c>
      <c r="L2" t="s">
        <v>31</v>
      </c>
      <c r="M2">
        <v>1.3609670001365674E-3</v>
      </c>
      <c r="N2" t="s">
        <v>31</v>
      </c>
      <c r="O2">
        <v>9.2411900903940948E-3</v>
      </c>
      <c r="P2">
        <v>5.203082631053624E-4</v>
      </c>
      <c r="Q2">
        <v>7.3188263537728767E-4</v>
      </c>
      <c r="R2">
        <v>1.2931907294272516E-2</v>
      </c>
      <c r="S2">
        <v>1.0885646054616051E-3</v>
      </c>
      <c r="T2" t="s">
        <v>31</v>
      </c>
      <c r="U2">
        <v>2.6469774819992908E-2</v>
      </c>
      <c r="V2" t="s">
        <v>31</v>
      </c>
      <c r="W2">
        <v>1.60988831556486E-2</v>
      </c>
      <c r="X2">
        <v>2.7699149685773217E-3</v>
      </c>
    </row>
    <row r="3" spans="1:24" x14ac:dyDescent="0.25">
      <c r="A3">
        <v>100</v>
      </c>
      <c r="B3">
        <v>39.956849037174479</v>
      </c>
      <c r="C3">
        <v>2.5378622036395946</v>
      </c>
      <c r="D3">
        <v>0.1980862520974957</v>
      </c>
      <c r="E3">
        <v>5.7719626509139435E-2</v>
      </c>
      <c r="F3">
        <v>4.2932795326871304E-2</v>
      </c>
      <c r="G3">
        <v>17.223368190752261</v>
      </c>
      <c r="H3">
        <v>2.1623882290844092</v>
      </c>
      <c r="I3">
        <v>0.58474947963119162</v>
      </c>
      <c r="J3">
        <v>2.6663758663847442E-2</v>
      </c>
      <c r="K3">
        <v>37.143166932256044</v>
      </c>
      <c r="L3">
        <v>1.032358163251114E-4</v>
      </c>
      <c r="M3">
        <v>1.9569883859213923E-3</v>
      </c>
      <c r="N3" t="s">
        <v>31</v>
      </c>
      <c r="O3">
        <v>8.890528201792508E-3</v>
      </c>
      <c r="P3" t="s">
        <v>31</v>
      </c>
      <c r="Q3">
        <v>8.9578253422432496E-4</v>
      </c>
      <c r="R3">
        <v>1.1687239790192027E-2</v>
      </c>
      <c r="S3">
        <v>1.5224015609675873E-3</v>
      </c>
      <c r="T3" t="s">
        <v>31</v>
      </c>
      <c r="U3">
        <v>2.6357625467391038E-2</v>
      </c>
      <c r="V3" t="s">
        <v>31</v>
      </c>
      <c r="W3">
        <v>1.1037095548504086E-2</v>
      </c>
      <c r="X3">
        <v>3.7625975593793947E-3</v>
      </c>
    </row>
    <row r="4" spans="1:24" x14ac:dyDescent="0.25">
      <c r="A4">
        <v>200</v>
      </c>
      <c r="B4">
        <v>40.356642353024505</v>
      </c>
      <c r="C4" t="s">
        <v>31</v>
      </c>
      <c r="D4">
        <v>0.22235605726624538</v>
      </c>
      <c r="E4">
        <v>6.9744198828649448E-2</v>
      </c>
      <c r="F4">
        <v>1.1633731835497672E-2</v>
      </c>
      <c r="G4">
        <v>18.008076991339099</v>
      </c>
      <c r="H4">
        <v>1.9466629039725365</v>
      </c>
      <c r="I4">
        <v>0.48648652840037732</v>
      </c>
      <c r="J4" t="s">
        <v>31</v>
      </c>
      <c r="K4">
        <v>38.835435810828642</v>
      </c>
      <c r="L4" t="s">
        <v>31</v>
      </c>
      <c r="M4">
        <v>7.8345706148037514E-4</v>
      </c>
      <c r="N4" t="s">
        <v>31</v>
      </c>
      <c r="O4">
        <v>9.0148864191032727E-3</v>
      </c>
      <c r="P4">
        <v>7.5655460006704135E-5</v>
      </c>
      <c r="Q4">
        <v>6.8138284286209155E-4</v>
      </c>
      <c r="R4">
        <v>9.1683322747005431E-3</v>
      </c>
      <c r="S4">
        <v>1.2891155427297229E-3</v>
      </c>
      <c r="T4" t="s">
        <v>31</v>
      </c>
      <c r="U4">
        <v>2.5214455167184398E-2</v>
      </c>
      <c r="V4" t="s">
        <v>31</v>
      </c>
      <c r="W4">
        <v>1.4177694668550449E-2</v>
      </c>
      <c r="X4">
        <v>2.5564450678271025E-3</v>
      </c>
    </row>
    <row r="5" spans="1:24" x14ac:dyDescent="0.25">
      <c r="A5">
        <v>300</v>
      </c>
      <c r="B5">
        <v>39.056158676309032</v>
      </c>
      <c r="C5">
        <v>3.8872772468092451</v>
      </c>
      <c r="D5">
        <v>0.25309151641274075</v>
      </c>
      <c r="E5">
        <v>4.8131360277761472E-2</v>
      </c>
      <c r="F5" t="s">
        <v>31</v>
      </c>
      <c r="G5">
        <v>17.571592450031584</v>
      </c>
      <c r="H5">
        <v>0.78665335798779656</v>
      </c>
      <c r="I5">
        <v>0.45294406202420467</v>
      </c>
      <c r="J5" t="s">
        <v>31</v>
      </c>
      <c r="K5">
        <v>37.894132228301793</v>
      </c>
      <c r="L5" t="s">
        <v>31</v>
      </c>
      <c r="M5">
        <v>2.5215965417435702E-3</v>
      </c>
      <c r="N5" t="s">
        <v>31</v>
      </c>
      <c r="O5">
        <v>4.9272418892591582E-3</v>
      </c>
      <c r="P5">
        <v>4.0430528606301916E-5</v>
      </c>
      <c r="Q5" t="s">
        <v>31</v>
      </c>
      <c r="R5">
        <v>7.2774123065307977E-3</v>
      </c>
      <c r="S5">
        <v>1.6461591971729482E-3</v>
      </c>
      <c r="T5" t="s">
        <v>31</v>
      </c>
      <c r="U5">
        <v>2.2458700489539071E-2</v>
      </c>
      <c r="V5" t="s">
        <v>31</v>
      </c>
      <c r="W5">
        <v>8.9478205432188367E-3</v>
      </c>
      <c r="X5">
        <v>2.1997403497949256E-3</v>
      </c>
    </row>
    <row r="6" spans="1:24" x14ac:dyDescent="0.25">
      <c r="A6">
        <v>400</v>
      </c>
      <c r="B6">
        <v>39.770009443135272</v>
      </c>
      <c r="C6">
        <v>0.2477849248043637</v>
      </c>
      <c r="D6">
        <v>0.15713496530051779</v>
      </c>
      <c r="E6">
        <v>4.001998360771318E-2</v>
      </c>
      <c r="F6" t="s">
        <v>31</v>
      </c>
      <c r="G6">
        <v>18.473928007342284</v>
      </c>
      <c r="H6">
        <v>0.90998133269798531</v>
      </c>
      <c r="I6">
        <v>0.49976121621411357</v>
      </c>
      <c r="J6" t="s">
        <v>31</v>
      </c>
      <c r="K6">
        <v>39.840069855768704</v>
      </c>
      <c r="L6" t="s">
        <v>31</v>
      </c>
      <c r="M6">
        <v>1.6903535618651669E-3</v>
      </c>
      <c r="N6" t="s">
        <v>31</v>
      </c>
      <c r="O6">
        <v>6.4399509581265077E-3</v>
      </c>
      <c r="P6">
        <v>9.2076758409682051E-5</v>
      </c>
      <c r="Q6">
        <v>1.8493988973560672E-3</v>
      </c>
      <c r="R6">
        <v>6.9934210222506732E-3</v>
      </c>
      <c r="S6">
        <v>1.0473353431308956E-3</v>
      </c>
      <c r="T6" t="s">
        <v>31</v>
      </c>
      <c r="U6">
        <v>2.4467882489316254E-2</v>
      </c>
      <c r="V6" t="s">
        <v>31</v>
      </c>
      <c r="W6">
        <v>1.554997530231089E-2</v>
      </c>
      <c r="X6">
        <v>3.1798767962903656E-3</v>
      </c>
    </row>
    <row r="7" spans="1:24" x14ac:dyDescent="0.25">
      <c r="A7">
        <v>500</v>
      </c>
      <c r="B7">
        <v>39.509617660838565</v>
      </c>
      <c r="C7">
        <v>0.26696426309672139</v>
      </c>
      <c r="D7">
        <v>0.26306192128626599</v>
      </c>
      <c r="E7">
        <v>2.7677692329049333E-2</v>
      </c>
      <c r="F7" t="s">
        <v>31</v>
      </c>
      <c r="G7">
        <v>18.711370617941903</v>
      </c>
      <c r="H7">
        <v>0.36589855268392713</v>
      </c>
      <c r="I7">
        <v>0.44921099232697864</v>
      </c>
      <c r="J7" t="s">
        <v>31</v>
      </c>
      <c r="K7">
        <v>40.352128265288606</v>
      </c>
      <c r="L7" t="s">
        <v>31</v>
      </c>
      <c r="M7">
        <v>2.1288839952722169E-3</v>
      </c>
      <c r="N7" t="s">
        <v>31</v>
      </c>
      <c r="O7">
        <v>3.0271726211802421E-3</v>
      </c>
      <c r="P7" t="s">
        <v>31</v>
      </c>
      <c r="Q7">
        <v>1.2969056187805616E-3</v>
      </c>
      <c r="R7">
        <v>6.1576337760840165E-3</v>
      </c>
      <c r="S7">
        <v>1.252217230435106E-3</v>
      </c>
      <c r="T7" t="s">
        <v>31</v>
      </c>
      <c r="U7">
        <v>2.35582118246105E-2</v>
      </c>
      <c r="V7" t="s">
        <v>31</v>
      </c>
      <c r="W7">
        <v>1.2737212294449324E-2</v>
      </c>
      <c r="X7">
        <v>3.911796847179491E-3</v>
      </c>
    </row>
    <row r="8" spans="1:24" x14ac:dyDescent="0.25">
      <c r="A8">
        <v>600</v>
      </c>
      <c r="B8">
        <v>39.302063567966179</v>
      </c>
      <c r="C8">
        <v>0.99965709345812626</v>
      </c>
      <c r="D8">
        <v>0.27229306408096288</v>
      </c>
      <c r="E8">
        <v>4.0603067671867901E-2</v>
      </c>
      <c r="F8" t="s">
        <v>31</v>
      </c>
      <c r="G8">
        <v>18.568732298498858</v>
      </c>
      <c r="H8">
        <v>0.24157528990390664</v>
      </c>
      <c r="I8">
        <v>0.47706353400517215</v>
      </c>
      <c r="J8" t="s">
        <v>31</v>
      </c>
      <c r="K8">
        <v>40.044520667788944</v>
      </c>
      <c r="L8" t="s">
        <v>31</v>
      </c>
      <c r="M8">
        <v>1.8495436770001763E-3</v>
      </c>
      <c r="N8" t="s">
        <v>31</v>
      </c>
      <c r="O8">
        <v>5.8234135040608516E-3</v>
      </c>
      <c r="P8" t="s">
        <v>31</v>
      </c>
      <c r="Q8">
        <v>8.2879503513162418E-4</v>
      </c>
      <c r="R8">
        <v>5.7664971080030542E-3</v>
      </c>
      <c r="S8">
        <v>8.2582342980155844E-4</v>
      </c>
      <c r="T8" t="s">
        <v>31</v>
      </c>
      <c r="U8">
        <v>2.2642721530557939E-2</v>
      </c>
      <c r="V8" t="s">
        <v>31</v>
      </c>
      <c r="W8">
        <v>1.3889705941684032E-2</v>
      </c>
      <c r="X8">
        <v>1.8649163997541513E-3</v>
      </c>
    </row>
    <row r="9" spans="1:24" x14ac:dyDescent="0.25">
      <c r="A9">
        <v>700</v>
      </c>
      <c r="B9">
        <v>39.296154050080382</v>
      </c>
      <c r="C9">
        <v>1.5036040045544541</v>
      </c>
      <c r="D9">
        <v>0.18058487218168268</v>
      </c>
      <c r="E9">
        <v>3.7299344391810582E-2</v>
      </c>
      <c r="F9">
        <v>2.3340837782641184E-2</v>
      </c>
      <c r="G9">
        <v>18.387730839342371</v>
      </c>
      <c r="H9">
        <v>0.39420390105738806</v>
      </c>
      <c r="I9">
        <v>0.46670288906133628</v>
      </c>
      <c r="J9" t="s">
        <v>31</v>
      </c>
      <c r="K9">
        <v>39.65418079129249</v>
      </c>
      <c r="L9" t="s">
        <v>31</v>
      </c>
      <c r="M9">
        <v>2.8891542356406191E-3</v>
      </c>
      <c r="N9" t="s">
        <v>31</v>
      </c>
      <c r="O9">
        <v>7.1802152921839118E-3</v>
      </c>
      <c r="P9">
        <v>2.8790475297948593E-5</v>
      </c>
      <c r="Q9">
        <v>6.2782125403695692E-4</v>
      </c>
      <c r="R9">
        <v>6.5304874427220541E-3</v>
      </c>
      <c r="S9">
        <v>1.2333755135893216E-3</v>
      </c>
      <c r="T9" t="s">
        <v>31</v>
      </c>
      <c r="U9">
        <v>2.1527904618741253E-2</v>
      </c>
      <c r="V9" t="s">
        <v>31</v>
      </c>
      <c r="W9">
        <v>1.1541486031673504E-2</v>
      </c>
      <c r="X9">
        <v>4.6392353915524149E-3</v>
      </c>
    </row>
    <row r="10" spans="1:24" x14ac:dyDescent="0.25">
      <c r="A10">
        <v>800</v>
      </c>
      <c r="B10">
        <v>39.227557989282353</v>
      </c>
      <c r="C10">
        <v>2.1442446269227</v>
      </c>
      <c r="D10">
        <v>0.20164671139521737</v>
      </c>
      <c r="E10">
        <v>3.7233340872541425E-2</v>
      </c>
      <c r="F10" t="s">
        <v>31</v>
      </c>
      <c r="G10">
        <v>18.163417667468167</v>
      </c>
      <c r="H10">
        <v>0.51853090083433373</v>
      </c>
      <c r="I10">
        <v>0.48669032428277847</v>
      </c>
      <c r="J10" t="s">
        <v>31</v>
      </c>
      <c r="K10">
        <v>39.170436758432473</v>
      </c>
      <c r="L10" t="s">
        <v>31</v>
      </c>
      <c r="M10">
        <v>2.3386289100793909E-3</v>
      </c>
      <c r="N10" t="s">
        <v>31</v>
      </c>
      <c r="O10">
        <v>5.714124297608706E-3</v>
      </c>
      <c r="P10" t="s">
        <v>31</v>
      </c>
      <c r="Q10">
        <v>4.5508482183561884E-4</v>
      </c>
      <c r="R10">
        <v>5.9533571311140288E-3</v>
      </c>
      <c r="S10">
        <v>1.1477218600847089E-3</v>
      </c>
      <c r="T10" t="s">
        <v>31</v>
      </c>
      <c r="U10">
        <v>2.141173666337616E-2</v>
      </c>
      <c r="V10" t="s">
        <v>31</v>
      </c>
      <c r="W10">
        <v>1.0190091192013992E-2</v>
      </c>
      <c r="X10">
        <v>3.0309356333082858E-3</v>
      </c>
    </row>
    <row r="11" spans="1:24" x14ac:dyDescent="0.25">
      <c r="A11">
        <v>900</v>
      </c>
      <c r="B11">
        <v>39.626839977061543</v>
      </c>
      <c r="C11">
        <v>2.0928920156824264</v>
      </c>
      <c r="D11">
        <v>0.1207412739448086</v>
      </c>
      <c r="E11">
        <v>4.9388617135613905E-2</v>
      </c>
      <c r="F11" t="s">
        <v>31</v>
      </c>
      <c r="G11">
        <v>17.805573455911933</v>
      </c>
      <c r="H11">
        <v>1.3164274323186085</v>
      </c>
      <c r="I11">
        <v>0.51692452665512645</v>
      </c>
      <c r="J11">
        <v>2.3006119618081581E-2</v>
      </c>
      <c r="K11">
        <v>38.398725491601894</v>
      </c>
      <c r="L11" t="s">
        <v>31</v>
      </c>
      <c r="M11">
        <v>2.5848624981357079E-3</v>
      </c>
      <c r="N11" t="s">
        <v>31</v>
      </c>
      <c r="O11">
        <v>5.6392806153151712E-3</v>
      </c>
      <c r="P11" t="s">
        <v>31</v>
      </c>
      <c r="Q11">
        <v>5.3840328384010974E-4</v>
      </c>
      <c r="R11">
        <v>5.8257540176101866E-3</v>
      </c>
      <c r="S11">
        <v>1.0937904060280919E-3</v>
      </c>
      <c r="T11" t="s">
        <v>31</v>
      </c>
      <c r="U11">
        <v>2.0588652878206548E-2</v>
      </c>
      <c r="V11" t="s">
        <v>31</v>
      </c>
      <c r="W11">
        <v>1.0683385036093732E-2</v>
      </c>
      <c r="X11">
        <v>2.5269613347439191E-3</v>
      </c>
    </row>
    <row r="12" spans="1:24" x14ac:dyDescent="0.25">
      <c r="A12">
        <v>1000</v>
      </c>
      <c r="B12">
        <v>39.55671344129216</v>
      </c>
      <c r="C12">
        <v>2.9047406408463425</v>
      </c>
      <c r="D12">
        <v>0.14677907985045063</v>
      </c>
      <c r="E12">
        <v>3.9724303222562138E-2</v>
      </c>
      <c r="F12" t="s">
        <v>31</v>
      </c>
      <c r="G12">
        <v>17.574109018012944</v>
      </c>
      <c r="H12">
        <v>1.3975413381738158</v>
      </c>
      <c r="I12">
        <v>0.42931750316233103</v>
      </c>
      <c r="J12">
        <v>7.7652188527540221E-4</v>
      </c>
      <c r="K12">
        <v>37.899559349384774</v>
      </c>
      <c r="L12" t="s">
        <v>31</v>
      </c>
      <c r="M12">
        <v>1.7425642632591921E-3</v>
      </c>
      <c r="N12" t="s">
        <v>31</v>
      </c>
      <c r="O12">
        <v>6.6340623992216614E-3</v>
      </c>
      <c r="P12">
        <v>1.3941502006672833E-4</v>
      </c>
      <c r="Q12">
        <v>1.1173268232875062E-3</v>
      </c>
      <c r="R12">
        <v>5.9803593842900704E-3</v>
      </c>
      <c r="S12">
        <v>1.2159988297079484E-3</v>
      </c>
      <c r="T12" t="s">
        <v>31</v>
      </c>
      <c r="U12">
        <v>2.0370322949446906E-2</v>
      </c>
      <c r="V12" t="s">
        <v>31</v>
      </c>
      <c r="W12">
        <v>1.1561229916482223E-2</v>
      </c>
      <c r="X12">
        <v>1.9775245835967361E-3</v>
      </c>
    </row>
    <row r="13" spans="1:24" x14ac:dyDescent="0.25">
      <c r="A13">
        <v>1100</v>
      </c>
      <c r="B13">
        <v>39.925220397385289</v>
      </c>
      <c r="C13" t="s">
        <v>31</v>
      </c>
      <c r="D13">
        <v>0.1821403381766058</v>
      </c>
      <c r="E13">
        <v>3.1349934095119901E-2</v>
      </c>
      <c r="F13" t="s">
        <v>31</v>
      </c>
      <c r="G13">
        <v>18.452537047755232</v>
      </c>
      <c r="H13">
        <v>1.0951217896566163</v>
      </c>
      <c r="I13">
        <v>0.46377811288491022</v>
      </c>
      <c r="J13" t="s">
        <v>31</v>
      </c>
      <c r="K13">
        <v>39.793939042446738</v>
      </c>
      <c r="L13">
        <v>1.7329027224802375E-3</v>
      </c>
      <c r="M13">
        <v>1.5036108559149477E-3</v>
      </c>
      <c r="N13" t="s">
        <v>31</v>
      </c>
      <c r="O13">
        <v>5.2633773590872778E-3</v>
      </c>
      <c r="P13" t="s">
        <v>31</v>
      </c>
      <c r="Q13">
        <v>8.9653640722225643E-4</v>
      </c>
      <c r="R13">
        <v>8.023875796177202E-3</v>
      </c>
      <c r="S13">
        <v>1.3731578860749286E-3</v>
      </c>
      <c r="T13" t="s">
        <v>31</v>
      </c>
      <c r="U13">
        <v>2.2265374323052502E-2</v>
      </c>
      <c r="V13" t="s">
        <v>31</v>
      </c>
      <c r="W13">
        <v>9.9624263399982291E-3</v>
      </c>
      <c r="X13">
        <v>4.8920759094661882E-3</v>
      </c>
    </row>
    <row r="14" spans="1:24" x14ac:dyDescent="0.25">
      <c r="A14">
        <v>1200</v>
      </c>
      <c r="B14">
        <v>39.389057611417016</v>
      </c>
      <c r="C14">
        <v>1.9277777864705994</v>
      </c>
      <c r="D14">
        <v>0.14159676232576196</v>
      </c>
      <c r="E14">
        <v>5.4208628388171969E-2</v>
      </c>
      <c r="F14" t="s">
        <v>31</v>
      </c>
      <c r="G14">
        <v>18.137661845881897</v>
      </c>
      <c r="H14">
        <v>0.72841532414546162</v>
      </c>
      <c r="I14">
        <v>0.45210533467233205</v>
      </c>
      <c r="J14" t="s">
        <v>31</v>
      </c>
      <c r="K14">
        <v>39.114892873516283</v>
      </c>
      <c r="L14" t="s">
        <v>31</v>
      </c>
      <c r="M14">
        <v>1.5817998807034085E-3</v>
      </c>
      <c r="N14" t="s">
        <v>31</v>
      </c>
      <c r="O14">
        <v>5.3943914009027772E-3</v>
      </c>
      <c r="P14" t="s">
        <v>31</v>
      </c>
      <c r="Q14">
        <v>2.1696284601417618E-3</v>
      </c>
      <c r="R14">
        <v>7.3980372126336395E-3</v>
      </c>
      <c r="S14">
        <v>1.4733377845212933E-3</v>
      </c>
      <c r="T14" t="s">
        <v>31</v>
      </c>
      <c r="U14">
        <v>2.1969184167184332E-2</v>
      </c>
      <c r="V14" t="s">
        <v>31</v>
      </c>
      <c r="W14">
        <v>1.1012658044599445E-2</v>
      </c>
      <c r="X14">
        <v>3.2847962318087276E-3</v>
      </c>
    </row>
    <row r="15" spans="1:24" x14ac:dyDescent="0.25">
      <c r="A15">
        <v>1300</v>
      </c>
      <c r="B15">
        <v>39.360187463940655</v>
      </c>
      <c r="C15">
        <v>2.0472947186803827</v>
      </c>
      <c r="D15">
        <v>0.23674415756043346</v>
      </c>
      <c r="E15">
        <v>4.1882353513302877E-2</v>
      </c>
      <c r="F15" t="s">
        <v>31</v>
      </c>
      <c r="G15">
        <v>18.08135160303198</v>
      </c>
      <c r="H15">
        <v>0.72399343836323904</v>
      </c>
      <c r="I15">
        <v>0.45698183919502366</v>
      </c>
      <c r="J15" t="s">
        <v>31</v>
      </c>
      <c r="K15">
        <v>38.993456652272783</v>
      </c>
      <c r="L15" t="s">
        <v>31</v>
      </c>
      <c r="M15">
        <v>2.2514806027926423E-3</v>
      </c>
      <c r="N15" t="s">
        <v>31</v>
      </c>
      <c r="O15">
        <v>4.9694769307065531E-3</v>
      </c>
      <c r="P15">
        <v>3.0236322741782702E-4</v>
      </c>
      <c r="Q15">
        <v>1.9512964624800802E-3</v>
      </c>
      <c r="R15">
        <v>8.7901005602114019E-3</v>
      </c>
      <c r="S15">
        <v>1.0320133374022876E-3</v>
      </c>
      <c r="T15" t="s">
        <v>31</v>
      </c>
      <c r="U15">
        <v>2.1904680763274322E-2</v>
      </c>
      <c r="V15" t="s">
        <v>31</v>
      </c>
      <c r="W15">
        <v>1.4357258946707092E-2</v>
      </c>
      <c r="X15">
        <v>2.5491026112088163E-3</v>
      </c>
    </row>
    <row r="16" spans="1:24" x14ac:dyDescent="0.25">
      <c r="A16">
        <v>1400</v>
      </c>
      <c r="B16">
        <v>39.576238933128828</v>
      </c>
      <c r="C16">
        <v>0.10440097513610753</v>
      </c>
      <c r="D16">
        <v>7.8062511891118708E-2</v>
      </c>
      <c r="E16">
        <v>2.5775864726174352E-2</v>
      </c>
      <c r="F16" t="s">
        <v>31</v>
      </c>
      <c r="G16">
        <v>18.754468057909552</v>
      </c>
      <c r="H16">
        <v>0.46907665154083711</v>
      </c>
      <c r="I16">
        <v>0.47988630950324129</v>
      </c>
      <c r="J16" t="s">
        <v>31</v>
      </c>
      <c r="K16">
        <v>40.445070330356387</v>
      </c>
      <c r="L16" t="s">
        <v>31</v>
      </c>
      <c r="M16">
        <v>2.3965652180234043E-3</v>
      </c>
      <c r="N16" t="s">
        <v>31</v>
      </c>
      <c r="O16">
        <v>4.6204359477377841E-3</v>
      </c>
      <c r="P16">
        <v>2.6601236135791911E-4</v>
      </c>
      <c r="Q16">
        <v>5.9994941934948722E-4</v>
      </c>
      <c r="R16">
        <v>1.3791933743560039E-2</v>
      </c>
      <c r="S16">
        <v>9.6661664143694306E-4</v>
      </c>
      <c r="T16" t="s">
        <v>31</v>
      </c>
      <c r="U16">
        <v>2.3711635146257966E-2</v>
      </c>
      <c r="V16" t="s">
        <v>31</v>
      </c>
      <c r="W16">
        <v>1.6981552791625897E-2</v>
      </c>
      <c r="X16">
        <v>3.6856645384431459E-3</v>
      </c>
    </row>
    <row r="17" spans="1:24" x14ac:dyDescent="0.25">
      <c r="A17">
        <v>1500</v>
      </c>
      <c r="B17">
        <v>39.083592757688585</v>
      </c>
      <c r="C17">
        <v>3.4899210977408472</v>
      </c>
      <c r="D17">
        <v>0.13150956552573345</v>
      </c>
      <c r="E17">
        <v>5.4272637721952385E-2</v>
      </c>
      <c r="F17" t="s">
        <v>31</v>
      </c>
      <c r="G17">
        <v>17.705224508441557</v>
      </c>
      <c r="H17">
        <v>0.75741812242497952</v>
      </c>
      <c r="I17">
        <v>0.50724700460522609</v>
      </c>
      <c r="J17">
        <v>2.4658768550834619E-2</v>
      </c>
      <c r="K17">
        <v>38.18231731486852</v>
      </c>
      <c r="L17" t="s">
        <v>31</v>
      </c>
      <c r="M17">
        <v>9.2469155719327118E-4</v>
      </c>
      <c r="N17" t="s">
        <v>31</v>
      </c>
      <c r="O17">
        <v>5.7854546036068006E-3</v>
      </c>
      <c r="P17" t="s">
        <v>31</v>
      </c>
      <c r="Q17">
        <v>1.5539626521517125E-3</v>
      </c>
      <c r="R17">
        <v>1.9826633367072334E-2</v>
      </c>
      <c r="S17">
        <v>1.3977289668003991E-3</v>
      </c>
      <c r="T17" t="s">
        <v>31</v>
      </c>
      <c r="U17">
        <v>2.1437768117771847E-2</v>
      </c>
      <c r="V17" t="s">
        <v>31</v>
      </c>
      <c r="W17">
        <v>9.9833813824020661E-3</v>
      </c>
      <c r="X17">
        <v>2.9286017847704525E-3</v>
      </c>
    </row>
    <row r="18" spans="1:24" x14ac:dyDescent="0.25">
      <c r="A18">
        <v>1600</v>
      </c>
      <c r="B18">
        <v>39.591208413078164</v>
      </c>
      <c r="C18">
        <v>2.3023342541757441</v>
      </c>
      <c r="D18">
        <v>0.13091432753496995</v>
      </c>
      <c r="E18">
        <v>3.0924563480912513E-2</v>
      </c>
      <c r="F18" t="s">
        <v>31</v>
      </c>
      <c r="G18">
        <v>17.691445662693734</v>
      </c>
      <c r="H18">
        <v>1.3979590597129892</v>
      </c>
      <c r="I18">
        <v>0.56348809999921612</v>
      </c>
      <c r="J18">
        <v>6.359776790707404E-2</v>
      </c>
      <c r="K18">
        <v>38.152602455261672</v>
      </c>
      <c r="L18" t="s">
        <v>31</v>
      </c>
      <c r="M18">
        <v>1.5340464660127888E-3</v>
      </c>
      <c r="N18" t="s">
        <v>31</v>
      </c>
      <c r="O18">
        <v>8.7409914219029189E-3</v>
      </c>
      <c r="P18" t="s">
        <v>31</v>
      </c>
      <c r="Q18">
        <v>1.0335080247599788E-3</v>
      </c>
      <c r="R18">
        <v>2.9657522680331148E-2</v>
      </c>
      <c r="S18">
        <v>1.3361779035101554E-3</v>
      </c>
      <c r="T18" t="s">
        <v>31</v>
      </c>
      <c r="U18">
        <v>2.1483305630631635E-2</v>
      </c>
      <c r="V18" t="s">
        <v>31</v>
      </c>
      <c r="W18">
        <v>7.7944320234219818E-3</v>
      </c>
      <c r="X18">
        <v>3.945412004945666E-3</v>
      </c>
    </row>
    <row r="19" spans="1:24" x14ac:dyDescent="0.25">
      <c r="A19">
        <v>1700</v>
      </c>
      <c r="B19">
        <v>39.529005756343338</v>
      </c>
      <c r="C19">
        <v>2.4918356188212467</v>
      </c>
      <c r="D19">
        <v>0.16510633577482978</v>
      </c>
      <c r="E19">
        <v>6.2506484081254574E-2</v>
      </c>
      <c r="F19" t="s">
        <v>31</v>
      </c>
      <c r="G19">
        <v>17.661077230521009</v>
      </c>
      <c r="H19">
        <v>1.3206229904335163</v>
      </c>
      <c r="I19">
        <v>0.54827409811101457</v>
      </c>
      <c r="J19">
        <v>4.2046617520541188E-2</v>
      </c>
      <c r="K19">
        <v>38.087111214920654</v>
      </c>
      <c r="L19">
        <v>6.1077512874590731E-4</v>
      </c>
      <c r="M19">
        <v>1.3382170271966987E-3</v>
      </c>
      <c r="N19" t="s">
        <v>31</v>
      </c>
      <c r="O19">
        <v>1.0869335418934483E-2</v>
      </c>
      <c r="P19" t="s">
        <v>31</v>
      </c>
      <c r="Q19">
        <v>9.5336645820041325E-4</v>
      </c>
      <c r="R19">
        <v>3.9221920370622339E-2</v>
      </c>
      <c r="S19">
        <v>1.3930520158462508E-3</v>
      </c>
      <c r="T19" t="s">
        <v>31</v>
      </c>
      <c r="U19">
        <v>2.2134299735379556E-2</v>
      </c>
      <c r="V19" t="s">
        <v>31</v>
      </c>
      <c r="W19">
        <v>1.20296017719192E-2</v>
      </c>
      <c r="X19">
        <v>3.863085545741678E-3</v>
      </c>
    </row>
    <row r="20" spans="1:24" x14ac:dyDescent="0.25">
      <c r="A20">
        <v>1800</v>
      </c>
      <c r="B20">
        <v>41.661271708693889</v>
      </c>
      <c r="C20" t="s">
        <v>31</v>
      </c>
      <c r="D20">
        <v>0.72705294922901409</v>
      </c>
      <c r="E20">
        <v>0.12713702461500653</v>
      </c>
      <c r="F20">
        <v>0.14204084153389188</v>
      </c>
      <c r="G20">
        <v>16.569219147790619</v>
      </c>
      <c r="H20">
        <v>4.4287214705430547</v>
      </c>
      <c r="I20">
        <v>0.446991265825883</v>
      </c>
      <c r="J20">
        <v>4.0324674031938575E-2</v>
      </c>
      <c r="K20">
        <v>35.732457549967762</v>
      </c>
      <c r="L20">
        <v>2.5313883441631865E-3</v>
      </c>
      <c r="M20">
        <v>1.5103807385516424E-4</v>
      </c>
      <c r="N20">
        <v>2.0113150437121338E-3</v>
      </c>
      <c r="O20">
        <v>3.6644116778873428E-2</v>
      </c>
      <c r="P20" t="s">
        <v>31</v>
      </c>
      <c r="Q20">
        <v>9.4190826472596368E-4</v>
      </c>
      <c r="R20">
        <v>4.4088096717963654E-2</v>
      </c>
      <c r="S20">
        <v>1.4735414153159805E-3</v>
      </c>
      <c r="T20" t="s">
        <v>31</v>
      </c>
      <c r="U20">
        <v>2.2932465895765065E-2</v>
      </c>
      <c r="V20" t="s">
        <v>31</v>
      </c>
      <c r="W20">
        <v>9.3882278178933909E-3</v>
      </c>
      <c r="X20">
        <v>4.6212694166950091E-3</v>
      </c>
    </row>
    <row r="21" spans="1:24" x14ac:dyDescent="0.25">
      <c r="A21">
        <v>1900</v>
      </c>
      <c r="B21" t="s">
        <v>24</v>
      </c>
      <c r="C21" t="s">
        <v>24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  <c r="Q21" t="s">
        <v>24</v>
      </c>
      <c r="R21" t="s">
        <v>24</v>
      </c>
      <c r="S21" t="s">
        <v>24</v>
      </c>
      <c r="T21" t="s">
        <v>24</v>
      </c>
      <c r="U21" t="s">
        <v>24</v>
      </c>
      <c r="V21" t="s">
        <v>24</v>
      </c>
      <c r="W21" t="s">
        <v>24</v>
      </c>
      <c r="X21" t="s">
        <v>24</v>
      </c>
    </row>
    <row r="22" spans="1:24" x14ac:dyDescent="0.25">
      <c r="A22">
        <v>2000</v>
      </c>
      <c r="B22">
        <v>41.049389259956662</v>
      </c>
      <c r="C22" t="s">
        <v>31</v>
      </c>
      <c r="D22">
        <v>0.21279483763934348</v>
      </c>
      <c r="E22">
        <v>0.19209096249939386</v>
      </c>
      <c r="F22">
        <v>0.46566096023822212</v>
      </c>
      <c r="G22">
        <v>17.159209014597572</v>
      </c>
      <c r="H22">
        <v>3.1322669840704429</v>
      </c>
      <c r="I22">
        <v>0.55050107954318794</v>
      </c>
      <c r="J22">
        <v>4.3553990482178576E-2</v>
      </c>
      <c r="K22">
        <v>37.004804042735444</v>
      </c>
      <c r="L22">
        <v>2.9154930648369851E-3</v>
      </c>
      <c r="M22">
        <v>1.5158377687398863E-3</v>
      </c>
      <c r="N22">
        <v>8.1081743438872721E-3</v>
      </c>
      <c r="O22">
        <v>5.4367431087097635E-2</v>
      </c>
      <c r="P22" t="s">
        <v>31</v>
      </c>
      <c r="Q22">
        <v>6.7701827242742918E-4</v>
      </c>
      <c r="R22">
        <v>7.7688612429037379E-2</v>
      </c>
      <c r="S22">
        <v>1.3296768802557471E-3</v>
      </c>
      <c r="T22" t="s">
        <v>31</v>
      </c>
      <c r="U22">
        <v>2.4380103053085037E-2</v>
      </c>
      <c r="V22" t="s">
        <v>31</v>
      </c>
      <c r="W22">
        <v>1.4490980833629265E-2</v>
      </c>
      <c r="X22">
        <v>4.2555405045830025E-3</v>
      </c>
    </row>
    <row r="23" spans="1:24" x14ac:dyDescent="0.25">
      <c r="A23">
        <v>2100</v>
      </c>
      <c r="B23">
        <v>41.764665551578602</v>
      </c>
      <c r="C23" t="s">
        <v>31</v>
      </c>
      <c r="D23">
        <v>0.19300875328505795</v>
      </c>
      <c r="E23">
        <v>0.44707978752176736</v>
      </c>
      <c r="F23">
        <v>1.1925954812936377</v>
      </c>
      <c r="G23">
        <v>16.249952522375995</v>
      </c>
      <c r="H23">
        <v>4.1334632998363663</v>
      </c>
      <c r="I23">
        <v>0.58840440345095735</v>
      </c>
      <c r="J23">
        <v>0.10376756053211461</v>
      </c>
      <c r="K23">
        <v>35.043941027976402</v>
      </c>
      <c r="L23">
        <v>5.0143651927906452E-3</v>
      </c>
      <c r="M23">
        <v>9.3063188666708981E-4</v>
      </c>
      <c r="N23">
        <v>1.2657618007307327E-2</v>
      </c>
      <c r="O23">
        <v>0.13740335823859798</v>
      </c>
      <c r="P23" t="s">
        <v>31</v>
      </c>
      <c r="Q23">
        <v>9.2538256455550866E-4</v>
      </c>
      <c r="R23">
        <v>8.5526401970863128E-2</v>
      </c>
      <c r="S23">
        <v>1.1148453788080829E-3</v>
      </c>
      <c r="T23" t="s">
        <v>31</v>
      </c>
      <c r="U23">
        <v>2.383438068712683E-2</v>
      </c>
      <c r="V23" t="s">
        <v>31</v>
      </c>
      <c r="W23">
        <v>1.2548077962200421E-2</v>
      </c>
      <c r="X23">
        <v>3.1665502601655494E-3</v>
      </c>
    </row>
    <row r="24" spans="1:24" x14ac:dyDescent="0.25">
      <c r="A24">
        <v>2200</v>
      </c>
      <c r="B24" t="s">
        <v>24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  <c r="Q24" t="s">
        <v>24</v>
      </c>
      <c r="R24" t="s">
        <v>24</v>
      </c>
      <c r="S24" t="s">
        <v>24</v>
      </c>
      <c r="T24" t="s">
        <v>24</v>
      </c>
      <c r="U24" t="s">
        <v>24</v>
      </c>
      <c r="V24" t="s">
        <v>24</v>
      </c>
      <c r="W24" t="s">
        <v>24</v>
      </c>
      <c r="X24" t="s">
        <v>24</v>
      </c>
    </row>
    <row r="25" spans="1:24" x14ac:dyDescent="0.25">
      <c r="A25">
        <v>2300</v>
      </c>
      <c r="B25" t="s">
        <v>24</v>
      </c>
      <c r="C25" t="s">
        <v>24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  <c r="S25" t="s">
        <v>24</v>
      </c>
      <c r="T25" t="s">
        <v>24</v>
      </c>
      <c r="U25" t="s">
        <v>24</v>
      </c>
      <c r="V25" t="s">
        <v>24</v>
      </c>
      <c r="W25" t="s">
        <v>24</v>
      </c>
      <c r="X25" t="s">
        <v>24</v>
      </c>
    </row>
    <row r="26" spans="1:24" x14ac:dyDescent="0.25">
      <c r="A26">
        <v>2400</v>
      </c>
      <c r="B26" t="s">
        <v>24</v>
      </c>
      <c r="C26" t="s">
        <v>24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24</v>
      </c>
      <c r="T26" t="s">
        <v>24</v>
      </c>
      <c r="U26" t="s">
        <v>24</v>
      </c>
      <c r="V26" t="s">
        <v>24</v>
      </c>
      <c r="W26" t="s">
        <v>24</v>
      </c>
      <c r="X26" t="s">
        <v>24</v>
      </c>
    </row>
    <row r="27" spans="1:24" x14ac:dyDescent="0.25">
      <c r="A27">
        <v>2500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  <c r="S27" t="s">
        <v>24</v>
      </c>
      <c r="T27" t="s">
        <v>24</v>
      </c>
      <c r="U27" t="s">
        <v>24</v>
      </c>
      <c r="V27" t="s">
        <v>24</v>
      </c>
      <c r="W27" t="s">
        <v>24</v>
      </c>
      <c r="X27" t="s">
        <v>24</v>
      </c>
    </row>
    <row r="28" spans="1:24" x14ac:dyDescent="0.25">
      <c r="A28">
        <v>2600</v>
      </c>
      <c r="B28" t="s">
        <v>24</v>
      </c>
      <c r="C28" t="s">
        <v>24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24</v>
      </c>
      <c r="T28" t="s">
        <v>24</v>
      </c>
      <c r="U28" t="s">
        <v>24</v>
      </c>
      <c r="V28" t="s">
        <v>24</v>
      </c>
      <c r="W28" t="s">
        <v>24</v>
      </c>
      <c r="X28" t="s">
        <v>24</v>
      </c>
    </row>
    <row r="29" spans="1:24" x14ac:dyDescent="0.25">
      <c r="A29">
        <v>2700</v>
      </c>
      <c r="B29" t="s">
        <v>24</v>
      </c>
      <c r="C29" t="s">
        <v>24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  <c r="Q29" t="s">
        <v>24</v>
      </c>
      <c r="R29" t="s">
        <v>24</v>
      </c>
      <c r="S29" t="s">
        <v>24</v>
      </c>
      <c r="T29" t="s">
        <v>24</v>
      </c>
      <c r="U29" t="s">
        <v>24</v>
      </c>
      <c r="V29" t="s">
        <v>24</v>
      </c>
      <c r="W29" t="s">
        <v>24</v>
      </c>
      <c r="X29" t="s">
        <v>24</v>
      </c>
    </row>
    <row r="30" spans="1:24" x14ac:dyDescent="0.25">
      <c r="A30">
        <v>2800</v>
      </c>
      <c r="B30" t="s">
        <v>24</v>
      </c>
      <c r="C30" t="s">
        <v>24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  <c r="T30" t="s">
        <v>24</v>
      </c>
      <c r="U30" t="s">
        <v>24</v>
      </c>
      <c r="V30" t="s">
        <v>24</v>
      </c>
      <c r="W30" t="s">
        <v>24</v>
      </c>
      <c r="X30" t="s">
        <v>24</v>
      </c>
    </row>
    <row r="31" spans="1:24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2:24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2:24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B5" sqref="B5"/>
    </sheetView>
  </sheetViews>
  <sheetFormatPr defaultRowHeight="15" x14ac:dyDescent="0.25"/>
  <sheetData>
    <row r="1" spans="1:7" x14ac:dyDescent="0.25">
      <c r="B1" t="s">
        <v>32</v>
      </c>
      <c r="C1" t="s">
        <v>33</v>
      </c>
      <c r="D1" t="s">
        <v>34</v>
      </c>
      <c r="E1" t="s">
        <v>35</v>
      </c>
      <c r="F1" t="s">
        <v>36</v>
      </c>
      <c r="G1" s="20" t="s">
        <v>37</v>
      </c>
    </row>
    <row r="2" spans="1:7" x14ac:dyDescent="0.25">
      <c r="A2" t="s">
        <v>38</v>
      </c>
      <c r="B2" s="21">
        <v>85.027000000000001</v>
      </c>
      <c r="C2" s="21">
        <v>84.141999999999996</v>
      </c>
      <c r="D2" s="21">
        <v>85.25</v>
      </c>
      <c r="E2" s="21">
        <v>88.165000000000006</v>
      </c>
      <c r="F2">
        <v>4.0291758462494638</v>
      </c>
      <c r="G2" s="20">
        <v>40</v>
      </c>
    </row>
    <row r="3" spans="1:7" x14ac:dyDescent="0.25">
      <c r="A3" t="s">
        <v>39</v>
      </c>
      <c r="B3" s="21">
        <v>84.951999999999998</v>
      </c>
      <c r="C3" s="21">
        <v>86.936000000000007</v>
      </c>
      <c r="D3" s="21">
        <v>85.882999999999996</v>
      </c>
      <c r="E3" s="21">
        <v>86.897999999999996</v>
      </c>
      <c r="F3">
        <v>0.93177518747817911</v>
      </c>
      <c r="G3" s="20">
        <v>9</v>
      </c>
    </row>
    <row r="4" spans="1:7" x14ac:dyDescent="0.25">
      <c r="A4" t="s">
        <v>40</v>
      </c>
      <c r="B4" s="21">
        <v>85.882999999999996</v>
      </c>
      <c r="C4" s="21">
        <v>86.897999999999996</v>
      </c>
      <c r="D4" s="21">
        <v>85.063999999999993</v>
      </c>
      <c r="E4" s="21">
        <v>84.141999999999996</v>
      </c>
      <c r="F4">
        <v>2.8751168671899245</v>
      </c>
      <c r="G4" s="20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Views>
    <sheetView workbookViewId="0">
      <selection activeCell="G12" sqref="G12"/>
    </sheetView>
  </sheetViews>
  <sheetFormatPr defaultRowHeight="15" x14ac:dyDescent="0.25"/>
  <sheetData>
    <row r="1" spans="1:24" x14ac:dyDescent="0.25">
      <c r="A1" s="3" t="s">
        <v>25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</row>
    <row r="2" spans="1:24" x14ac:dyDescent="0.25">
      <c r="A2" s="6" t="s">
        <v>26</v>
      </c>
      <c r="B2" s="7">
        <v>120351.78334530364</v>
      </c>
      <c r="C2" s="7">
        <v>120351.78334530364</v>
      </c>
      <c r="D2" s="7">
        <v>120351.78334530364</v>
      </c>
      <c r="E2" s="8">
        <v>2401314.8258586987</v>
      </c>
      <c r="F2" s="7">
        <v>120351.78334530364</v>
      </c>
      <c r="G2" s="7">
        <v>120351.78334530364</v>
      </c>
      <c r="H2" s="7">
        <v>120351.78334530364</v>
      </c>
      <c r="I2" s="7">
        <v>120351.78334530364</v>
      </c>
      <c r="J2" s="7">
        <v>120351.78334530364</v>
      </c>
      <c r="K2" s="7">
        <v>120351.78334530364</v>
      </c>
      <c r="L2" s="7">
        <v>120351.78334530364</v>
      </c>
      <c r="M2" s="8">
        <v>363454.55521538097</v>
      </c>
      <c r="N2" s="8">
        <v>200000</v>
      </c>
      <c r="O2" s="8">
        <v>138182.18774789752</v>
      </c>
      <c r="P2" s="8">
        <v>10000</v>
      </c>
      <c r="Q2" s="8">
        <v>16400</v>
      </c>
      <c r="R2" s="8">
        <v>251449.42598859579</v>
      </c>
      <c r="S2" s="7">
        <v>120351.78334530364</v>
      </c>
      <c r="T2" s="7">
        <v>120351.78334530364</v>
      </c>
      <c r="U2" s="8">
        <v>120351.78334530364</v>
      </c>
      <c r="V2" s="7">
        <v>120351.78334530364</v>
      </c>
      <c r="W2" s="8">
        <v>4078016.962333153</v>
      </c>
      <c r="X2" s="9">
        <v>1149342.0581663724</v>
      </c>
    </row>
    <row r="3" spans="1:24" x14ac:dyDescent="0.25">
      <c r="A3" s="10" t="s">
        <v>27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>
        <v>1.148790722625175E-2</v>
      </c>
      <c r="S3" s="11"/>
      <c r="T3" s="11"/>
      <c r="U3" s="11"/>
      <c r="V3" s="11"/>
      <c r="W3" s="13">
        <f>0.0088*13+0.19</f>
        <v>0.3044</v>
      </c>
      <c r="X3" s="14"/>
    </row>
    <row r="4" spans="1:24" x14ac:dyDescent="0.25">
      <c r="A4" s="10" t="s">
        <v>28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4">
        <v>1789.524509256582</v>
      </c>
      <c r="S4" s="11"/>
      <c r="T4" s="11"/>
      <c r="U4" s="11"/>
      <c r="V4" s="11"/>
      <c r="W4" s="11"/>
      <c r="X4" s="14"/>
    </row>
    <row r="5" spans="1:24" x14ac:dyDescent="0.25">
      <c r="A5" s="10" t="s">
        <v>29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5">
        <v>2194.0786308108677</v>
      </c>
      <c r="S5" s="11"/>
      <c r="T5" s="11"/>
      <c r="U5" s="11"/>
      <c r="V5" s="11"/>
      <c r="W5" s="11"/>
      <c r="X5" s="14"/>
    </row>
    <row r="6" spans="1:24" ht="15.75" thickBot="1" x14ac:dyDescent="0.3">
      <c r="A6" s="16" t="s">
        <v>30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>
        <v>77.609247761693567</v>
      </c>
      <c r="S6" s="17"/>
      <c r="T6" s="17"/>
      <c r="U6" s="17"/>
      <c r="V6" s="17"/>
      <c r="W6" s="17"/>
      <c r="X6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</vt:lpstr>
      <vt:lpstr>CD</vt:lpstr>
      <vt:lpstr>DA</vt:lpstr>
      <vt:lpstr>Dist</vt:lpstr>
      <vt:lpstr>estimate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2018-01-10T17:12:50Z</dcterms:created>
  <dcterms:modified xsi:type="dcterms:W3CDTF">2018-01-12T07:43:29Z</dcterms:modified>
</cp:coreProperties>
</file>