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ropbox\Research\PhD\Manuscripts\[Review] PPP - Trace elements in archaeological teeth\revision\"/>
    </mc:Choice>
  </mc:AlternateContent>
  <bookViews>
    <workbookView xWindow="0" yWindow="0" windowWidth="21570" windowHeight="8145"/>
  </bookViews>
  <sheets>
    <sheet name="result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" i="1" l="1"/>
  <c r="I29" i="1"/>
  <c r="L25" i="1" l="1"/>
  <c r="L20" i="1"/>
  <c r="L19" i="1"/>
  <c r="L15" i="1"/>
  <c r="L2" i="1"/>
</calcChain>
</file>

<file path=xl/sharedStrings.xml><?xml version="1.0" encoding="utf-8"?>
<sst xmlns="http://schemas.openxmlformats.org/spreadsheetml/2006/main" count="55" uniqueCount="51">
  <si>
    <t>Slope-0</t>
  </si>
  <si>
    <t>SE slope</t>
  </si>
  <si>
    <t>R2 through 0</t>
  </si>
  <si>
    <t>S-value</t>
  </si>
  <si>
    <t>O</t>
  </si>
  <si>
    <t>O/Ca</t>
  </si>
  <si>
    <t>Na</t>
  </si>
  <si>
    <t>Na/Ca</t>
  </si>
  <si>
    <t>Mg</t>
  </si>
  <si>
    <t>Mg/Ca</t>
  </si>
  <si>
    <t>Al</t>
  </si>
  <si>
    <t>Al/Ca</t>
  </si>
  <si>
    <t>Si</t>
  </si>
  <si>
    <t>Si/Ca</t>
  </si>
  <si>
    <t>P</t>
  </si>
  <si>
    <t>P/Ca</t>
  </si>
  <si>
    <t>S</t>
  </si>
  <si>
    <t>S/Ca</t>
  </si>
  <si>
    <t>K</t>
  </si>
  <si>
    <t>K/Ca</t>
  </si>
  <si>
    <t>Ca</t>
  </si>
  <si>
    <t>Ti</t>
  </si>
  <si>
    <t>Ti/Ca</t>
  </si>
  <si>
    <t>V</t>
  </si>
  <si>
    <t>V/Ca</t>
  </si>
  <si>
    <t>Cr</t>
  </si>
  <si>
    <t>Cr/Ca</t>
  </si>
  <si>
    <t>Mn</t>
  </si>
  <si>
    <t>Mn/Ca</t>
  </si>
  <si>
    <t>Fe</t>
  </si>
  <si>
    <t>Fe/Ca</t>
  </si>
  <si>
    <t>Co</t>
  </si>
  <si>
    <t>Co/Ca</t>
  </si>
  <si>
    <t>Ni</t>
  </si>
  <si>
    <t>Ni/Ca</t>
  </si>
  <si>
    <t>Cu</t>
  </si>
  <si>
    <t>Cu/Ca</t>
  </si>
  <si>
    <t>Zn</t>
  </si>
  <si>
    <t>Zn/Ca</t>
  </si>
  <si>
    <t>Sr</t>
  </si>
  <si>
    <t>Sr/Ca</t>
  </si>
  <si>
    <t>Y</t>
  </si>
  <si>
    <t>Y/Ca</t>
  </si>
  <si>
    <t>Zr</t>
  </si>
  <si>
    <t>Zr/Ca</t>
  </si>
  <si>
    <t>Ba</t>
  </si>
  <si>
    <t>Ba/Ca</t>
  </si>
  <si>
    <t>Nd</t>
  </si>
  <si>
    <t>Nd/Ca</t>
  </si>
  <si>
    <t>Pb</t>
  </si>
  <si>
    <t>Pb/Ca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</si>
</sst>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0"/>
      <color indexed="8"/>
      <name val="Arial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Alignment="1">
      <alignment horizontal="center" vertical="top"/>
    </xf>
    <xf numFmtId="164" fontId="1" fillId="0" borderId="0" xfId="0" applyNumberFormat="1" applyFont="1" applyFill="1" applyAlignment="1">
      <alignment horizontal="center" vertical="top"/>
    </xf>
    <xf numFmtId="11" fontId="1" fillId="0" borderId="0" xfId="0" applyNumberFormat="1" applyFont="1" applyFill="1" applyAlignment="1">
      <alignment horizontal="center" vertical="top"/>
    </xf>
    <xf numFmtId="164" fontId="1" fillId="0" borderId="0" xfId="0" applyNumberFormat="1" applyFont="1" applyFill="1" applyAlignment="1">
      <alignment horizontal="center"/>
    </xf>
    <xf numFmtId="0" fontId="1" fillId="0" borderId="0" xfId="0" applyFont="1" applyFill="1"/>
    <xf numFmtId="164" fontId="0" fillId="0" borderId="0" xfId="0" applyNumberFormat="1" applyFont="1" applyAlignment="1">
      <alignment horizontal="center" vertical="top"/>
    </xf>
    <xf numFmtId="11" fontId="0" fillId="0" borderId="0" xfId="0" applyNumberFormat="1" applyFont="1" applyAlignment="1">
      <alignment horizontal="center" vertical="top"/>
    </xf>
    <xf numFmtId="164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>
      <selection activeCell="H31" sqref="H31"/>
    </sheetView>
  </sheetViews>
  <sheetFormatPr defaultRowHeight="12.75" x14ac:dyDescent="0.2"/>
  <cols>
    <col min="1" max="1" width="3.7109375" style="11" bestFit="1" customWidth="1"/>
    <col min="2" max="2" width="7.85546875" style="8" bestFit="1" customWidth="1"/>
    <col min="3" max="3" width="8.85546875" style="8" bestFit="1" customWidth="1"/>
    <col min="4" max="4" width="12.42578125" style="8" bestFit="1" customWidth="1"/>
    <col min="5" max="5" width="9" style="10" bestFit="1" customWidth="1"/>
    <col min="6" max="6" width="9.85546875" style="8" customWidth="1"/>
    <col min="7" max="7" width="6.7109375" style="8" bestFit="1" customWidth="1"/>
    <col min="8" max="8" width="8.5703125" style="8" bestFit="1" customWidth="1"/>
    <col min="9" max="9" width="8.85546875" style="8" bestFit="1" customWidth="1"/>
    <col min="10" max="10" width="12.42578125" style="8" bestFit="1" customWidth="1"/>
    <col min="11" max="11" width="9" style="10" customWidth="1"/>
  </cols>
  <sheetData>
    <row r="1" spans="1:12" s="5" customFormat="1" x14ac:dyDescent="0.2">
      <c r="A1" s="1"/>
      <c r="B1" s="2" t="s">
        <v>0</v>
      </c>
      <c r="C1" s="2" t="s">
        <v>1</v>
      </c>
      <c r="D1" s="2" t="s">
        <v>2</v>
      </c>
      <c r="E1" s="3" t="s">
        <v>3</v>
      </c>
      <c r="F1" s="4"/>
      <c r="G1" s="4"/>
      <c r="H1" s="2" t="s">
        <v>0</v>
      </c>
      <c r="I1" s="2" t="s">
        <v>1</v>
      </c>
      <c r="J1" s="2" t="s">
        <v>2</v>
      </c>
      <c r="K1" s="3" t="s">
        <v>3</v>
      </c>
    </row>
    <row r="2" spans="1:12" x14ac:dyDescent="0.2">
      <c r="A2" s="1" t="s">
        <v>4</v>
      </c>
      <c r="B2" s="6">
        <v>0.99109441607917015</v>
      </c>
      <c r="C2" s="6">
        <v>1.5268803785359573E-2</v>
      </c>
      <c r="D2" s="6">
        <v>0.99857795547539507</v>
      </c>
      <c r="E2" s="7">
        <v>8851.1646475955258</v>
      </c>
      <c r="G2" s="2" t="s">
        <v>5</v>
      </c>
      <c r="H2" s="6">
        <v>0.97614740869509009</v>
      </c>
      <c r="I2" s="6">
        <v>1.0727404416368132E-2</v>
      </c>
      <c r="J2" s="6">
        <v>0.9992759056446765</v>
      </c>
      <c r="K2" s="7">
        <v>1.7476484970756455E-2</v>
      </c>
      <c r="L2">
        <f>I2*2</f>
        <v>2.1454808832736264E-2</v>
      </c>
    </row>
    <row r="3" spans="1:12" x14ac:dyDescent="0.2">
      <c r="A3" s="1" t="s">
        <v>6</v>
      </c>
      <c r="B3" s="6">
        <v>0.24089752956313026</v>
      </c>
      <c r="C3" s="6">
        <v>6.1058187860575808E-3</v>
      </c>
      <c r="D3" s="6">
        <v>0.99616024437809247</v>
      </c>
      <c r="E3" s="7">
        <v>591.92678531635386</v>
      </c>
      <c r="G3" s="2" t="s">
        <v>7</v>
      </c>
      <c r="H3" s="6">
        <v>0.23183873747615702</v>
      </c>
      <c r="I3" s="6">
        <v>5.4557522537388619E-3</v>
      </c>
      <c r="J3" s="6">
        <v>0.99668832357754766</v>
      </c>
      <c r="K3" s="7">
        <v>1.4349054948319139E-3</v>
      </c>
    </row>
    <row r="4" spans="1:12" x14ac:dyDescent="0.2">
      <c r="A4" s="1" t="s">
        <v>8</v>
      </c>
      <c r="B4" s="6">
        <v>0.88863456079223779</v>
      </c>
      <c r="C4" s="6">
        <v>3.044556977758223E-2</v>
      </c>
      <c r="D4" s="6">
        <v>0.99300633089709023</v>
      </c>
      <c r="E4" s="7">
        <v>590.78203184088761</v>
      </c>
      <c r="G4" s="2" t="s">
        <v>9</v>
      </c>
      <c r="H4" s="6">
        <v>0.8448024050430879</v>
      </c>
      <c r="I4" s="6">
        <v>2.0457000420751718E-2</v>
      </c>
      <c r="J4" s="6">
        <v>0.99649409933454902</v>
      </c>
      <c r="K4" s="7">
        <v>1.0429105510446274E-3</v>
      </c>
    </row>
    <row r="5" spans="1:12" x14ac:dyDescent="0.2">
      <c r="A5" s="1" t="s">
        <v>10</v>
      </c>
      <c r="B5" s="6">
        <v>0.77939913591104126</v>
      </c>
      <c r="C5" s="6">
        <v>2.6039785829112684E-2</v>
      </c>
      <c r="D5" s="6">
        <v>0.99334715692699216</v>
      </c>
      <c r="E5" s="7">
        <v>240.60933676989745</v>
      </c>
      <c r="G5" s="2" t="s">
        <v>11</v>
      </c>
      <c r="H5" s="6">
        <v>0.78340357223053636</v>
      </c>
      <c r="I5" s="6">
        <v>2.1902525879893903E-2</v>
      </c>
      <c r="J5" s="6">
        <v>0.99533193924251384</v>
      </c>
      <c r="K5" s="7">
        <v>5.8693570729528573E-4</v>
      </c>
    </row>
    <row r="6" spans="1:12" x14ac:dyDescent="0.2">
      <c r="A6" s="1" t="s">
        <v>12</v>
      </c>
      <c r="B6" s="6">
        <v>0.89630928493872064</v>
      </c>
      <c r="C6" s="6">
        <v>0.16410129020687789</v>
      </c>
      <c r="D6" s="6">
        <v>0.83255493564797567</v>
      </c>
      <c r="E6" s="7">
        <v>4301.4256611313449</v>
      </c>
      <c r="G6" s="2" t="s">
        <v>13</v>
      </c>
      <c r="H6" s="6">
        <v>0.9992206838540113</v>
      </c>
      <c r="I6" s="6">
        <v>0.11579310860717115</v>
      </c>
      <c r="J6" s="6">
        <v>0.92543424614118053</v>
      </c>
      <c r="K6" s="7">
        <v>8.361509333209045E-3</v>
      </c>
    </row>
    <row r="7" spans="1:12" x14ac:dyDescent="0.2">
      <c r="A7" s="1" t="s">
        <v>14</v>
      </c>
      <c r="B7" s="6">
        <v>0.98759154487660816</v>
      </c>
      <c r="C7" s="6">
        <v>4.9896455522358343E-2</v>
      </c>
      <c r="D7" s="6">
        <v>0.98491536423205672</v>
      </c>
      <c r="E7" s="7">
        <v>22225.683372863601</v>
      </c>
      <c r="G7" s="2" t="s">
        <v>15</v>
      </c>
      <c r="H7" s="6">
        <v>1.0076628836108392</v>
      </c>
      <c r="I7" s="6">
        <v>2.0182490236067271E-2</v>
      </c>
      <c r="J7" s="6">
        <v>0.99759881206898726</v>
      </c>
      <c r="K7" s="7">
        <v>2.3019653366563919E-2</v>
      </c>
    </row>
    <row r="8" spans="1:12" x14ac:dyDescent="0.2">
      <c r="A8" s="1" t="s">
        <v>16</v>
      </c>
      <c r="B8" s="6">
        <v>0.12644823135952643</v>
      </c>
      <c r="C8" s="6">
        <v>7.8670483785010202E-3</v>
      </c>
      <c r="D8" s="6">
        <v>0.97730248168085765</v>
      </c>
      <c r="E8" s="7">
        <v>284.1452468541782</v>
      </c>
      <c r="G8" s="2" t="s">
        <v>17</v>
      </c>
      <c r="H8" s="6">
        <v>0.12393060051337304</v>
      </c>
      <c r="I8" s="6">
        <v>6.1274771734302347E-3</v>
      </c>
      <c r="J8" s="6">
        <v>0.98554447812355483</v>
      </c>
      <c r="K8" s="7">
        <v>6.362876854468356E-4</v>
      </c>
    </row>
    <row r="9" spans="1:12" x14ac:dyDescent="0.2">
      <c r="A9" s="1" t="s">
        <v>18</v>
      </c>
      <c r="B9" s="6">
        <v>0.56725281194311983</v>
      </c>
      <c r="C9" s="6">
        <v>9.4709588464971066E-3</v>
      </c>
      <c r="D9" s="6">
        <v>0.99833021693973267</v>
      </c>
      <c r="E9" s="7">
        <v>21.48657902997784</v>
      </c>
      <c r="G9" s="2" t="s">
        <v>19</v>
      </c>
      <c r="H9" s="6">
        <v>0.55918721521439796</v>
      </c>
      <c r="I9" s="6">
        <v>2.7843290040914393E-17</v>
      </c>
      <c r="J9" s="6">
        <v>1</v>
      </c>
      <c r="K9" s="7">
        <v>1.7704947337376541E-19</v>
      </c>
    </row>
    <row r="10" spans="1:12" x14ac:dyDescent="0.2">
      <c r="A10" s="1" t="s">
        <v>20</v>
      </c>
      <c r="B10" s="6">
        <v>1.0225001620829246</v>
      </c>
      <c r="C10" s="6">
        <v>1.7971004090612013E-2</v>
      </c>
      <c r="D10" s="6">
        <v>0.998150028708083</v>
      </c>
      <c r="E10" s="7">
        <v>15896.953426492248</v>
      </c>
      <c r="G10" s="2"/>
      <c r="H10" s="6"/>
      <c r="I10" s="6"/>
      <c r="J10" s="6"/>
      <c r="K10" s="7"/>
    </row>
    <row r="11" spans="1:12" x14ac:dyDescent="0.2">
      <c r="A11" s="1" t="s">
        <v>21</v>
      </c>
      <c r="B11" s="6">
        <v>5.8198143057004375</v>
      </c>
      <c r="C11" s="6">
        <v>3.9814875199678579E-2</v>
      </c>
      <c r="D11" s="6">
        <v>0.99971926163116687</v>
      </c>
      <c r="E11" s="7">
        <v>4.2425085851653774</v>
      </c>
      <c r="G11" s="2" t="s">
        <v>22</v>
      </c>
      <c r="H11" s="6">
        <v>5.8071067931887583</v>
      </c>
      <c r="I11" s="6">
        <v>4.1064813490386369E-2</v>
      </c>
      <c r="J11" s="6">
        <v>0.99970005539815732</v>
      </c>
      <c r="K11" s="7">
        <v>1.2766412706478715E-5</v>
      </c>
    </row>
    <row r="12" spans="1:12" x14ac:dyDescent="0.2">
      <c r="A12" s="1" t="s">
        <v>23</v>
      </c>
      <c r="B12" s="6">
        <v>1.5930680681107126</v>
      </c>
      <c r="C12" s="6">
        <v>0</v>
      </c>
      <c r="D12" s="6">
        <v>1</v>
      </c>
      <c r="E12" s="7">
        <v>0</v>
      </c>
      <c r="G12" s="2" t="s">
        <v>24</v>
      </c>
      <c r="H12" s="6">
        <v>1.5894418747802972</v>
      </c>
      <c r="I12" s="6">
        <v>0</v>
      </c>
      <c r="J12" s="6">
        <v>1</v>
      </c>
      <c r="K12" s="7">
        <v>0</v>
      </c>
    </row>
    <row r="13" spans="1:12" x14ac:dyDescent="0.2">
      <c r="A13" s="1" t="s">
        <v>25</v>
      </c>
      <c r="B13" s="6">
        <v>0.62618859109928526</v>
      </c>
      <c r="C13" s="6">
        <v>2.0376414775286233E-2</v>
      </c>
      <c r="D13" s="6">
        <v>0.99368685103786536</v>
      </c>
      <c r="E13" s="7">
        <v>4.2758883149055471</v>
      </c>
      <c r="G13" s="2" t="s">
        <v>26</v>
      </c>
      <c r="H13" s="6">
        <v>0.64902399874656047</v>
      </c>
      <c r="I13" s="6">
        <v>2.8287136532490199E-2</v>
      </c>
      <c r="J13" s="6">
        <v>0.98873098758211042</v>
      </c>
      <c r="K13" s="7">
        <v>1.6755924440594175E-5</v>
      </c>
    </row>
    <row r="14" spans="1:12" x14ac:dyDescent="0.2">
      <c r="A14" s="1" t="s">
        <v>27</v>
      </c>
      <c r="B14" s="6">
        <v>0.69475727281675204</v>
      </c>
      <c r="C14" s="6">
        <v>1.5713271449850449E-2</v>
      </c>
      <c r="D14" s="6">
        <v>0.99694023974520163</v>
      </c>
      <c r="E14" s="7">
        <v>21.085434232214403</v>
      </c>
      <c r="G14" s="2" t="s">
        <v>28</v>
      </c>
      <c r="H14" s="6">
        <v>0.73656922521269963</v>
      </c>
      <c r="I14" s="6">
        <v>1.3247249669307064E-2</v>
      </c>
      <c r="J14" s="6">
        <v>0.99806298268645732</v>
      </c>
      <c r="K14" s="7">
        <v>4.9555845694006254E-5</v>
      </c>
    </row>
    <row r="15" spans="1:12" x14ac:dyDescent="0.2">
      <c r="A15" s="1" t="s">
        <v>29</v>
      </c>
      <c r="B15" s="6">
        <v>0.56860015232505901</v>
      </c>
      <c r="C15" s="6">
        <v>6.4486158450611977E-3</v>
      </c>
      <c r="D15" s="6">
        <v>0.99922885635047731</v>
      </c>
      <c r="E15" s="7">
        <v>87.935946770048815</v>
      </c>
      <c r="G15" s="2" t="s">
        <v>30</v>
      </c>
      <c r="H15" s="6">
        <v>0.56851143999223908</v>
      </c>
      <c r="I15" s="6">
        <v>6.6071928760183503E-3</v>
      </c>
      <c r="J15" s="6">
        <v>0.99919024248388122</v>
      </c>
      <c r="K15" s="7">
        <v>2.6247517171878369E-4</v>
      </c>
      <c r="L15">
        <f>I15*2</f>
        <v>1.3214385752036701E-2</v>
      </c>
    </row>
    <row r="16" spans="1:12" x14ac:dyDescent="0.2">
      <c r="A16" s="1" t="s">
        <v>31</v>
      </c>
      <c r="B16" s="6">
        <v>0.29641448857266645</v>
      </c>
      <c r="C16" s="6">
        <v>1.1513381015726073E-2</v>
      </c>
      <c r="D16" s="6">
        <v>0.99102892516914676</v>
      </c>
      <c r="E16" s="7">
        <v>1.995355204590334</v>
      </c>
      <c r="G16" s="2" t="s">
        <v>32</v>
      </c>
      <c r="H16" s="6">
        <v>0.31326113645483744</v>
      </c>
      <c r="I16" s="6">
        <v>1.3950466288562608E-2</v>
      </c>
      <c r="J16" s="6">
        <v>0.98824078225598044</v>
      </c>
      <c r="K16" s="7">
        <v>6.7505983990077436E-6</v>
      </c>
    </row>
    <row r="17" spans="1:12" x14ac:dyDescent="0.2">
      <c r="A17" s="1" t="s">
        <v>33</v>
      </c>
      <c r="B17" s="6">
        <v>3.4136820947026396</v>
      </c>
      <c r="C17" s="6">
        <v>4.3225731330090271E-2</v>
      </c>
      <c r="D17" s="6">
        <v>0.99903889198962048</v>
      </c>
      <c r="E17" s="7">
        <v>1.5885930767936289</v>
      </c>
      <c r="G17" s="2" t="s">
        <v>34</v>
      </c>
      <c r="H17" s="6">
        <v>3.6043601065898363</v>
      </c>
      <c r="I17" s="6">
        <v>3.0935255717529864E-2</v>
      </c>
      <c r="J17" s="6">
        <v>0.99955821555993529</v>
      </c>
      <c r="K17" s="7">
        <v>3.1723946947129679E-6</v>
      </c>
    </row>
    <row r="18" spans="1:12" ht="14.25" customHeight="1" x14ac:dyDescent="0.2">
      <c r="A18" s="1" t="s">
        <v>35</v>
      </c>
      <c r="B18" s="6">
        <v>0.62269028029847695</v>
      </c>
      <c r="C18" s="6">
        <v>5.3822489709313614E-3</v>
      </c>
      <c r="D18" s="6">
        <v>0.99955193604471204</v>
      </c>
      <c r="E18" s="7">
        <v>2.9402881604539841</v>
      </c>
      <c r="G18" s="2" t="s">
        <v>36</v>
      </c>
      <c r="H18" s="6">
        <v>0.66121273785392942</v>
      </c>
      <c r="I18" s="6">
        <v>5.3402987731859149E-3</v>
      </c>
      <c r="J18" s="6">
        <v>0.99960877193967324</v>
      </c>
      <c r="K18" s="7">
        <v>8.121235013786959E-6</v>
      </c>
    </row>
    <row r="19" spans="1:12" x14ac:dyDescent="0.2">
      <c r="A19" s="1" t="s">
        <v>37</v>
      </c>
      <c r="B19" s="6">
        <v>0.68290355972759487</v>
      </c>
      <c r="C19" s="6">
        <v>7.001185397338394E-3</v>
      </c>
      <c r="D19" s="6">
        <v>0.99936976595422677</v>
      </c>
      <c r="E19" s="7">
        <v>5.2147369639593144</v>
      </c>
      <c r="G19" s="2" t="s">
        <v>38</v>
      </c>
      <c r="H19" s="6">
        <v>0.7172320359033254</v>
      </c>
      <c r="I19" s="6">
        <v>3.7132459902904633E-3</v>
      </c>
      <c r="J19" s="6">
        <v>0.99983920612727695</v>
      </c>
      <c r="K19" s="7">
        <v>7.6771476410564455E-6</v>
      </c>
      <c r="L19">
        <f t="shared" ref="L19:L20" si="0">I19*2</f>
        <v>7.4264919805809267E-3</v>
      </c>
    </row>
    <row r="20" spans="1:12" x14ac:dyDescent="0.2">
      <c r="A20" s="1" t="s">
        <v>39</v>
      </c>
      <c r="B20" s="6">
        <v>0.50772451955145781</v>
      </c>
      <c r="C20" s="6">
        <v>1.3695049203521869E-2</v>
      </c>
      <c r="D20" s="6">
        <v>0.99565359256684061</v>
      </c>
      <c r="E20" s="7">
        <v>88.829936377922124</v>
      </c>
      <c r="G20" s="2" t="s">
        <v>40</v>
      </c>
      <c r="H20" s="6">
        <v>0.53655062413298193</v>
      </c>
      <c r="I20" s="6">
        <v>1.3578962085955751E-2</v>
      </c>
      <c r="J20" s="6">
        <v>0.99617177701545234</v>
      </c>
      <c r="K20" s="7">
        <v>2.4415709212868055E-4</v>
      </c>
      <c r="L20">
        <f t="shared" si="0"/>
        <v>2.7157924171911502E-2</v>
      </c>
    </row>
    <row r="21" spans="1:12" x14ac:dyDescent="0.2">
      <c r="A21" s="1" t="s">
        <v>41</v>
      </c>
      <c r="B21" s="6">
        <v>0.59886375761192623</v>
      </c>
      <c r="C21" s="6">
        <v>6.1017404499020415E-5</v>
      </c>
      <c r="D21" s="6">
        <v>0.99999993771225315</v>
      </c>
      <c r="E21" s="7">
        <v>0.10086973848962032</v>
      </c>
      <c r="G21" s="2" t="s">
        <v>42</v>
      </c>
      <c r="H21" s="6">
        <v>0.63591812083000143</v>
      </c>
      <c r="I21" s="6">
        <v>7.1346387111201578E-5</v>
      </c>
      <c r="J21" s="6">
        <v>0.9999999244746427</v>
      </c>
      <c r="K21" s="7">
        <v>3.2832501823938798E-7</v>
      </c>
    </row>
    <row r="22" spans="1:12" x14ac:dyDescent="0.2">
      <c r="A22" s="1" t="s">
        <v>43</v>
      </c>
      <c r="B22" s="6">
        <v>1.7021305424831463</v>
      </c>
      <c r="C22" s="6">
        <v>1.1221599554468497E-16</v>
      </c>
      <c r="D22" s="6">
        <v>1</v>
      </c>
      <c r="E22" s="7">
        <v>2.9007785717557725E-15</v>
      </c>
      <c r="G22" s="2" t="s">
        <v>44</v>
      </c>
      <c r="H22" s="6">
        <v>1.8074489468977251</v>
      </c>
      <c r="I22" s="6">
        <v>0</v>
      </c>
      <c r="J22" s="6">
        <v>1</v>
      </c>
      <c r="K22" s="7">
        <v>0</v>
      </c>
    </row>
    <row r="23" spans="1:12" x14ac:dyDescent="0.2">
      <c r="A23" s="1" t="s">
        <v>45</v>
      </c>
      <c r="B23" s="6">
        <v>0.53295017174055503</v>
      </c>
      <c r="C23" s="6">
        <v>3.5813697052790115E-3</v>
      </c>
      <c r="D23" s="6">
        <v>0.99972913137951225</v>
      </c>
      <c r="E23" s="7">
        <v>19.609086687235578</v>
      </c>
      <c r="G23" s="2" t="s">
        <v>46</v>
      </c>
      <c r="H23" s="6">
        <v>0.56520921449090067</v>
      </c>
      <c r="I23" s="6">
        <v>6.1577109645121527E-3</v>
      </c>
      <c r="J23" s="6">
        <v>0.99928835695318274</v>
      </c>
      <c r="K23" s="7">
        <v>9.3824040372451586E-5</v>
      </c>
    </row>
    <row r="24" spans="1:12" x14ac:dyDescent="0.2">
      <c r="A24" s="1" t="s">
        <v>47</v>
      </c>
      <c r="B24" s="6">
        <v>0.56315525440412117</v>
      </c>
      <c r="C24" s="6">
        <v>0</v>
      </c>
      <c r="D24" s="6">
        <v>1</v>
      </c>
      <c r="E24" s="7">
        <v>0</v>
      </c>
      <c r="G24" s="2" t="s">
        <v>48</v>
      </c>
      <c r="H24" s="6">
        <v>0.59800018042548475</v>
      </c>
      <c r="I24" s="6">
        <v>3.8513678751029679E-17</v>
      </c>
      <c r="J24" s="6">
        <v>1</v>
      </c>
      <c r="K24" s="7">
        <v>3.5409894674753082E-19</v>
      </c>
    </row>
    <row r="25" spans="1:12" x14ac:dyDescent="0.2">
      <c r="A25" s="1" t="s">
        <v>49</v>
      </c>
      <c r="B25" s="6">
        <v>0.23520830856474087</v>
      </c>
      <c r="C25" s="6">
        <v>1.0122558406325685E-2</v>
      </c>
      <c r="D25" s="6">
        <v>0.98900926152651158</v>
      </c>
      <c r="E25" s="7">
        <v>9.5700217078366538</v>
      </c>
      <c r="G25" s="2" t="s">
        <v>50</v>
      </c>
      <c r="H25" s="6">
        <v>0.24972709230704151</v>
      </c>
      <c r="I25" s="6">
        <v>8.7469696364527796E-3</v>
      </c>
      <c r="J25" s="6">
        <v>0.99269281595116565</v>
      </c>
      <c r="K25" s="7">
        <v>2.3017359102537362E-5</v>
      </c>
      <c r="L25">
        <f>I25*2</f>
        <v>1.7493939272905559E-2</v>
      </c>
    </row>
    <row r="26" spans="1:12" x14ac:dyDescent="0.2">
      <c r="A26" s="9"/>
    </row>
    <row r="29" spans="1:12" x14ac:dyDescent="0.2">
      <c r="H29" s="8">
        <v>400</v>
      </c>
      <c r="I29" s="8">
        <f>400*H20</f>
        <v>214.62024965319279</v>
      </c>
    </row>
    <row r="30" spans="1:12" x14ac:dyDescent="0.2">
      <c r="H30" s="8">
        <v>1000</v>
      </c>
      <c r="I30" s="8">
        <f>1000*H20</f>
        <v>536.55062413298197</v>
      </c>
    </row>
  </sheetData>
  <conditionalFormatting sqref="D2">
    <cfRule type="cellIs" dxfId="95" priority="95" operator="lessThan">
      <formula>0.98</formula>
    </cfRule>
    <cfRule type="cellIs" dxfId="94" priority="96" operator="greaterThan">
      <formula>0.98</formula>
    </cfRule>
  </conditionalFormatting>
  <conditionalFormatting sqref="D3">
    <cfRule type="cellIs" dxfId="93" priority="93" operator="lessThan">
      <formula>0.98</formula>
    </cfRule>
    <cfRule type="cellIs" dxfId="92" priority="94" operator="greaterThan">
      <formula>0.98</formula>
    </cfRule>
  </conditionalFormatting>
  <conditionalFormatting sqref="D4">
    <cfRule type="cellIs" dxfId="91" priority="91" operator="lessThan">
      <formula>0.98</formula>
    </cfRule>
    <cfRule type="cellIs" dxfId="90" priority="92" operator="greaterThan">
      <formula>0.98</formula>
    </cfRule>
  </conditionalFormatting>
  <conditionalFormatting sqref="D5">
    <cfRule type="cellIs" dxfId="89" priority="89" operator="lessThan">
      <formula>0.98</formula>
    </cfRule>
    <cfRule type="cellIs" dxfId="88" priority="90" operator="greaterThan">
      <formula>0.98</formula>
    </cfRule>
  </conditionalFormatting>
  <conditionalFormatting sqref="D6">
    <cfRule type="cellIs" dxfId="87" priority="87" operator="lessThan">
      <formula>0.98</formula>
    </cfRule>
    <cfRule type="cellIs" dxfId="86" priority="88" operator="greaterThan">
      <formula>0.98</formula>
    </cfRule>
  </conditionalFormatting>
  <conditionalFormatting sqref="D7">
    <cfRule type="cellIs" dxfId="85" priority="85" operator="lessThan">
      <formula>0.98</formula>
    </cfRule>
    <cfRule type="cellIs" dxfId="84" priority="86" operator="greaterThan">
      <formula>0.98</formula>
    </cfRule>
  </conditionalFormatting>
  <conditionalFormatting sqref="D8">
    <cfRule type="cellIs" dxfId="83" priority="83" operator="lessThan">
      <formula>0.98</formula>
    </cfRule>
    <cfRule type="cellIs" dxfId="82" priority="84" operator="greaterThan">
      <formula>0.98</formula>
    </cfRule>
  </conditionalFormatting>
  <conditionalFormatting sqref="D9">
    <cfRule type="cellIs" dxfId="81" priority="81" operator="lessThan">
      <formula>0.98</formula>
    </cfRule>
    <cfRule type="cellIs" dxfId="80" priority="82" operator="greaterThan">
      <formula>0.98</formula>
    </cfRule>
  </conditionalFormatting>
  <conditionalFormatting sqref="D10">
    <cfRule type="cellIs" dxfId="79" priority="79" operator="lessThan">
      <formula>0.98</formula>
    </cfRule>
    <cfRule type="cellIs" dxfId="78" priority="80" operator="greaterThan">
      <formula>0.98</formula>
    </cfRule>
  </conditionalFormatting>
  <conditionalFormatting sqref="D11">
    <cfRule type="cellIs" dxfId="77" priority="77" operator="lessThan">
      <formula>0.98</formula>
    </cfRule>
    <cfRule type="cellIs" dxfId="76" priority="78" operator="greaterThan">
      <formula>0.98</formula>
    </cfRule>
  </conditionalFormatting>
  <conditionalFormatting sqref="D12">
    <cfRule type="cellIs" dxfId="75" priority="75" operator="lessThan">
      <formula>0.98</formula>
    </cfRule>
    <cfRule type="cellIs" dxfId="74" priority="76" operator="greaterThan">
      <formula>0.98</formula>
    </cfRule>
  </conditionalFormatting>
  <conditionalFormatting sqref="D13">
    <cfRule type="cellIs" dxfId="73" priority="73" operator="lessThan">
      <formula>0.98</formula>
    </cfRule>
    <cfRule type="cellIs" dxfId="72" priority="74" operator="greaterThan">
      <formula>0.98</formula>
    </cfRule>
  </conditionalFormatting>
  <conditionalFormatting sqref="D14">
    <cfRule type="cellIs" dxfId="71" priority="71" operator="lessThan">
      <formula>0.98</formula>
    </cfRule>
    <cfRule type="cellIs" dxfId="70" priority="72" operator="greaterThan">
      <formula>0.98</formula>
    </cfRule>
  </conditionalFormatting>
  <conditionalFormatting sqref="D15">
    <cfRule type="cellIs" dxfId="69" priority="69" operator="lessThan">
      <formula>0.98</formula>
    </cfRule>
    <cfRule type="cellIs" dxfId="68" priority="70" operator="greaterThan">
      <formula>0.98</formula>
    </cfRule>
  </conditionalFormatting>
  <conditionalFormatting sqref="D16">
    <cfRule type="cellIs" dxfId="67" priority="67" operator="lessThan">
      <formula>0.98</formula>
    </cfRule>
    <cfRule type="cellIs" dxfId="66" priority="68" operator="greaterThan">
      <formula>0.98</formula>
    </cfRule>
  </conditionalFormatting>
  <conditionalFormatting sqref="D17">
    <cfRule type="cellIs" dxfId="65" priority="65" operator="lessThan">
      <formula>0.98</formula>
    </cfRule>
    <cfRule type="cellIs" dxfId="64" priority="66" operator="greaterThan">
      <formula>0.98</formula>
    </cfRule>
  </conditionalFormatting>
  <conditionalFormatting sqref="D18">
    <cfRule type="cellIs" dxfId="63" priority="63" operator="lessThan">
      <formula>0.98</formula>
    </cfRule>
    <cfRule type="cellIs" dxfId="62" priority="64" operator="greaterThan">
      <formula>0.98</formula>
    </cfRule>
  </conditionalFormatting>
  <conditionalFormatting sqref="D19">
    <cfRule type="cellIs" dxfId="61" priority="61" operator="lessThan">
      <formula>0.98</formula>
    </cfRule>
    <cfRule type="cellIs" dxfId="60" priority="62" operator="greaterThan">
      <formula>0.98</formula>
    </cfRule>
  </conditionalFormatting>
  <conditionalFormatting sqref="D20">
    <cfRule type="cellIs" dxfId="59" priority="59" operator="lessThan">
      <formula>0.98</formula>
    </cfRule>
    <cfRule type="cellIs" dxfId="58" priority="60" operator="greaterThan">
      <formula>0.98</formula>
    </cfRule>
  </conditionalFormatting>
  <conditionalFormatting sqref="D21">
    <cfRule type="cellIs" dxfId="57" priority="57" operator="lessThan">
      <formula>0.98</formula>
    </cfRule>
    <cfRule type="cellIs" dxfId="56" priority="58" operator="greaterThan">
      <formula>0.98</formula>
    </cfRule>
  </conditionalFormatting>
  <conditionalFormatting sqref="D22">
    <cfRule type="cellIs" dxfId="55" priority="55" operator="lessThan">
      <formula>0.98</formula>
    </cfRule>
    <cfRule type="cellIs" dxfId="54" priority="56" operator="greaterThan">
      <formula>0.98</formula>
    </cfRule>
  </conditionalFormatting>
  <conditionalFormatting sqref="D23">
    <cfRule type="cellIs" dxfId="53" priority="53" operator="lessThan">
      <formula>0.98</formula>
    </cfRule>
    <cfRule type="cellIs" dxfId="52" priority="54" operator="greaterThan">
      <formula>0.98</formula>
    </cfRule>
  </conditionalFormatting>
  <conditionalFormatting sqref="D24">
    <cfRule type="cellIs" dxfId="51" priority="51" operator="lessThan">
      <formula>0.98</formula>
    </cfRule>
    <cfRule type="cellIs" dxfId="50" priority="52" operator="greaterThan">
      <formula>0.98</formula>
    </cfRule>
  </conditionalFormatting>
  <conditionalFormatting sqref="D25">
    <cfRule type="cellIs" dxfId="49" priority="49" operator="lessThan">
      <formula>0.98</formula>
    </cfRule>
    <cfRule type="cellIs" dxfId="48" priority="50" operator="greaterThan">
      <formula>0.98</formula>
    </cfRule>
  </conditionalFormatting>
  <conditionalFormatting sqref="J2">
    <cfRule type="cellIs" dxfId="47" priority="47" operator="lessThan">
      <formula>0.98</formula>
    </cfRule>
    <cfRule type="cellIs" dxfId="46" priority="48" operator="greaterThan">
      <formula>0.98</formula>
    </cfRule>
  </conditionalFormatting>
  <conditionalFormatting sqref="J3">
    <cfRule type="cellIs" dxfId="45" priority="45" operator="lessThan">
      <formula>0.98</formula>
    </cfRule>
    <cfRule type="cellIs" dxfId="44" priority="46" operator="greaterThan">
      <formula>0.98</formula>
    </cfRule>
  </conditionalFormatting>
  <conditionalFormatting sqref="J4">
    <cfRule type="cellIs" dxfId="43" priority="43" operator="lessThan">
      <formula>0.98</formula>
    </cfRule>
    <cfRule type="cellIs" dxfId="42" priority="44" operator="greaterThan">
      <formula>0.98</formula>
    </cfRule>
  </conditionalFormatting>
  <conditionalFormatting sqref="J5">
    <cfRule type="cellIs" dxfId="41" priority="41" operator="lessThan">
      <formula>0.98</formula>
    </cfRule>
    <cfRule type="cellIs" dxfId="40" priority="42" operator="greaterThan">
      <formula>0.98</formula>
    </cfRule>
  </conditionalFormatting>
  <conditionalFormatting sqref="J6">
    <cfRule type="cellIs" dxfId="39" priority="39" operator="lessThan">
      <formula>0.98</formula>
    </cfRule>
    <cfRule type="cellIs" dxfId="38" priority="40" operator="greaterThan">
      <formula>0.98</formula>
    </cfRule>
  </conditionalFormatting>
  <conditionalFormatting sqref="J7">
    <cfRule type="cellIs" dxfId="37" priority="37" operator="lessThan">
      <formula>0.98</formula>
    </cfRule>
    <cfRule type="cellIs" dxfId="36" priority="38" operator="greaterThan">
      <formula>0.98</formula>
    </cfRule>
  </conditionalFormatting>
  <conditionalFormatting sqref="J8">
    <cfRule type="cellIs" dxfId="35" priority="35" operator="lessThan">
      <formula>0.98</formula>
    </cfRule>
    <cfRule type="cellIs" dxfId="34" priority="36" operator="greaterThan">
      <formula>0.98</formula>
    </cfRule>
  </conditionalFormatting>
  <conditionalFormatting sqref="J9">
    <cfRule type="cellIs" dxfId="33" priority="33" operator="lessThan">
      <formula>0.98</formula>
    </cfRule>
    <cfRule type="cellIs" dxfId="32" priority="34" operator="greaterThan">
      <formula>0.98</formula>
    </cfRule>
  </conditionalFormatting>
  <conditionalFormatting sqref="J10">
    <cfRule type="cellIs" dxfId="31" priority="31" operator="lessThan">
      <formula>0.98</formula>
    </cfRule>
    <cfRule type="cellIs" dxfId="30" priority="32" operator="greaterThan">
      <formula>0.98</formula>
    </cfRule>
  </conditionalFormatting>
  <conditionalFormatting sqref="J11">
    <cfRule type="cellIs" dxfId="29" priority="29" operator="lessThan">
      <formula>0.98</formula>
    </cfRule>
    <cfRule type="cellIs" dxfId="28" priority="30" operator="greaterThan">
      <formula>0.98</formula>
    </cfRule>
  </conditionalFormatting>
  <conditionalFormatting sqref="J12">
    <cfRule type="cellIs" dxfId="27" priority="27" operator="lessThan">
      <formula>0.98</formula>
    </cfRule>
    <cfRule type="cellIs" dxfId="26" priority="28" operator="greaterThan">
      <formula>0.98</formula>
    </cfRule>
  </conditionalFormatting>
  <conditionalFormatting sqref="J13">
    <cfRule type="cellIs" dxfId="25" priority="25" operator="lessThan">
      <formula>0.98</formula>
    </cfRule>
    <cfRule type="cellIs" dxfId="24" priority="26" operator="greaterThan">
      <formula>0.98</formula>
    </cfRule>
  </conditionalFormatting>
  <conditionalFormatting sqref="J14">
    <cfRule type="cellIs" dxfId="23" priority="23" operator="lessThan">
      <formula>0.98</formula>
    </cfRule>
    <cfRule type="cellIs" dxfId="22" priority="24" operator="greaterThan">
      <formula>0.98</formula>
    </cfRule>
  </conditionalFormatting>
  <conditionalFormatting sqref="J15">
    <cfRule type="cellIs" dxfId="21" priority="21" operator="lessThan">
      <formula>0.98</formula>
    </cfRule>
    <cfRule type="cellIs" dxfId="20" priority="22" operator="greaterThan">
      <formula>0.98</formula>
    </cfRule>
  </conditionalFormatting>
  <conditionalFormatting sqref="J16">
    <cfRule type="cellIs" dxfId="19" priority="19" operator="lessThan">
      <formula>0.98</formula>
    </cfRule>
    <cfRule type="cellIs" dxfId="18" priority="20" operator="greaterThan">
      <formula>0.98</formula>
    </cfRule>
  </conditionalFormatting>
  <conditionalFormatting sqref="J17">
    <cfRule type="cellIs" dxfId="17" priority="17" operator="lessThan">
      <formula>0.98</formula>
    </cfRule>
    <cfRule type="cellIs" dxfId="16" priority="18" operator="greaterThan">
      <formula>0.98</formula>
    </cfRule>
  </conditionalFormatting>
  <conditionalFormatting sqref="J18">
    <cfRule type="cellIs" dxfId="15" priority="15" operator="lessThan">
      <formula>0.98</formula>
    </cfRule>
    <cfRule type="cellIs" dxfId="14" priority="16" operator="greaterThan">
      <formula>0.98</formula>
    </cfRule>
  </conditionalFormatting>
  <conditionalFormatting sqref="J19">
    <cfRule type="cellIs" dxfId="13" priority="13" operator="lessThan">
      <formula>0.98</formula>
    </cfRule>
    <cfRule type="cellIs" dxfId="12" priority="14" operator="greaterThan">
      <formula>0.98</formula>
    </cfRule>
  </conditionalFormatting>
  <conditionalFormatting sqref="J20">
    <cfRule type="cellIs" dxfId="11" priority="11" operator="lessThan">
      <formula>0.98</formula>
    </cfRule>
    <cfRule type="cellIs" dxfId="10" priority="12" operator="greaterThan">
      <formula>0.98</formula>
    </cfRule>
  </conditionalFormatting>
  <conditionalFormatting sqref="J21">
    <cfRule type="cellIs" dxfId="9" priority="9" operator="lessThan">
      <formula>0.98</formula>
    </cfRule>
    <cfRule type="cellIs" dxfId="8" priority="10" operator="greaterThan">
      <formula>0.98</formula>
    </cfRule>
  </conditionalFormatting>
  <conditionalFormatting sqref="J22">
    <cfRule type="cellIs" dxfId="7" priority="7" operator="lessThan">
      <formula>0.98</formula>
    </cfRule>
    <cfRule type="cellIs" dxfId="6" priority="8" operator="greaterThan">
      <formula>0.98</formula>
    </cfRule>
  </conditionalFormatting>
  <conditionalFormatting sqref="J23">
    <cfRule type="cellIs" dxfId="5" priority="5" operator="lessThan">
      <formula>0.98</formula>
    </cfRule>
    <cfRule type="cellIs" dxfId="4" priority="6" operator="greaterThan">
      <formula>0.98</formula>
    </cfRule>
  </conditionalFormatting>
  <conditionalFormatting sqref="J24">
    <cfRule type="cellIs" dxfId="3" priority="3" operator="lessThan">
      <formula>0.98</formula>
    </cfRule>
    <cfRule type="cellIs" dxfId="2" priority="4" operator="greaterThan">
      <formula>0.98</formula>
    </cfRule>
  </conditionalFormatting>
  <conditionalFormatting sqref="J25">
    <cfRule type="cellIs" dxfId="1" priority="1" operator="lessThan">
      <formula>0.98</formula>
    </cfRule>
    <cfRule type="cellIs" dxfId="0" priority="2" operator="greaterThan">
      <formula>0.98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de Winter</dc:creator>
  <cp:lastModifiedBy>Niels de Winter</cp:lastModifiedBy>
  <dcterms:created xsi:type="dcterms:W3CDTF">2018-07-30T07:00:30Z</dcterms:created>
  <dcterms:modified xsi:type="dcterms:W3CDTF">2018-08-01T10:27:55Z</dcterms:modified>
</cp:coreProperties>
</file>