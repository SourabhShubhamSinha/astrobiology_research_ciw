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janfa\Dropbox\PhD\magmatic volatile ratios\Submission GCA\Appendix\"/>
    </mc:Choice>
  </mc:AlternateContent>
  <xr:revisionPtr revIDLastSave="0" documentId="13_ncr:1_{5759EB0F-6400-46AB-A564-3FCCD745CE76}" xr6:coauthVersionLast="47" xr6:coauthVersionMax="47" xr10:uidLastSave="{00000000-0000-0000-0000-000000000000}"/>
  <bookViews>
    <workbookView xWindow="-108" yWindow="-108" windowWidth="23256" windowHeight="12576" firstSheet="3" activeTab="7" xr2:uid="{00000000-000D-0000-FFFF-FFFF00000000}"/>
  </bookViews>
  <sheets>
    <sheet name="Coupled LA-ICP-MS and SIMS data" sheetId="8" r:id="rId1"/>
    <sheet name="LA-ICP-MS data LOD" sheetId="12" r:id="rId2"/>
    <sheet name="Additional LA-ICP-MS data" sheetId="10" r:id="rId3"/>
    <sheet name="Pyrite  EPMA Data" sheetId="2" r:id="rId4"/>
    <sheet name="Native S Data" sheetId="7" r:id="rId5"/>
    <sheet name="Standards EPMA" sheetId="4" r:id="rId6"/>
    <sheet name="Standards LA-ICP-MS" sheetId="5" r:id="rId7"/>
    <sheet name="Standard LA-ICP-MS mapping" sheetId="11" r:id="rId8"/>
    <sheet name="SIMS raw data" sheetId="13" r:id="rId9"/>
    <sheet name="SIMS calibration" sheetId="14" r:id="rId10"/>
    <sheet name="SIMS d34S data" sheetId="15" r:id="rId11"/>
  </sheets>
  <externalReferences>
    <externalReference r:id="rId12"/>
  </externalReferences>
  <definedNames>
    <definedName name="ExterneDaten_1" localSheetId="3" hidden="1">'Pyrite  EPMA Data'!$D$1:$J$226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3" i="14" l="1"/>
  <c r="S53" i="14"/>
  <c r="T52" i="14"/>
  <c r="S52" i="14"/>
  <c r="T51" i="14"/>
  <c r="S51" i="14"/>
  <c r="T50" i="14"/>
  <c r="S50" i="14"/>
  <c r="T49" i="14"/>
  <c r="S49" i="14"/>
  <c r="T48" i="14"/>
  <c r="S48" i="14"/>
  <c r="T47" i="14"/>
  <c r="S47" i="14"/>
  <c r="T46" i="14"/>
  <c r="S46" i="14"/>
  <c r="T45" i="14"/>
  <c r="S45" i="14"/>
  <c r="T44" i="14"/>
  <c r="S44" i="14"/>
  <c r="T43" i="14"/>
  <c r="S43" i="14"/>
  <c r="T42" i="14"/>
  <c r="S42" i="14"/>
  <c r="T41" i="14"/>
  <c r="S41" i="14"/>
  <c r="T40" i="14"/>
  <c r="S40" i="14"/>
  <c r="T39" i="14"/>
  <c r="S39" i="14"/>
  <c r="T38" i="14"/>
  <c r="S38" i="14"/>
  <c r="T37" i="14"/>
  <c r="S37" i="14"/>
  <c r="T36" i="14"/>
  <c r="S36" i="14"/>
  <c r="T35" i="14"/>
  <c r="S35" i="14"/>
  <c r="T34" i="14"/>
  <c r="S34" i="14"/>
  <c r="T33" i="14"/>
  <c r="S33" i="14"/>
  <c r="T32" i="14"/>
  <c r="S32" i="14"/>
  <c r="T31" i="14"/>
  <c r="S31" i="14"/>
  <c r="T30" i="14"/>
  <c r="S30" i="14"/>
  <c r="T29" i="14"/>
  <c r="S29" i="14"/>
  <c r="T28" i="14"/>
  <c r="S28" i="14"/>
  <c r="T27" i="14"/>
  <c r="S27" i="14"/>
  <c r="T26" i="14"/>
  <c r="S26" i="14"/>
  <c r="T25" i="14"/>
  <c r="S25" i="14"/>
  <c r="T24" i="14"/>
  <c r="S24" i="14"/>
  <c r="T23" i="14"/>
  <c r="S23" i="14"/>
  <c r="T22" i="14"/>
  <c r="S22" i="14"/>
  <c r="T21" i="14"/>
  <c r="S21" i="14"/>
  <c r="T20" i="14"/>
  <c r="S20" i="14"/>
  <c r="T19" i="14"/>
  <c r="S19" i="14"/>
  <c r="T18" i="14"/>
  <c r="S18" i="14"/>
  <c r="T17" i="14"/>
  <c r="S17" i="14"/>
  <c r="T16" i="14"/>
  <c r="S16" i="14"/>
  <c r="T15" i="14"/>
  <c r="S15" i="14"/>
  <c r="T14" i="14"/>
  <c r="S14" i="14"/>
  <c r="T13" i="14"/>
  <c r="S13" i="14"/>
  <c r="T12" i="14"/>
  <c r="S12" i="14"/>
  <c r="T11" i="14"/>
  <c r="S11" i="14"/>
  <c r="T10" i="14"/>
  <c r="S10" i="14"/>
  <c r="T9" i="14"/>
  <c r="T56" i="14" s="1"/>
  <c r="S9" i="14"/>
  <c r="S54" i="14" s="1"/>
  <c r="S182" i="13"/>
  <c r="S181" i="13"/>
  <c r="S180" i="13"/>
  <c r="S179" i="13"/>
  <c r="S178" i="13"/>
  <c r="S177" i="13"/>
  <c r="S176" i="13"/>
  <c r="S175" i="13"/>
  <c r="S174" i="13"/>
  <c r="S173" i="13"/>
  <c r="S172" i="13"/>
  <c r="S171" i="13"/>
  <c r="S170" i="13"/>
  <c r="S169" i="13"/>
  <c r="S168" i="13"/>
  <c r="S167" i="13"/>
  <c r="S166" i="13"/>
  <c r="S165" i="13"/>
  <c r="S164" i="13"/>
  <c r="S163" i="13"/>
  <c r="S162" i="13"/>
  <c r="S161" i="13"/>
  <c r="S160" i="13"/>
  <c r="S159" i="13"/>
  <c r="S158" i="13"/>
  <c r="S157" i="13"/>
  <c r="S156" i="13"/>
  <c r="S155" i="13"/>
  <c r="S154" i="13"/>
  <c r="S153" i="13"/>
  <c r="S152" i="13"/>
  <c r="S151" i="13"/>
  <c r="S150" i="13"/>
  <c r="S149" i="13"/>
  <c r="S148" i="13"/>
  <c r="S147" i="13"/>
  <c r="S146" i="13"/>
  <c r="S145" i="13"/>
  <c r="S144" i="13"/>
  <c r="S143" i="13"/>
  <c r="S142" i="13"/>
  <c r="S141" i="13"/>
  <c r="S140" i="13"/>
  <c r="S139" i="13"/>
  <c r="S138" i="13"/>
  <c r="S137" i="13"/>
  <c r="S136" i="13"/>
  <c r="S135" i="13"/>
  <c r="S134" i="13"/>
  <c r="S133" i="13"/>
  <c r="S132" i="13"/>
  <c r="S131" i="13"/>
  <c r="S130" i="13"/>
  <c r="S129" i="13"/>
  <c r="S128" i="13"/>
  <c r="S127" i="13"/>
  <c r="S126" i="13"/>
  <c r="S125" i="13"/>
  <c r="S124" i="13"/>
  <c r="S123" i="13"/>
  <c r="S122" i="13"/>
  <c r="S121" i="13"/>
  <c r="S120" i="13"/>
  <c r="S119" i="13"/>
  <c r="S118" i="13"/>
  <c r="S117" i="13"/>
  <c r="S116" i="13"/>
  <c r="S115" i="13"/>
  <c r="S114" i="13"/>
  <c r="S113" i="13"/>
  <c r="S112" i="13"/>
  <c r="S111" i="13"/>
  <c r="S110" i="13"/>
  <c r="S109" i="13"/>
  <c r="S108" i="13"/>
  <c r="S107" i="13"/>
  <c r="S106" i="13"/>
  <c r="S105" i="13"/>
  <c r="S104" i="13"/>
  <c r="S103" i="13"/>
  <c r="S102" i="13"/>
  <c r="S101" i="13"/>
  <c r="S100" i="13"/>
  <c r="S99" i="13"/>
  <c r="S98" i="13"/>
  <c r="S97" i="13"/>
  <c r="S96" i="13"/>
  <c r="S95" i="13"/>
  <c r="S94" i="13"/>
  <c r="S93" i="13"/>
  <c r="S92" i="13"/>
  <c r="S91" i="13"/>
  <c r="S90" i="13"/>
  <c r="S89" i="13"/>
  <c r="S88" i="13"/>
  <c r="S87" i="13"/>
  <c r="S86" i="13"/>
  <c r="S85" i="13"/>
  <c r="S84" i="13"/>
  <c r="S83" i="13"/>
  <c r="S82" i="13"/>
  <c r="S81" i="13"/>
  <c r="S80" i="13"/>
  <c r="S79" i="13"/>
  <c r="S78" i="13"/>
  <c r="S77" i="13"/>
  <c r="S76" i="13"/>
  <c r="S75" i="13"/>
  <c r="S74" i="13"/>
  <c r="S73" i="13"/>
  <c r="S72" i="13"/>
  <c r="S71" i="13"/>
  <c r="S70" i="13"/>
  <c r="S69" i="13"/>
  <c r="S68" i="13"/>
  <c r="S67" i="13"/>
  <c r="S66" i="13"/>
  <c r="S65" i="13"/>
  <c r="S64" i="13"/>
  <c r="S63" i="13"/>
  <c r="S62" i="13"/>
  <c r="S61" i="13"/>
  <c r="S60" i="13"/>
  <c r="S59" i="13"/>
  <c r="S58" i="13"/>
  <c r="S57" i="13"/>
  <c r="S56" i="13"/>
  <c r="S55" i="13"/>
  <c r="S54" i="13"/>
  <c r="S53" i="13"/>
  <c r="S52" i="13"/>
  <c r="S51" i="13"/>
  <c r="S50" i="13"/>
  <c r="S49" i="13"/>
  <c r="S48" i="13"/>
  <c r="S47" i="13"/>
  <c r="S46" i="13"/>
  <c r="S45" i="13"/>
  <c r="S44" i="13"/>
  <c r="S43" i="13"/>
  <c r="S42" i="13"/>
  <c r="S41" i="13"/>
  <c r="S40" i="13"/>
  <c r="S39" i="13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T5" i="13"/>
  <c r="W134" i="15"/>
  <c r="U134" i="15"/>
  <c r="V134" i="15" s="1"/>
  <c r="S134" i="15"/>
  <c r="T134" i="15" s="1"/>
  <c r="W133" i="15"/>
  <c r="U133" i="15"/>
  <c r="V133" i="15" s="1"/>
  <c r="S133" i="15"/>
  <c r="T133" i="15" s="1"/>
  <c r="W132" i="15"/>
  <c r="U132" i="15"/>
  <c r="V132" i="15" s="1"/>
  <c r="S132" i="15"/>
  <c r="T132" i="15" s="1"/>
  <c r="W131" i="15"/>
  <c r="U131" i="15"/>
  <c r="V131" i="15" s="1"/>
  <c r="S131" i="15"/>
  <c r="W130" i="15"/>
  <c r="U130" i="15"/>
  <c r="V130" i="15" s="1"/>
  <c r="T130" i="15"/>
  <c r="S130" i="15"/>
  <c r="W129" i="15"/>
  <c r="U129" i="15"/>
  <c r="S129" i="15"/>
  <c r="W128" i="15"/>
  <c r="V128" i="15"/>
  <c r="U128" i="15"/>
  <c r="S128" i="15"/>
  <c r="T128" i="15" s="1"/>
  <c r="W127" i="15"/>
  <c r="U127" i="15"/>
  <c r="S127" i="15"/>
  <c r="T127" i="15" s="1"/>
  <c r="W126" i="15"/>
  <c r="U126" i="15"/>
  <c r="V126" i="15" s="1"/>
  <c r="S126" i="15"/>
  <c r="T126" i="15" s="1"/>
  <c r="W125" i="15"/>
  <c r="U125" i="15"/>
  <c r="V125" i="15" s="1"/>
  <c r="S125" i="15"/>
  <c r="T125" i="15" s="1"/>
  <c r="W124" i="15"/>
  <c r="U124" i="15"/>
  <c r="V124" i="15" s="1"/>
  <c r="S124" i="15"/>
  <c r="T124" i="15" s="1"/>
  <c r="W123" i="15"/>
  <c r="U123" i="15"/>
  <c r="V123" i="15" s="1"/>
  <c r="S123" i="15"/>
  <c r="W122" i="15"/>
  <c r="U122" i="15"/>
  <c r="V122" i="15" s="1"/>
  <c r="T122" i="15"/>
  <c r="S122" i="15"/>
  <c r="W121" i="15"/>
  <c r="U121" i="15"/>
  <c r="S121" i="15"/>
  <c r="W120" i="15"/>
  <c r="V120" i="15"/>
  <c r="U120" i="15"/>
  <c r="S120" i="15"/>
  <c r="T120" i="15" s="1"/>
  <c r="W119" i="15"/>
  <c r="U119" i="15"/>
  <c r="S119" i="15"/>
  <c r="T119" i="15" s="1"/>
  <c r="W118" i="15"/>
  <c r="U118" i="15"/>
  <c r="V118" i="15" s="1"/>
  <c r="S118" i="15"/>
  <c r="T118" i="15" s="1"/>
  <c r="W117" i="15"/>
  <c r="U117" i="15"/>
  <c r="V117" i="15" s="1"/>
  <c r="S117" i="15"/>
  <c r="T117" i="15" s="1"/>
  <c r="W116" i="15"/>
  <c r="U116" i="15"/>
  <c r="V116" i="15" s="1"/>
  <c r="S116" i="15"/>
  <c r="T116" i="15" s="1"/>
  <c r="W115" i="15"/>
  <c r="U115" i="15"/>
  <c r="V115" i="15" s="1"/>
  <c r="S115" i="15"/>
  <c r="W114" i="15"/>
  <c r="U114" i="15"/>
  <c r="V114" i="15" s="1"/>
  <c r="T114" i="15"/>
  <c r="S114" i="15"/>
  <c r="W113" i="15"/>
  <c r="U113" i="15"/>
  <c r="S113" i="15"/>
  <c r="W112" i="15"/>
  <c r="V112" i="15"/>
  <c r="U112" i="15"/>
  <c r="S112" i="15"/>
  <c r="T112" i="15" s="1"/>
  <c r="W111" i="15"/>
  <c r="U111" i="15"/>
  <c r="S111" i="15"/>
  <c r="T111" i="15" s="1"/>
  <c r="W110" i="15"/>
  <c r="U110" i="15"/>
  <c r="V110" i="15" s="1"/>
  <c r="S110" i="15"/>
  <c r="T110" i="15" s="1"/>
  <c r="W109" i="15"/>
  <c r="U109" i="15"/>
  <c r="V109" i="15" s="1"/>
  <c r="S109" i="15"/>
  <c r="T109" i="15" s="1"/>
  <c r="W108" i="15"/>
  <c r="U108" i="15"/>
  <c r="V108" i="15" s="1"/>
  <c r="S108" i="15"/>
  <c r="T108" i="15" s="1"/>
  <c r="W107" i="15"/>
  <c r="U107" i="15"/>
  <c r="V107" i="15" s="1"/>
  <c r="S107" i="15"/>
  <c r="W106" i="15"/>
  <c r="U106" i="15"/>
  <c r="V106" i="15" s="1"/>
  <c r="T106" i="15"/>
  <c r="S106" i="15"/>
  <c r="W105" i="15"/>
  <c r="U105" i="15"/>
  <c r="S105" i="15"/>
  <c r="W104" i="15"/>
  <c r="V104" i="15"/>
  <c r="U104" i="15"/>
  <c r="S104" i="15"/>
  <c r="T104" i="15" s="1"/>
  <c r="W103" i="15"/>
  <c r="U103" i="15"/>
  <c r="S103" i="15"/>
  <c r="T103" i="15" s="1"/>
  <c r="W102" i="15"/>
  <c r="U102" i="15"/>
  <c r="V102" i="15" s="1"/>
  <c r="S102" i="15"/>
  <c r="T102" i="15" s="1"/>
  <c r="W101" i="15"/>
  <c r="U101" i="15"/>
  <c r="V101" i="15" s="1"/>
  <c r="S101" i="15"/>
  <c r="T101" i="15" s="1"/>
  <c r="W100" i="15"/>
  <c r="U100" i="15"/>
  <c r="V100" i="15" s="1"/>
  <c r="S100" i="15"/>
  <c r="T100" i="15" s="1"/>
  <c r="W99" i="15"/>
  <c r="U99" i="15"/>
  <c r="V99" i="15" s="1"/>
  <c r="S99" i="15"/>
  <c r="W98" i="15"/>
  <c r="U98" i="15"/>
  <c r="V98" i="15" s="1"/>
  <c r="T98" i="15"/>
  <c r="S98" i="15"/>
  <c r="W97" i="15"/>
  <c r="U97" i="15"/>
  <c r="S97" i="15"/>
  <c r="W96" i="15"/>
  <c r="V96" i="15"/>
  <c r="U96" i="15"/>
  <c r="S96" i="15"/>
  <c r="T96" i="15" s="1"/>
  <c r="W95" i="15"/>
  <c r="U95" i="15"/>
  <c r="V95" i="15" s="1"/>
  <c r="S95" i="15"/>
  <c r="T95" i="15" s="1"/>
  <c r="W94" i="15"/>
  <c r="U94" i="15"/>
  <c r="V94" i="15" s="1"/>
  <c r="S94" i="15"/>
  <c r="T94" i="15" s="1"/>
  <c r="W93" i="15"/>
  <c r="U93" i="15"/>
  <c r="V93" i="15" s="1"/>
  <c r="S93" i="15"/>
  <c r="T93" i="15" s="1"/>
  <c r="W92" i="15"/>
  <c r="U92" i="15"/>
  <c r="V92" i="15" s="1"/>
  <c r="S92" i="15"/>
  <c r="W91" i="15"/>
  <c r="U91" i="15"/>
  <c r="V91" i="15" s="1"/>
  <c r="S91" i="15"/>
  <c r="W90" i="15"/>
  <c r="U90" i="15"/>
  <c r="V90" i="15" s="1"/>
  <c r="T90" i="15"/>
  <c r="S90" i="15"/>
  <c r="W89" i="15"/>
  <c r="U89" i="15"/>
  <c r="S89" i="15"/>
  <c r="W88" i="15"/>
  <c r="V88" i="15"/>
  <c r="U88" i="15"/>
  <c r="S88" i="15"/>
  <c r="T88" i="15" s="1"/>
  <c r="W87" i="15"/>
  <c r="U87" i="15"/>
  <c r="V87" i="15" s="1"/>
  <c r="S87" i="15"/>
  <c r="T87" i="15" s="1"/>
  <c r="W86" i="15"/>
  <c r="U86" i="15"/>
  <c r="V86" i="15" s="1"/>
  <c r="S86" i="15"/>
  <c r="T86" i="15" s="1"/>
  <c r="W85" i="15"/>
  <c r="U85" i="15"/>
  <c r="V85" i="15" s="1"/>
  <c r="S85" i="15"/>
  <c r="T85" i="15" s="1"/>
  <c r="W84" i="15"/>
  <c r="U84" i="15"/>
  <c r="V84" i="15" s="1"/>
  <c r="S84" i="15"/>
  <c r="T84" i="15" s="1"/>
  <c r="W83" i="15"/>
  <c r="U83" i="15"/>
  <c r="V83" i="15" s="1"/>
  <c r="S83" i="15"/>
  <c r="W82" i="15"/>
  <c r="U82" i="15"/>
  <c r="V82" i="15" s="1"/>
  <c r="T82" i="15"/>
  <c r="S82" i="15"/>
  <c r="W81" i="15"/>
  <c r="U81" i="15"/>
  <c r="S81" i="15"/>
  <c r="W80" i="15"/>
  <c r="V80" i="15"/>
  <c r="U80" i="15"/>
  <c r="S80" i="15"/>
  <c r="T80" i="15" s="1"/>
  <c r="W79" i="15"/>
  <c r="U79" i="15"/>
  <c r="S79" i="15"/>
  <c r="T79" i="15" s="1"/>
  <c r="W78" i="15"/>
  <c r="U78" i="15"/>
  <c r="V78" i="15" s="1"/>
  <c r="S78" i="15"/>
  <c r="T78" i="15" s="1"/>
  <c r="W77" i="15"/>
  <c r="U77" i="15"/>
  <c r="V77" i="15" s="1"/>
  <c r="S77" i="15"/>
  <c r="T77" i="15" s="1"/>
  <c r="W76" i="15"/>
  <c r="U76" i="15"/>
  <c r="V76" i="15" s="1"/>
  <c r="S76" i="15"/>
  <c r="T76" i="15" s="1"/>
  <c r="W75" i="15"/>
  <c r="U75" i="15"/>
  <c r="V75" i="15" s="1"/>
  <c r="S75" i="15"/>
  <c r="W74" i="15"/>
  <c r="U74" i="15"/>
  <c r="V74" i="15" s="1"/>
  <c r="T74" i="15"/>
  <c r="S74" i="15"/>
  <c r="W73" i="15"/>
  <c r="U73" i="15"/>
  <c r="S73" i="15"/>
  <c r="W72" i="15"/>
  <c r="V72" i="15"/>
  <c r="U72" i="15"/>
  <c r="S72" i="15"/>
  <c r="T72" i="15" s="1"/>
  <c r="W71" i="15"/>
  <c r="U71" i="15"/>
  <c r="S71" i="15"/>
  <c r="T71" i="15" s="1"/>
  <c r="W70" i="15"/>
  <c r="U70" i="15"/>
  <c r="V70" i="15" s="1"/>
  <c r="S70" i="15"/>
  <c r="T70" i="15" s="1"/>
  <c r="W69" i="15"/>
  <c r="U69" i="15"/>
  <c r="V69" i="15" s="1"/>
  <c r="S69" i="15"/>
  <c r="T69" i="15" s="1"/>
  <c r="W68" i="15"/>
  <c r="U68" i="15"/>
  <c r="V68" i="15" s="1"/>
  <c r="S68" i="15"/>
  <c r="T68" i="15" s="1"/>
  <c r="W67" i="15"/>
  <c r="U67" i="15"/>
  <c r="V67" i="15" s="1"/>
  <c r="S67" i="15"/>
  <c r="W66" i="15"/>
  <c r="U66" i="15"/>
  <c r="V66" i="15" s="1"/>
  <c r="T66" i="15"/>
  <c r="S66" i="15"/>
  <c r="W65" i="15"/>
  <c r="U65" i="15"/>
  <c r="S65" i="15"/>
  <c r="W64" i="15"/>
  <c r="V64" i="15"/>
  <c r="U64" i="15"/>
  <c r="S64" i="15"/>
  <c r="T64" i="15" s="1"/>
  <c r="W63" i="15"/>
  <c r="U63" i="15"/>
  <c r="S63" i="15"/>
  <c r="T63" i="15" s="1"/>
  <c r="W62" i="15"/>
  <c r="U62" i="15"/>
  <c r="V62" i="15" s="1"/>
  <c r="S62" i="15"/>
  <c r="T62" i="15" s="1"/>
  <c r="W61" i="15"/>
  <c r="U61" i="15"/>
  <c r="V61" i="15" s="1"/>
  <c r="S61" i="15"/>
  <c r="T61" i="15" s="1"/>
  <c r="W60" i="15"/>
  <c r="U60" i="15"/>
  <c r="V60" i="15" s="1"/>
  <c r="S60" i="15"/>
  <c r="T60" i="15" s="1"/>
  <c r="W59" i="15"/>
  <c r="U59" i="15"/>
  <c r="V59" i="15" s="1"/>
  <c r="T59" i="15"/>
  <c r="S59" i="15"/>
  <c r="W58" i="15"/>
  <c r="U58" i="15"/>
  <c r="V58" i="15" s="1"/>
  <c r="T58" i="15"/>
  <c r="S58" i="15"/>
  <c r="W57" i="15"/>
  <c r="V57" i="15"/>
  <c r="U57" i="15"/>
  <c r="S57" i="15"/>
  <c r="W56" i="15"/>
  <c r="V56" i="15"/>
  <c r="U56" i="15"/>
  <c r="S56" i="15"/>
  <c r="T56" i="15" s="1"/>
  <c r="W55" i="15"/>
  <c r="U55" i="15"/>
  <c r="S55" i="15"/>
  <c r="T55" i="15" s="1"/>
  <c r="W54" i="15"/>
  <c r="U54" i="15"/>
  <c r="V54" i="15" s="1"/>
  <c r="S54" i="15"/>
  <c r="T54" i="15" s="1"/>
  <c r="W53" i="15"/>
  <c r="U53" i="15"/>
  <c r="V53" i="15" s="1"/>
  <c r="S53" i="15"/>
  <c r="T53" i="15" s="1"/>
  <c r="W52" i="15"/>
  <c r="U52" i="15"/>
  <c r="V52" i="15" s="1"/>
  <c r="S52" i="15"/>
  <c r="T52" i="15" s="1"/>
  <c r="W51" i="15"/>
  <c r="U51" i="15"/>
  <c r="V51" i="15" s="1"/>
  <c r="T51" i="15"/>
  <c r="S51" i="15"/>
  <c r="W50" i="15"/>
  <c r="U50" i="15"/>
  <c r="V50" i="15" s="1"/>
  <c r="T50" i="15"/>
  <c r="S50" i="15"/>
  <c r="W49" i="15"/>
  <c r="V49" i="15"/>
  <c r="U49" i="15"/>
  <c r="S49" i="15"/>
  <c r="W48" i="15"/>
  <c r="V48" i="15"/>
  <c r="U48" i="15"/>
  <c r="S48" i="15"/>
  <c r="T48" i="15" s="1"/>
  <c r="W47" i="15"/>
  <c r="U47" i="15"/>
  <c r="S47" i="15"/>
  <c r="T47" i="15" s="1"/>
  <c r="W46" i="15"/>
  <c r="U46" i="15"/>
  <c r="V46" i="15" s="1"/>
  <c r="S46" i="15"/>
  <c r="T46" i="15" s="1"/>
  <c r="W45" i="15"/>
  <c r="U45" i="15"/>
  <c r="V45" i="15" s="1"/>
  <c r="S45" i="15"/>
  <c r="T45" i="15" s="1"/>
  <c r="W44" i="15"/>
  <c r="U44" i="15"/>
  <c r="V44" i="15" s="1"/>
  <c r="S44" i="15"/>
  <c r="T44" i="15" s="1"/>
  <c r="W43" i="15"/>
  <c r="U43" i="15"/>
  <c r="V43" i="15" s="1"/>
  <c r="T43" i="15"/>
  <c r="S43" i="15"/>
  <c r="W42" i="15"/>
  <c r="U42" i="15"/>
  <c r="V42" i="15" s="1"/>
  <c r="T42" i="15"/>
  <c r="S42" i="15"/>
  <c r="W41" i="15"/>
  <c r="V41" i="15"/>
  <c r="U41" i="15"/>
  <c r="S41" i="15"/>
  <c r="W40" i="15"/>
  <c r="V40" i="15"/>
  <c r="U40" i="15"/>
  <c r="S40" i="15"/>
  <c r="T40" i="15" s="1"/>
  <c r="W39" i="15"/>
  <c r="U39" i="15"/>
  <c r="S39" i="15"/>
  <c r="T39" i="15" s="1"/>
  <c r="W38" i="15"/>
  <c r="U38" i="15"/>
  <c r="V38" i="15" s="1"/>
  <c r="S38" i="15"/>
  <c r="T38" i="15" s="1"/>
  <c r="W37" i="15"/>
  <c r="U37" i="15"/>
  <c r="V37" i="15" s="1"/>
  <c r="S37" i="15"/>
  <c r="T37" i="15" s="1"/>
  <c r="W36" i="15"/>
  <c r="U36" i="15"/>
  <c r="V36" i="15" s="1"/>
  <c r="S36" i="15"/>
  <c r="T36" i="15" s="1"/>
  <c r="W35" i="15"/>
  <c r="U35" i="15"/>
  <c r="V35" i="15" s="1"/>
  <c r="T35" i="15"/>
  <c r="S35" i="15"/>
  <c r="W34" i="15"/>
  <c r="U34" i="15"/>
  <c r="V34" i="15" s="1"/>
  <c r="T34" i="15"/>
  <c r="S34" i="15"/>
  <c r="W33" i="15"/>
  <c r="V33" i="15"/>
  <c r="U33" i="15"/>
  <c r="S33" i="15"/>
  <c r="W32" i="15"/>
  <c r="V32" i="15"/>
  <c r="U32" i="15"/>
  <c r="S32" i="15"/>
  <c r="T32" i="15" s="1"/>
  <c r="W31" i="15"/>
  <c r="U31" i="15"/>
  <c r="S31" i="15"/>
  <c r="T31" i="15" s="1"/>
  <c r="W30" i="15"/>
  <c r="U30" i="15"/>
  <c r="V30" i="15" s="1"/>
  <c r="S30" i="15"/>
  <c r="T30" i="15" s="1"/>
  <c r="W29" i="15"/>
  <c r="U29" i="15"/>
  <c r="V29" i="15" s="1"/>
  <c r="S29" i="15"/>
  <c r="T29" i="15" s="1"/>
  <c r="W28" i="15"/>
  <c r="U28" i="15"/>
  <c r="V28" i="15" s="1"/>
  <c r="S28" i="15"/>
  <c r="T28" i="15" s="1"/>
  <c r="W27" i="15"/>
  <c r="U27" i="15"/>
  <c r="V27" i="15" s="1"/>
  <c r="T27" i="15"/>
  <c r="S27" i="15"/>
  <c r="W26" i="15"/>
  <c r="U26" i="15"/>
  <c r="V26" i="15" s="1"/>
  <c r="T26" i="15"/>
  <c r="S26" i="15"/>
  <c r="W25" i="15"/>
  <c r="V25" i="15"/>
  <c r="U25" i="15"/>
  <c r="S25" i="15"/>
  <c r="W24" i="15"/>
  <c r="V24" i="15"/>
  <c r="U24" i="15"/>
  <c r="S24" i="15"/>
  <c r="T24" i="15" s="1"/>
  <c r="W23" i="15"/>
  <c r="U23" i="15"/>
  <c r="V23" i="15" s="1"/>
  <c r="S23" i="15"/>
  <c r="T23" i="15" s="1"/>
  <c r="W22" i="15"/>
  <c r="U22" i="15"/>
  <c r="V22" i="15" s="1"/>
  <c r="S22" i="15"/>
  <c r="T22" i="15" s="1"/>
  <c r="W21" i="15"/>
  <c r="U21" i="15"/>
  <c r="V21" i="15" s="1"/>
  <c r="S21" i="15"/>
  <c r="T21" i="15" s="1"/>
  <c r="W20" i="15"/>
  <c r="U20" i="15"/>
  <c r="V20" i="15" s="1"/>
  <c r="S20" i="15"/>
  <c r="T20" i="15" s="1"/>
  <c r="W19" i="15"/>
  <c r="U19" i="15"/>
  <c r="V19" i="15" s="1"/>
  <c r="T19" i="15"/>
  <c r="S19" i="15"/>
  <c r="W18" i="15"/>
  <c r="U18" i="15"/>
  <c r="V18" i="15" s="1"/>
  <c r="T18" i="15"/>
  <c r="S18" i="15"/>
  <c r="W17" i="15"/>
  <c r="V17" i="15"/>
  <c r="U17" i="15"/>
  <c r="S17" i="15"/>
  <c r="W16" i="15"/>
  <c r="V16" i="15"/>
  <c r="U16" i="15"/>
  <c r="S16" i="15"/>
  <c r="T16" i="15" s="1"/>
  <c r="W15" i="15"/>
  <c r="U15" i="15"/>
  <c r="V15" i="15" s="1"/>
  <c r="S15" i="15"/>
  <c r="T15" i="15" s="1"/>
  <c r="W14" i="15"/>
  <c r="U14" i="15"/>
  <c r="V14" i="15" s="1"/>
  <c r="S14" i="15"/>
  <c r="T14" i="15" s="1"/>
  <c r="W13" i="15"/>
  <c r="U13" i="15"/>
  <c r="V13" i="15" s="1"/>
  <c r="S13" i="15"/>
  <c r="T13" i="15" s="1"/>
  <c r="W12" i="15"/>
  <c r="U12" i="15"/>
  <c r="V12" i="15" s="1"/>
  <c r="S12" i="15"/>
  <c r="T12" i="15" s="1"/>
  <c r="W11" i="15"/>
  <c r="U11" i="15"/>
  <c r="V11" i="15" s="1"/>
  <c r="T11" i="15"/>
  <c r="S11" i="15"/>
  <c r="W10" i="15"/>
  <c r="U10" i="15"/>
  <c r="V10" i="15" s="1"/>
  <c r="T10" i="15"/>
  <c r="S10" i="15"/>
  <c r="W9" i="15"/>
  <c r="V9" i="15"/>
  <c r="U9" i="15"/>
  <c r="S9" i="15"/>
  <c r="W8" i="15"/>
  <c r="V8" i="15"/>
  <c r="U8" i="15"/>
  <c r="S8" i="15"/>
  <c r="T8" i="15" s="1"/>
  <c r="D4" i="15"/>
  <c r="T131" i="15" s="1"/>
  <c r="D3" i="15"/>
  <c r="V129" i="15" s="1"/>
  <c r="N10" i="2"/>
  <c r="K49" i="11"/>
  <c r="J49" i="11"/>
  <c r="I49" i="11"/>
  <c r="H49" i="11"/>
  <c r="G49" i="11"/>
  <c r="F49" i="11"/>
  <c r="D49" i="11"/>
  <c r="K24" i="11"/>
  <c r="J24" i="11"/>
  <c r="I24" i="11"/>
  <c r="H24" i="11"/>
  <c r="G24" i="11"/>
  <c r="F24" i="11"/>
  <c r="D24" i="11"/>
  <c r="C37" i="5"/>
  <c r="D37" i="5"/>
  <c r="E37" i="5"/>
  <c r="F37" i="5"/>
  <c r="G37" i="5"/>
  <c r="H37" i="5"/>
  <c r="H39" i="5" s="1"/>
  <c r="I37" i="5"/>
  <c r="J37" i="5"/>
  <c r="K37" i="5"/>
  <c r="L37" i="5"/>
  <c r="M37" i="5"/>
  <c r="N37" i="5"/>
  <c r="O37" i="5"/>
  <c r="P37" i="5"/>
  <c r="Q37" i="5"/>
  <c r="Q38" i="5" s="1"/>
  <c r="R37" i="5"/>
  <c r="R39" i="5" s="1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R38" i="5"/>
  <c r="C39" i="5"/>
  <c r="D39" i="5"/>
  <c r="E39" i="5"/>
  <c r="F39" i="5"/>
  <c r="I39" i="5"/>
  <c r="J39" i="5"/>
  <c r="K39" i="5"/>
  <c r="M39" i="5"/>
  <c r="N39" i="5"/>
  <c r="O39" i="5"/>
  <c r="B37" i="5"/>
  <c r="B39" i="5" s="1"/>
  <c r="O24" i="5"/>
  <c r="O25" i="5"/>
  <c r="O26" i="5"/>
  <c r="B24" i="5"/>
  <c r="B26" i="5" s="1"/>
  <c r="C12" i="5"/>
  <c r="D12" i="5"/>
  <c r="E12" i="5"/>
  <c r="F12" i="5"/>
  <c r="G12" i="5"/>
  <c r="H12" i="5"/>
  <c r="I12" i="5"/>
  <c r="J12" i="5"/>
  <c r="K12" i="5"/>
  <c r="L12" i="5"/>
  <c r="M12" i="5"/>
  <c r="N12" i="5"/>
  <c r="P12" i="5"/>
  <c r="Q12" i="5"/>
  <c r="R12" i="5"/>
  <c r="B12" i="5"/>
  <c r="C11" i="5"/>
  <c r="D11" i="5"/>
  <c r="E11" i="5"/>
  <c r="F11" i="5"/>
  <c r="G11" i="5"/>
  <c r="G13" i="5" s="1"/>
  <c r="H11" i="5"/>
  <c r="I11" i="5"/>
  <c r="J11" i="5"/>
  <c r="K11" i="5"/>
  <c r="L11" i="5"/>
  <c r="M11" i="5"/>
  <c r="N11" i="5"/>
  <c r="P11" i="5"/>
  <c r="Q11" i="5"/>
  <c r="R11" i="5"/>
  <c r="C13" i="5"/>
  <c r="D13" i="5"/>
  <c r="E13" i="5"/>
  <c r="F13" i="5"/>
  <c r="H13" i="5"/>
  <c r="I13" i="5"/>
  <c r="J13" i="5"/>
  <c r="K13" i="5"/>
  <c r="L13" i="5"/>
  <c r="M13" i="5"/>
  <c r="N13" i="5"/>
  <c r="P13" i="5"/>
  <c r="Q13" i="5"/>
  <c r="R13" i="5"/>
  <c r="B13" i="5"/>
  <c r="B11" i="5"/>
  <c r="N21" i="2"/>
  <c r="N20" i="2"/>
  <c r="N19" i="2"/>
  <c r="N18" i="2"/>
  <c r="N17" i="2"/>
  <c r="N16" i="2"/>
  <c r="N15" i="2"/>
  <c r="N14" i="2"/>
  <c r="N13" i="2"/>
  <c r="N12" i="2"/>
  <c r="N11" i="2"/>
  <c r="T54" i="14" l="1"/>
  <c r="D4" i="14" s="1"/>
  <c r="T55" i="14"/>
  <c r="T92" i="15"/>
  <c r="T9" i="15"/>
  <c r="T17" i="15"/>
  <c r="T25" i="15"/>
  <c r="V31" i="15"/>
  <c r="T33" i="15"/>
  <c r="V39" i="15"/>
  <c r="T41" i="15"/>
  <c r="V47" i="15"/>
  <c r="T49" i="15"/>
  <c r="V55" i="15"/>
  <c r="T57" i="15"/>
  <c r="V63" i="15"/>
  <c r="T65" i="15"/>
  <c r="V71" i="15"/>
  <c r="T73" i="15"/>
  <c r="V79" i="15"/>
  <c r="T81" i="15"/>
  <c r="T89" i="15"/>
  <c r="T97" i="15"/>
  <c r="V103" i="15"/>
  <c r="T105" i="15"/>
  <c r="V111" i="15"/>
  <c r="T113" i="15"/>
  <c r="V119" i="15"/>
  <c r="T121" i="15"/>
  <c r="V127" i="15"/>
  <c r="T129" i="15"/>
  <c r="V65" i="15"/>
  <c r="T67" i="15"/>
  <c r="V73" i="15"/>
  <c r="T75" i="15"/>
  <c r="V81" i="15"/>
  <c r="T83" i="15"/>
  <c r="V89" i="15"/>
  <c r="T91" i="15"/>
  <c r="V97" i="15"/>
  <c r="T99" i="15"/>
  <c r="V105" i="15"/>
  <c r="T107" i="15"/>
  <c r="V113" i="15"/>
  <c r="T115" i="15"/>
  <c r="V121" i="15"/>
  <c r="T123" i="15"/>
  <c r="Q39" i="5"/>
  <c r="B38" i="5"/>
  <c r="B2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13FD14-54E3-4B7C-9F0D-12B0D8C4E8A6}" keepAlive="1" name="Abfrage - 220822_summary" description="Verbindung mit der Abfrage '220822_summary' in der Arbeitsmappe." type="5" refreshedVersion="8" background="1" saveData="1">
    <dbPr connection="Provider=Microsoft.Mashup.OleDb.1;Data Source=$Workbook$;Location=220822_summary;Extended Properties=&quot;&quot;" command="SELECT * FROM [220822_summary]"/>
  </connection>
  <connection id="2" xr16:uid="{F5D5EFBC-3F6F-4598-87BE-9FB0EF17C083}" keepAlive="1" name="Abfrage - 230822_JF_summary" description="Verbindung mit der Abfrage '230822_JF_summary' in der Arbeitsmappe." type="5" refreshedVersion="0" background="1">
    <dbPr connection="Provider=Microsoft.Mashup.OleDb.1;Data Source=$Workbook$;Location=230822_JF_summary;Extended Properties=&quot;&quot;" command="SELECT * FROM [230822_JF_summary]"/>
  </connection>
</connections>
</file>

<file path=xl/sharedStrings.xml><?xml version="1.0" encoding="utf-8"?>
<sst xmlns="http://schemas.openxmlformats.org/spreadsheetml/2006/main" count="4863" uniqueCount="955">
  <si>
    <t xml:space="preserve">   Te    </t>
  </si>
  <si>
    <t xml:space="preserve">   As    </t>
  </si>
  <si>
    <t xml:space="preserve">   S     </t>
  </si>
  <si>
    <t xml:space="preserve">   Cu    </t>
  </si>
  <si>
    <t xml:space="preserve">   Cd    </t>
  </si>
  <si>
    <t xml:space="preserve">   Au    </t>
  </si>
  <si>
    <t xml:space="preserve">   Ag    </t>
  </si>
  <si>
    <t xml:space="preserve">   Fe    </t>
  </si>
  <si>
    <t xml:space="preserve">   Sb    </t>
  </si>
  <si>
    <t xml:space="preserve">   Pb    </t>
  </si>
  <si>
    <t xml:space="preserve">   Zn    </t>
  </si>
  <si>
    <t xml:space="preserve">  Total  </t>
  </si>
  <si>
    <t xml:space="preserve">Comment  </t>
  </si>
  <si>
    <t xml:space="preserve">Std_py </t>
  </si>
  <si>
    <t xml:space="preserve">54r10_py </t>
  </si>
  <si>
    <t xml:space="preserve">49TVG_1_1 </t>
  </si>
  <si>
    <t xml:space="preserve">49TVG_1_2 </t>
  </si>
  <si>
    <t xml:space="preserve">49TVG_1_3 </t>
  </si>
  <si>
    <t xml:space="preserve">49TVG_1_4 </t>
  </si>
  <si>
    <t xml:space="preserve">49TVG_1_5 </t>
  </si>
  <si>
    <t xml:space="preserve">49TVG_1_6 </t>
  </si>
  <si>
    <t xml:space="preserve">49TVG_1_7 </t>
  </si>
  <si>
    <t xml:space="preserve">49TVG_1_8 </t>
  </si>
  <si>
    <t xml:space="preserve">49TVG_1_9 </t>
  </si>
  <si>
    <t xml:space="preserve">49TVG_1_10 </t>
  </si>
  <si>
    <t xml:space="preserve">49TVG_1_11 </t>
  </si>
  <si>
    <t xml:space="preserve">49TVG_1_12 </t>
  </si>
  <si>
    <t xml:space="preserve">49TVG_1_13 </t>
  </si>
  <si>
    <t xml:space="preserve">49TVG_1_14 </t>
  </si>
  <si>
    <t xml:space="preserve">49TVG_1_15 </t>
  </si>
  <si>
    <t xml:space="preserve">49TVG_1_16 </t>
  </si>
  <si>
    <t xml:space="preserve">49TVG_1_17 </t>
  </si>
  <si>
    <t xml:space="preserve">49TVG_1_18 </t>
  </si>
  <si>
    <t xml:space="preserve">69tvg_5_1 </t>
  </si>
  <si>
    <t xml:space="preserve">69tvg_5_2 </t>
  </si>
  <si>
    <t xml:space="preserve">69tvg_5_3 </t>
  </si>
  <si>
    <t xml:space="preserve">69tvg_5_4 </t>
  </si>
  <si>
    <t xml:space="preserve">69tvg_5_5 </t>
  </si>
  <si>
    <t xml:space="preserve">69tvg_5_6 </t>
  </si>
  <si>
    <t xml:space="preserve">69tvg_5_7 </t>
  </si>
  <si>
    <t xml:space="preserve">69tvg_5_8 </t>
  </si>
  <si>
    <t xml:space="preserve">69tvg_5_9 </t>
  </si>
  <si>
    <t xml:space="preserve">69tvg_5_10 </t>
  </si>
  <si>
    <t xml:space="preserve">69tvg_5_11 </t>
  </si>
  <si>
    <t xml:space="preserve">69tvg_5_12 </t>
  </si>
  <si>
    <t xml:space="preserve">69tvg_5_13 </t>
  </si>
  <si>
    <t xml:space="preserve">69tvg_5_14 </t>
  </si>
  <si>
    <t xml:space="preserve">69tvg_5_15 </t>
  </si>
  <si>
    <t xml:space="preserve">52Dr_8_1 </t>
  </si>
  <si>
    <t xml:space="preserve">52Dr_8_2 </t>
  </si>
  <si>
    <t xml:space="preserve">52Dr_8_3 </t>
  </si>
  <si>
    <t xml:space="preserve">52Dr_8_4 </t>
  </si>
  <si>
    <t xml:space="preserve">52Dr_8_5 </t>
  </si>
  <si>
    <t xml:space="preserve">52Dr_8_6 </t>
  </si>
  <si>
    <t xml:space="preserve">52Dr_8_7 </t>
  </si>
  <si>
    <t xml:space="preserve">52Dr_8_8 </t>
  </si>
  <si>
    <t xml:space="preserve">52Dr_8_9 </t>
  </si>
  <si>
    <t xml:space="preserve">52Dr_8_10 </t>
  </si>
  <si>
    <t xml:space="preserve">52Dr_8_11 </t>
  </si>
  <si>
    <t xml:space="preserve">52Dr_8_12 </t>
  </si>
  <si>
    <t xml:space="preserve">52Dr_8_13 </t>
  </si>
  <si>
    <t xml:space="preserve">52Dr_8_14 </t>
  </si>
  <si>
    <t xml:space="preserve">52Dr_8_15 </t>
  </si>
  <si>
    <t xml:space="preserve">52Dr_8_16 </t>
  </si>
  <si>
    <t xml:space="preserve">52Dr_8_17 </t>
  </si>
  <si>
    <t xml:space="preserve">52Dr_8_18 </t>
  </si>
  <si>
    <t xml:space="preserve">52Dr_8_19 </t>
  </si>
  <si>
    <t xml:space="preserve">52Dr_8_20 </t>
  </si>
  <si>
    <t xml:space="preserve">52Dr_8_21 </t>
  </si>
  <si>
    <t xml:space="preserve">52Dr_8_22 </t>
  </si>
  <si>
    <t xml:space="preserve">DG18_5-1 </t>
  </si>
  <si>
    <t xml:space="preserve">DG18_5-2 </t>
  </si>
  <si>
    <t xml:space="preserve">DG18_5-3 </t>
  </si>
  <si>
    <t xml:space="preserve">DG18_5-4 </t>
  </si>
  <si>
    <t xml:space="preserve">DG18_5-5 </t>
  </si>
  <si>
    <t xml:space="preserve">DG18_5-6 </t>
  </si>
  <si>
    <t xml:space="preserve">DG18_5-7 </t>
  </si>
  <si>
    <t xml:space="preserve">DG18_5-8 </t>
  </si>
  <si>
    <t xml:space="preserve">DG18_5-9 </t>
  </si>
  <si>
    <t xml:space="preserve">DG18_5-10 </t>
  </si>
  <si>
    <t xml:space="preserve">DG18_5-11 </t>
  </si>
  <si>
    <t xml:space="preserve">DG18_5-12 </t>
  </si>
  <si>
    <t xml:space="preserve">DG18_5-13 </t>
  </si>
  <si>
    <t xml:space="preserve">DG18_5-14 </t>
  </si>
  <si>
    <t xml:space="preserve">DG18_5-15 </t>
  </si>
  <si>
    <t xml:space="preserve">DG18_5-16 </t>
  </si>
  <si>
    <t xml:space="preserve">DG18_5-17 </t>
  </si>
  <si>
    <t xml:space="preserve">DG18_5-18 </t>
  </si>
  <si>
    <t xml:space="preserve">DG18_5-19 </t>
  </si>
  <si>
    <t xml:space="preserve">DG18_5-20 </t>
  </si>
  <si>
    <t xml:space="preserve">DG18_5-21 </t>
  </si>
  <si>
    <t xml:space="preserve">DG18_5-22 </t>
  </si>
  <si>
    <t xml:space="preserve">DG18_5-23 </t>
  </si>
  <si>
    <t xml:space="preserve">31R_13b_1 </t>
  </si>
  <si>
    <t xml:space="preserve">31R_13b_2 </t>
  </si>
  <si>
    <t xml:space="preserve">31R_13b_3 </t>
  </si>
  <si>
    <t xml:space="preserve">31R_13b_4 </t>
  </si>
  <si>
    <t xml:space="preserve">31R_13b_5 </t>
  </si>
  <si>
    <t xml:space="preserve">31R_13b_6 </t>
  </si>
  <si>
    <t xml:space="preserve">31R_13b_7 </t>
  </si>
  <si>
    <t xml:space="preserve">31R_13b_8 </t>
  </si>
  <si>
    <t xml:space="preserve">31R_13b_9 </t>
  </si>
  <si>
    <t xml:space="preserve">31R_13b_10 </t>
  </si>
  <si>
    <t xml:space="preserve">31R_13b_11 </t>
  </si>
  <si>
    <t xml:space="preserve">31R_13b_12 </t>
  </si>
  <si>
    <t xml:space="preserve">31R_13b_13 </t>
  </si>
  <si>
    <t xml:space="preserve">31R_13b_14 </t>
  </si>
  <si>
    <t xml:space="preserve">31R_13b_15 </t>
  </si>
  <si>
    <t xml:space="preserve">31R_13b_16 </t>
  </si>
  <si>
    <t xml:space="preserve">31R_13b_17 </t>
  </si>
  <si>
    <t xml:space="preserve">31R_13b_18 </t>
  </si>
  <si>
    <t xml:space="preserve">31R_13b_19 </t>
  </si>
  <si>
    <t xml:space="preserve">std_py </t>
  </si>
  <si>
    <t>EPMA point</t>
  </si>
  <si>
    <t>method</t>
  </si>
  <si>
    <t>EPMA [wt.%]</t>
  </si>
  <si>
    <t>Sample</t>
  </si>
  <si>
    <t>Ventfield</t>
  </si>
  <si>
    <t>Setting</t>
  </si>
  <si>
    <t>Hina Hine</t>
  </si>
  <si>
    <t>BAB</t>
  </si>
  <si>
    <t>Volcano 19 (caldera)</t>
  </si>
  <si>
    <t>IA</t>
  </si>
  <si>
    <t>SO263 69-TVG-05</t>
  </si>
  <si>
    <t>Niuatahi Southwest</t>
  </si>
  <si>
    <t>SO135 52-DR-08</t>
  </si>
  <si>
    <t>Brothers (NW caldera)</t>
  </si>
  <si>
    <t>DG18-5</t>
  </si>
  <si>
    <t>Niuatahi Motutahi</t>
  </si>
  <si>
    <t>SO216 31-ROV-13B</t>
  </si>
  <si>
    <t>Satanic Mills</t>
  </si>
  <si>
    <t xml:space="preserve">39R1046_py_1 </t>
  </si>
  <si>
    <t xml:space="preserve">39R1046_py_2 </t>
  </si>
  <si>
    <t xml:space="preserve">39R1046_py_3 </t>
  </si>
  <si>
    <t xml:space="preserve">39R1046_py_4 </t>
  </si>
  <si>
    <t xml:space="preserve">39R1046_py_5 </t>
  </si>
  <si>
    <t xml:space="preserve">39R1046_py_6 </t>
  </si>
  <si>
    <t xml:space="preserve">39R1046_py_7 </t>
  </si>
  <si>
    <t xml:space="preserve">39R1046_py_8 </t>
  </si>
  <si>
    <t xml:space="preserve">39R1046_py_9 </t>
  </si>
  <si>
    <t xml:space="preserve">39R1046_py_10 </t>
  </si>
  <si>
    <t xml:space="preserve">39R1046_py_11 </t>
  </si>
  <si>
    <t xml:space="preserve">39R1046_py_12 </t>
  </si>
  <si>
    <t xml:space="preserve">39R1046_py_13 </t>
  </si>
  <si>
    <t xml:space="preserve">39R1046_py_14 </t>
  </si>
  <si>
    <t xml:space="preserve">39R1046_py_15 </t>
  </si>
  <si>
    <t xml:space="preserve">39R1046_py_16 </t>
  </si>
  <si>
    <t xml:space="preserve">39R1046_py_17 </t>
  </si>
  <si>
    <t xml:space="preserve">39R1046_py_18 </t>
  </si>
  <si>
    <t xml:space="preserve">39R1046_py_19 </t>
  </si>
  <si>
    <t xml:space="preserve">39R1046_py_20 </t>
  </si>
  <si>
    <t xml:space="preserve">39R1046_py_21 </t>
  </si>
  <si>
    <t xml:space="preserve">39R1046_py_22 </t>
  </si>
  <si>
    <t xml:space="preserve">39R1046_py_23 </t>
  </si>
  <si>
    <t xml:space="preserve">29r3_py_1 </t>
  </si>
  <si>
    <t xml:space="preserve">29r3_py_2 </t>
  </si>
  <si>
    <t xml:space="preserve">29r3_py_3 </t>
  </si>
  <si>
    <t xml:space="preserve">29r3_py_4 </t>
  </si>
  <si>
    <t xml:space="preserve">29r3_py_5 </t>
  </si>
  <si>
    <t xml:space="preserve">29r3_py_6 </t>
  </si>
  <si>
    <t xml:space="preserve">29r3_py_7 </t>
  </si>
  <si>
    <t xml:space="preserve">29r3_py_8 </t>
  </si>
  <si>
    <t xml:space="preserve">29r3_py_9 </t>
  </si>
  <si>
    <t xml:space="preserve">29r3_py_10 </t>
  </si>
  <si>
    <t xml:space="preserve">29r3_py_11 </t>
  </si>
  <si>
    <t xml:space="preserve">29r3_py_12 </t>
  </si>
  <si>
    <t xml:space="preserve">29r3_py_13 </t>
  </si>
  <si>
    <t xml:space="preserve">29r3_py_14 </t>
  </si>
  <si>
    <t xml:space="preserve">29r3_py_15 </t>
  </si>
  <si>
    <t xml:space="preserve">29r3_py_16 </t>
  </si>
  <si>
    <t xml:space="preserve">122r22_py_1 </t>
  </si>
  <si>
    <t xml:space="preserve">122r22_py_2 </t>
  </si>
  <si>
    <t xml:space="preserve">122r22_py_3 </t>
  </si>
  <si>
    <t xml:space="preserve">122r22_py_4 </t>
  </si>
  <si>
    <t xml:space="preserve">122r22_py_5 </t>
  </si>
  <si>
    <t xml:space="preserve">122r22_py_6 </t>
  </si>
  <si>
    <t xml:space="preserve">122r22_py_7 </t>
  </si>
  <si>
    <t xml:space="preserve">122r22_py_8 </t>
  </si>
  <si>
    <t xml:space="preserve">122r22_py_9 </t>
  </si>
  <si>
    <t xml:space="preserve">122r22_py_10 </t>
  </si>
  <si>
    <t xml:space="preserve">122r22_py_11 </t>
  </si>
  <si>
    <t xml:space="preserve">122r22_py_12 </t>
  </si>
  <si>
    <t xml:space="preserve">122r22_py_13 </t>
  </si>
  <si>
    <t xml:space="preserve">122r22_py_14 </t>
  </si>
  <si>
    <t xml:space="preserve">122r22_py_15 </t>
  </si>
  <si>
    <t xml:space="preserve">110r3_py_1 </t>
  </si>
  <si>
    <t xml:space="preserve">110r3_py_2 </t>
  </si>
  <si>
    <t xml:space="preserve">110r3_py_3 </t>
  </si>
  <si>
    <t xml:space="preserve">110r3_py_4 </t>
  </si>
  <si>
    <t xml:space="preserve">110r3_py_5 </t>
  </si>
  <si>
    <t xml:space="preserve">110r3_py_6 </t>
  </si>
  <si>
    <t xml:space="preserve">110r3_py_7 </t>
  </si>
  <si>
    <t xml:space="preserve">110r3_py_8 </t>
  </si>
  <si>
    <t xml:space="preserve">110r3_py_9 </t>
  </si>
  <si>
    <t xml:space="preserve">110r3_py_10 </t>
  </si>
  <si>
    <t xml:space="preserve">110r3_py_11 </t>
  </si>
  <si>
    <t xml:space="preserve">110r3_py_12 </t>
  </si>
  <si>
    <t xml:space="preserve">110r3_py_13 </t>
  </si>
  <si>
    <t xml:space="preserve">110r3_py_14 </t>
  </si>
  <si>
    <t xml:space="preserve">110r3_py_15 </t>
  </si>
  <si>
    <t xml:space="preserve">110r3_py_16 </t>
  </si>
  <si>
    <t xml:space="preserve">110r3_py_17 </t>
  </si>
  <si>
    <t xml:space="preserve">110r3_py_18 </t>
  </si>
  <si>
    <t xml:space="preserve">110r3_py_19 </t>
  </si>
  <si>
    <t xml:space="preserve">110r3_py_20 </t>
  </si>
  <si>
    <t xml:space="preserve">110r3_py_21 </t>
  </si>
  <si>
    <t xml:space="preserve">110r3_py_22 </t>
  </si>
  <si>
    <t xml:space="preserve">110r3_py_23 </t>
  </si>
  <si>
    <t xml:space="preserve">110r3_py_24 </t>
  </si>
  <si>
    <t xml:space="preserve">110r3_py_25 </t>
  </si>
  <si>
    <t xml:space="preserve">60r14_py_1 </t>
  </si>
  <si>
    <t xml:space="preserve">60r14_py_2 </t>
  </si>
  <si>
    <t xml:space="preserve">60r14_py_3 </t>
  </si>
  <si>
    <t xml:space="preserve">60r14_py_4 </t>
  </si>
  <si>
    <t xml:space="preserve">60r14_py_5 </t>
  </si>
  <si>
    <t xml:space="preserve">60r14_py_6 </t>
  </si>
  <si>
    <t xml:space="preserve">60r14_py_7 </t>
  </si>
  <si>
    <t xml:space="preserve">60r14_py_8 </t>
  </si>
  <si>
    <t xml:space="preserve">60r14_py_9 </t>
  </si>
  <si>
    <t xml:space="preserve">60r14_py_10 </t>
  </si>
  <si>
    <t xml:space="preserve">60r14_py_11 </t>
  </si>
  <si>
    <t xml:space="preserve">60r14_py_12 </t>
  </si>
  <si>
    <t xml:space="preserve">60r14_py_13 </t>
  </si>
  <si>
    <t xml:space="preserve">60r14_py_14 </t>
  </si>
  <si>
    <t xml:space="preserve">41r5_py_1 </t>
  </si>
  <si>
    <t xml:space="preserve">41r5_py_2 </t>
  </si>
  <si>
    <t xml:space="preserve">41r5_py_3 </t>
  </si>
  <si>
    <t xml:space="preserve">41r5_py_4 </t>
  </si>
  <si>
    <t xml:space="preserve">41r5_py_5 </t>
  </si>
  <si>
    <t xml:space="preserve">41r5_py_6 </t>
  </si>
  <si>
    <t xml:space="preserve">41r5_py_7 </t>
  </si>
  <si>
    <t xml:space="preserve">41r5_py_8 </t>
  </si>
  <si>
    <t xml:space="preserve">41r5_py_9 </t>
  </si>
  <si>
    <t xml:space="preserve">41r5_py_10 </t>
  </si>
  <si>
    <t xml:space="preserve">41r5_py_11 </t>
  </si>
  <si>
    <t xml:space="preserve">41r5_py_12 </t>
  </si>
  <si>
    <t xml:space="preserve">41r5_py_13 </t>
  </si>
  <si>
    <t xml:space="preserve">41r5_py_14 </t>
  </si>
  <si>
    <t xml:space="preserve">41r5_py_15 </t>
  </si>
  <si>
    <t xml:space="preserve">41r5_py_16 </t>
  </si>
  <si>
    <t xml:space="preserve">41r5_py_17 </t>
  </si>
  <si>
    <t xml:space="preserve">41r5_py_18 </t>
  </si>
  <si>
    <t>Volcano 19 (cone)</t>
  </si>
  <si>
    <t>SO192/2 39R1016</t>
  </si>
  <si>
    <t>SO192/2 49TVG-01</t>
  </si>
  <si>
    <t>SO192/2 54R1046-07</t>
  </si>
  <si>
    <t>SO263 29-ROV-3</t>
  </si>
  <si>
    <t>Niua South</t>
  </si>
  <si>
    <t>SO263 122-ROV-22</t>
  </si>
  <si>
    <t>Maka</t>
  </si>
  <si>
    <t>Niuatahi Southcentral</t>
  </si>
  <si>
    <t>So263 110-ROV-3</t>
  </si>
  <si>
    <t>So229 60-ROV-14</t>
  </si>
  <si>
    <t>Nifonea</t>
  </si>
  <si>
    <t>SO216 41-ROV-5</t>
  </si>
  <si>
    <t>Fernway NE</t>
  </si>
  <si>
    <t>11.d</t>
  </si>
  <si>
    <t>crust</t>
  </si>
  <si>
    <t>12.d</t>
  </si>
  <si>
    <t>13.d</t>
  </si>
  <si>
    <t>14.d</t>
  </si>
  <si>
    <t>15.d</t>
  </si>
  <si>
    <t>16.d</t>
  </si>
  <si>
    <t>17.d</t>
  </si>
  <si>
    <t>DG-18-3</t>
  </si>
  <si>
    <t>molten</t>
  </si>
  <si>
    <t>18.d</t>
  </si>
  <si>
    <t>19.d</t>
  </si>
  <si>
    <t>20.d</t>
  </si>
  <si>
    <t>21.d</t>
  </si>
  <si>
    <t>22.d</t>
  </si>
  <si>
    <t>23.d</t>
  </si>
  <si>
    <t>24.d</t>
  </si>
  <si>
    <t>25.d</t>
  </si>
  <si>
    <t>26.d</t>
  </si>
  <si>
    <t>27.d</t>
  </si>
  <si>
    <t>28.d</t>
  </si>
  <si>
    <t>29.d</t>
  </si>
  <si>
    <t>30.d</t>
  </si>
  <si>
    <t>31.d</t>
  </si>
  <si>
    <t>32.d</t>
  </si>
  <si>
    <t>34.d</t>
  </si>
  <si>
    <t>35.d</t>
  </si>
  <si>
    <t>36.d</t>
  </si>
  <si>
    <t>b-6-1.d</t>
  </si>
  <si>
    <t>B-6-2.d</t>
  </si>
  <si>
    <t>B-6-3.d</t>
  </si>
  <si>
    <t>B-6-4.d</t>
  </si>
  <si>
    <t>B-6-5.d</t>
  </si>
  <si>
    <t>B-7-1.d</t>
  </si>
  <si>
    <t>B-7-2.d</t>
  </si>
  <si>
    <t>B-7-3.d</t>
  </si>
  <si>
    <t>B-7-4.d</t>
  </si>
  <si>
    <t>B-8-1.d</t>
  </si>
  <si>
    <t>B-8-2.d</t>
  </si>
  <si>
    <t>B-8-3.d</t>
  </si>
  <si>
    <t>B-8-4.d</t>
  </si>
  <si>
    <t>a-1-1.d</t>
  </si>
  <si>
    <t>A-1-2.d</t>
  </si>
  <si>
    <t>A-1-3.d</t>
  </si>
  <si>
    <t>A-1-4.d</t>
  </si>
  <si>
    <t>A-2-1.d</t>
  </si>
  <si>
    <t>A-2-2.d</t>
  </si>
  <si>
    <t>A-2-3.d</t>
  </si>
  <si>
    <t>A-2-4.d</t>
  </si>
  <si>
    <t>A-3-1.d</t>
  </si>
  <si>
    <t>A-3-2.d</t>
  </si>
  <si>
    <t>A-3-3.d</t>
  </si>
  <si>
    <t>A-4-1.d</t>
  </si>
  <si>
    <t>A-4-2.d</t>
  </si>
  <si>
    <t>A-4-3.d</t>
  </si>
  <si>
    <t>A-4-4.d</t>
  </si>
  <si>
    <t>A-5-1.d</t>
  </si>
  <si>
    <t>A-5-4.d</t>
  </si>
  <si>
    <t>A-6-1.d</t>
  </si>
  <si>
    <t>A-6-2.d</t>
  </si>
  <si>
    <t>A-6-3.d</t>
  </si>
  <si>
    <t>A-6-4.d</t>
  </si>
  <si>
    <t>A-7-1.d</t>
  </si>
  <si>
    <t>A-7-3.d</t>
  </si>
  <si>
    <t>A-7-4.d</t>
  </si>
  <si>
    <t>A-8-1.d</t>
  </si>
  <si>
    <t>A-8-2.d</t>
  </si>
  <si>
    <t>A-8-3.d</t>
  </si>
  <si>
    <t>A-8-4.d</t>
  </si>
  <si>
    <t>A-9-1.d</t>
  </si>
  <si>
    <t>A-9-2.d</t>
  </si>
  <si>
    <t>A-9-3.d</t>
  </si>
  <si>
    <t>A-10-1.d</t>
  </si>
  <si>
    <t>A-10-2.d</t>
  </si>
  <si>
    <t>A-10-3.d</t>
  </si>
  <si>
    <t>A-11-1.d</t>
  </si>
  <si>
    <t>A-11-2.d</t>
  </si>
  <si>
    <t>A-11-3.d</t>
  </si>
  <si>
    <t>point</t>
  </si>
  <si>
    <t>location</t>
  </si>
  <si>
    <t>sample</t>
  </si>
  <si>
    <t>texture</t>
  </si>
  <si>
    <t>Brothers (NW wall)</t>
  </si>
  <si>
    <t>d34S</t>
  </si>
  <si>
    <t>LA-ICP-MS [ppm]</t>
  </si>
  <si>
    <t>V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</si>
  <si>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</si>
  <si>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</si>
  <si>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</si>
  <si>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</si>
  <si>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</si>
  <si>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</si>
  <si>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</si>
  <si>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</si>
  <si>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</si>
  <si>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</si>
  <si>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Mo</t>
  </si>
  <si>
    <t>Ag</t>
  </si>
  <si>
    <t>Cd</t>
  </si>
  <si>
    <t>In</t>
  </si>
  <si>
    <t>Sn</t>
  </si>
  <si>
    <t>Sb</t>
  </si>
  <si>
    <t>Te</t>
  </si>
  <si>
    <t>Au</t>
  </si>
  <si>
    <t>Hg</t>
  </si>
  <si>
    <t>Tl</t>
  </si>
  <si>
    <t>Pb</t>
  </si>
  <si>
    <t>Bi</t>
  </si>
  <si>
    <t>SO263 82-ROV-1</t>
  </si>
  <si>
    <t>d34S S.D.</t>
  </si>
  <si>
    <t>setting</t>
  </si>
  <si>
    <t>Vent field</t>
  </si>
  <si>
    <t>Sample type</t>
  </si>
  <si>
    <t>Pyrite type</t>
  </si>
  <si>
    <t>Spot</t>
  </si>
  <si>
    <t>grain</t>
  </si>
  <si>
    <t>grainspot</t>
  </si>
  <si>
    <t>d34S [V-CDT ‰]</t>
  </si>
  <si>
    <t>total analytical uncertainty [‰]</t>
  </si>
  <si>
    <t>SO135 52-DR-8</t>
  </si>
  <si>
    <t>Brothers (NW caldera wall)</t>
  </si>
  <si>
    <t>advanced argillic altered lava with dissaminated pyrite</t>
  </si>
  <si>
    <t>euhedral py agglomerate with different generation overgrowth</t>
  </si>
  <si>
    <t>52DR8@1</t>
  </si>
  <si>
    <t>core</t>
  </si>
  <si>
    <t>52DR8@2</t>
  </si>
  <si>
    <t>rim</t>
  </si>
  <si>
    <t>52DR8@3</t>
  </si>
  <si>
    <t>52DR8@4</t>
  </si>
  <si>
    <t>52DR8@5</t>
  </si>
  <si>
    <t>52DR8@6</t>
  </si>
  <si>
    <t>52DR8@7</t>
  </si>
  <si>
    <t>52DR8@8</t>
  </si>
  <si>
    <t>52DR8@9</t>
  </si>
  <si>
    <t>52DR8@10</t>
  </si>
  <si>
    <t>mantle</t>
  </si>
  <si>
    <t>52DR8@11</t>
  </si>
  <si>
    <t>52DR8@12</t>
  </si>
  <si>
    <t>52DR8@13</t>
  </si>
  <si>
    <t>52DR8@14</t>
  </si>
  <si>
    <t>52DR8@15</t>
  </si>
  <si>
    <t>SO192/2 54R1049-07</t>
  </si>
  <si>
    <t>sulfide chimney</t>
  </si>
  <si>
    <t>euhedral py in central chimney zone, different generation overgrowth</t>
  </si>
  <si>
    <t>54R10@1</t>
  </si>
  <si>
    <t>54R10@02</t>
  </si>
  <si>
    <t>54R10@03</t>
  </si>
  <si>
    <t>54R10@04</t>
  </si>
  <si>
    <t>54R10@05</t>
  </si>
  <si>
    <t>54R10@06</t>
  </si>
  <si>
    <t>54R10@07</t>
  </si>
  <si>
    <t>54R10@08</t>
  </si>
  <si>
    <t>54R10@09</t>
  </si>
  <si>
    <t>54R10@10</t>
  </si>
  <si>
    <t>54R10@11</t>
  </si>
  <si>
    <t>54R10@12</t>
  </si>
  <si>
    <t>54R10@13</t>
  </si>
  <si>
    <t>54R10@14</t>
  </si>
  <si>
    <t>massive sulfide</t>
  </si>
  <si>
    <t>massive pyrite zone, euhedral grains in contact with fluid conduits</t>
  </si>
  <si>
    <t>29R3@1</t>
  </si>
  <si>
    <t>29R3@02</t>
  </si>
  <si>
    <t>29R3@03</t>
  </si>
  <si>
    <t>29R3@04</t>
  </si>
  <si>
    <t>29R3@05</t>
  </si>
  <si>
    <t>29R3@06</t>
  </si>
  <si>
    <t>29R3@07</t>
  </si>
  <si>
    <t>29R3@08</t>
  </si>
  <si>
    <t>29R3@09</t>
  </si>
  <si>
    <t>29R3@10</t>
  </si>
  <si>
    <t>29R3@11</t>
  </si>
  <si>
    <t>SO263 110-ROV-3</t>
  </si>
  <si>
    <t>euhedral py in direct contact with fluid conduit, associated with sulfosalt (ten-tet, enargite)</t>
  </si>
  <si>
    <t>110R3@1</t>
  </si>
  <si>
    <t>110R3@2</t>
  </si>
  <si>
    <t>110R3@3</t>
  </si>
  <si>
    <t>110R3@4</t>
  </si>
  <si>
    <t>110R3@5</t>
  </si>
  <si>
    <t>110R3@6</t>
  </si>
  <si>
    <t>110R3@7</t>
  </si>
  <si>
    <t>110R3@8</t>
  </si>
  <si>
    <t>euhedral py with growth zonation in chimney transition zone</t>
  </si>
  <si>
    <t>110R3@9</t>
  </si>
  <si>
    <t>110R3@10</t>
  </si>
  <si>
    <t>110R3@11</t>
  </si>
  <si>
    <t>110R3@12</t>
  </si>
  <si>
    <t>110R3@13</t>
  </si>
  <si>
    <t>110R3@14</t>
  </si>
  <si>
    <t>110R3@15</t>
  </si>
  <si>
    <t>122R22@1</t>
  </si>
  <si>
    <t>122R22@2</t>
  </si>
  <si>
    <t>122R22@4</t>
  </si>
  <si>
    <t>122R22@5</t>
  </si>
  <si>
    <t>122R22@6</t>
  </si>
  <si>
    <t>122R22@7</t>
  </si>
  <si>
    <t>122R22@8</t>
  </si>
  <si>
    <t>SO192/2 39R1046</t>
  </si>
  <si>
    <t>Volcano 19 (caldera wall)</t>
  </si>
  <si>
    <t>euhedral py in central chimney zone</t>
  </si>
  <si>
    <t>39R1046@1</t>
  </si>
  <si>
    <t>39R1046@2</t>
  </si>
  <si>
    <t>39R1046@3</t>
  </si>
  <si>
    <t>39R1046@4</t>
  </si>
  <si>
    <t>39R1046@5</t>
  </si>
  <si>
    <t>39R1046@6</t>
  </si>
  <si>
    <t>39R1046@7</t>
  </si>
  <si>
    <t>39R1046@8</t>
  </si>
  <si>
    <t>39R1046@9</t>
  </si>
  <si>
    <t>39R1046@10</t>
  </si>
  <si>
    <t>39R1046@11</t>
  </si>
  <si>
    <t>39R1046@12</t>
  </si>
  <si>
    <t>euhedral py in chimney transition zone</t>
  </si>
  <si>
    <t>49TVG1-2@1</t>
  </si>
  <si>
    <t>49TVG1-2@02</t>
  </si>
  <si>
    <t>49TVG1-2@03</t>
  </si>
  <si>
    <t>49TVG1-2@04</t>
  </si>
  <si>
    <t>49TVG1-2@05</t>
  </si>
  <si>
    <t>49TVG1-2@06</t>
  </si>
  <si>
    <t>49TVG1-2@07</t>
  </si>
  <si>
    <t>49TVG1-2@08</t>
  </si>
  <si>
    <t>49TVG1-2@09</t>
  </si>
  <si>
    <t>49TVG1-2@10</t>
  </si>
  <si>
    <t>49TVG1-2@11</t>
  </si>
  <si>
    <t>euhedral dissaminated py</t>
  </si>
  <si>
    <t>69TVG5@1</t>
  </si>
  <si>
    <t>69TVG5@2</t>
  </si>
  <si>
    <t>69TVG5@3</t>
  </si>
  <si>
    <t>69TVG5@4</t>
  </si>
  <si>
    <t>69TVG5@5</t>
  </si>
  <si>
    <t>SO229 60-ROV-14</t>
  </si>
  <si>
    <t>60R14@1</t>
  </si>
  <si>
    <t>60R14@02</t>
  </si>
  <si>
    <t>60R14@03</t>
  </si>
  <si>
    <t>60R14@04</t>
  </si>
  <si>
    <t>60R14@05</t>
  </si>
  <si>
    <t>60R14@06</t>
  </si>
  <si>
    <t>60R14@07</t>
  </si>
  <si>
    <t>60R14@08</t>
  </si>
  <si>
    <t>60R14@09</t>
  </si>
  <si>
    <t>60R14@10</t>
  </si>
  <si>
    <t>60R14@11</t>
  </si>
  <si>
    <t>60R14@12</t>
  </si>
  <si>
    <t>60R14@13</t>
  </si>
  <si>
    <t>60R14@14</t>
  </si>
  <si>
    <t>DG-18-5</t>
  </si>
  <si>
    <t>DG185@1</t>
  </si>
  <si>
    <t>DG185@2</t>
  </si>
  <si>
    <t>DG185@3</t>
  </si>
  <si>
    <t>DG185@4</t>
  </si>
  <si>
    <t>DG185@5</t>
  </si>
  <si>
    <t>DG185@6</t>
  </si>
  <si>
    <t>DG185@7</t>
  </si>
  <si>
    <t>subhedral py in contact with fluid conduit</t>
  </si>
  <si>
    <t>31R@1</t>
  </si>
  <si>
    <t>31R@2</t>
  </si>
  <si>
    <t>31R@3</t>
  </si>
  <si>
    <t>31R@4</t>
  </si>
  <si>
    <t>31R@5</t>
  </si>
  <si>
    <t>31R@6</t>
  </si>
  <si>
    <t>31R@7</t>
  </si>
  <si>
    <t>31R@8</t>
  </si>
  <si>
    <t>31R@9</t>
  </si>
  <si>
    <t>31R@10</t>
  </si>
  <si>
    <t>31R@11</t>
  </si>
  <si>
    <t>31R@12</t>
  </si>
  <si>
    <t>31R@13</t>
  </si>
  <si>
    <t>31R@14</t>
  </si>
  <si>
    <t>S mean</t>
  </si>
  <si>
    <t>mean</t>
  </si>
  <si>
    <t>Fe57_ppm_mean</t>
  </si>
  <si>
    <t>Co59_ppm_mean</t>
  </si>
  <si>
    <t>Ni60_ppm_mean</t>
  </si>
  <si>
    <t>Cu63_ppm_mean</t>
  </si>
  <si>
    <t>Zn67_ppm_mean</t>
  </si>
  <si>
    <t>Ge74_ppm_mean</t>
  </si>
  <si>
    <t>As75_ppm_mean</t>
  </si>
  <si>
    <t>Se77_ppm_mean</t>
  </si>
  <si>
    <t>Mo95_ppm_mean</t>
  </si>
  <si>
    <t>Ag107_ppm_mean</t>
  </si>
  <si>
    <t>Cd111_ppm_mean</t>
  </si>
  <si>
    <t>Sb121_ppm_mean</t>
  </si>
  <si>
    <t>Te125_ppm_mean</t>
  </si>
  <si>
    <t>Au197_ppm_mean</t>
  </si>
  <si>
    <t>Tl205_ppm_mean</t>
  </si>
  <si>
    <t>Pb208_ppm_mean</t>
  </si>
  <si>
    <t>Bi209_ppm_mean</t>
  </si>
  <si>
    <t>M6.d</t>
  </si>
  <si>
    <t/>
  </si>
  <si>
    <t>BelowLOD</t>
  </si>
  <si>
    <t>M10.d</t>
  </si>
  <si>
    <t>M14.d</t>
  </si>
  <si>
    <t>m15.d</t>
  </si>
  <si>
    <t>M16.d</t>
  </si>
  <si>
    <t>M17.d</t>
  </si>
  <si>
    <t>M18.d</t>
  </si>
  <si>
    <t>P6.d</t>
  </si>
  <si>
    <t>P7.d</t>
  </si>
  <si>
    <t>P8.d</t>
  </si>
  <si>
    <t>P10.D</t>
  </si>
  <si>
    <t>p11.d</t>
  </si>
  <si>
    <t>p15.d</t>
  </si>
  <si>
    <t>slim1.d</t>
  </si>
  <si>
    <t>SLIM3.d</t>
  </si>
  <si>
    <t>s4.d</t>
  </si>
  <si>
    <t>s5.d</t>
  </si>
  <si>
    <t>s6.d</t>
  </si>
  <si>
    <t>S8.d</t>
  </si>
  <si>
    <t>Reference value MASS-1</t>
  </si>
  <si>
    <t>difference %</t>
  </si>
  <si>
    <t xml:space="preserve">RSD </t>
  </si>
  <si>
    <t>Refernce value PO724</t>
  </si>
  <si>
    <t>Refernce value UQAC-FeS-1</t>
  </si>
  <si>
    <t>Brothers</t>
  </si>
  <si>
    <t>yes</t>
  </si>
  <si>
    <t>altered lava</t>
  </si>
  <si>
    <t>SO135 66-DR-09</t>
  </si>
  <si>
    <t>d34S reference</t>
  </si>
  <si>
    <t>Kim et al. 2011</t>
  </si>
  <si>
    <t>Peters et al. 2021</t>
  </si>
  <si>
    <t>&lt;LOD</t>
  </si>
  <si>
    <t>Session S1 (Hine Hina)</t>
  </si>
  <si>
    <t>MASS1</t>
  </si>
  <si>
    <t>S ([34S]+)</t>
  </si>
  <si>
    <t>Fe ([57Fe]+)</t>
  </si>
  <si>
    <t>Zn ([66Zn]+)</t>
  </si>
  <si>
    <t>Ge ([73Ge]+)</t>
  </si>
  <si>
    <t>As ([75As]+)</t>
  </si>
  <si>
    <t>Se ([77Se]+)</t>
  </si>
  <si>
    <t>Mo ([95Mo]+)</t>
  </si>
  <si>
    <t>Sb ([121Sb]+)</t>
  </si>
  <si>
    <t>Te ([125Te]+)</t>
  </si>
  <si>
    <t>Pb ([208Pb]+)</t>
  </si>
  <si>
    <t>Channel</t>
  </si>
  <si>
    <t>LOD for a single pixel [μg/g]</t>
  </si>
  <si>
    <t>LOD for individual replicates (1 line scan) [μg/g]</t>
  </si>
  <si>
    <t>LOD for all replicates (12 line scans) [μg/g]</t>
  </si>
  <si>
    <t>Replicate 1 mean [ppm]</t>
  </si>
  <si>
    <t>not_measured</t>
  </si>
  <si>
    <t>Replicate 2 mean [ppm]</t>
  </si>
  <si>
    <t>Replicate 3 mean [ppm]</t>
  </si>
  <si>
    <t>Replicate 4 mean [ppm]</t>
  </si>
  <si>
    <t>Replicate 5 mean [ppm]</t>
  </si>
  <si>
    <t>Replicate 6 mean [ppm]</t>
  </si>
  <si>
    <t>Replicate 7 mean [ppm]</t>
  </si>
  <si>
    <t>Replicate 8 mean [ppm]</t>
  </si>
  <si>
    <t>Replicate 9 mean [ppm]</t>
  </si>
  <si>
    <t>Replicate 10 mean [ppm]</t>
  </si>
  <si>
    <t>Replicate 11 mean [ppm]</t>
  </si>
  <si>
    <t>Replicate 12 mean [ppm]</t>
  </si>
  <si>
    <t>Mean signal [ppm]</t>
  </si>
  <si>
    <t>Reproducibility (2 SE) [ppm]</t>
  </si>
  <si>
    <t>Reproducibility (2 RSE) [%]</t>
  </si>
  <si>
    <t>Published concentrations (GeoReM)</t>
  </si>
  <si>
    <t>163600-311700</t>
  </si>
  <si>
    <t>internal Std.</t>
  </si>
  <si>
    <t>212229-266200</t>
  </si>
  <si>
    <t>64.66-128</t>
  </si>
  <si>
    <t>55-65</t>
  </si>
  <si>
    <t>52-80</t>
  </si>
  <si>
    <t>67.34-80</t>
  </si>
  <si>
    <t>Preferred value (GeoReM)</t>
  </si>
  <si>
    <t>193 nm laser (RES) Danyushevsky et al. 2011</t>
  </si>
  <si>
    <t>Difference to Danyushevsky (%)</t>
  </si>
  <si>
    <t>Session S2 (Brothers)</t>
  </si>
  <si>
    <t>Reproducibility(2 RSE) [%]</t>
  </si>
  <si>
    <t>internal std</t>
  </si>
  <si>
    <t>46-72</t>
  </si>
  <si>
    <t>IMER5</t>
  </si>
  <si>
    <t>Accepted concentration (Adelaide)</t>
  </si>
  <si>
    <t>Co59_ppm_LOD_Longerich</t>
  </si>
  <si>
    <t>Ni60_ppm_LOD_Longerich</t>
  </si>
  <si>
    <t>Cu63_ppm_LOD_Longerich</t>
  </si>
  <si>
    <t>Zn67_ppm_LOD_Longerich</t>
  </si>
  <si>
    <t>Ge74_ppm_LOD_Longerich</t>
  </si>
  <si>
    <t>As75_ppm_LOD_Longerich</t>
  </si>
  <si>
    <t>Se77_ppm_LOD_Longerich</t>
  </si>
  <si>
    <t>Mo95_ppm_LOD_Longerich</t>
  </si>
  <si>
    <t>Ag107_ppm_LOD_Longerich</t>
  </si>
  <si>
    <t>Cd111_ppm_LOD_Longerich</t>
  </si>
  <si>
    <t>Sb121_ppm_LOD_Longerich</t>
  </si>
  <si>
    <t>Te125_ppm_LOD_Longerich</t>
  </si>
  <si>
    <t>Au197_ppm_LOD_Longerich</t>
  </si>
  <si>
    <t>Tl205_ppm_LOD_Longerich</t>
  </si>
  <si>
    <t>Pb208_ppm_LOD_Longerich</t>
  </si>
  <si>
    <t>Bi209_ppm_LOD_Longerich</t>
  </si>
  <si>
    <t>52dr8_01.d</t>
  </si>
  <si>
    <t>52DR8_02.d</t>
  </si>
  <si>
    <t>52DR8_03.d</t>
  </si>
  <si>
    <t>52DR8_04.d</t>
  </si>
  <si>
    <t>52DR8_05.d</t>
  </si>
  <si>
    <t>52DR8_06.d</t>
  </si>
  <si>
    <t>52DR8_07.d</t>
  </si>
  <si>
    <t>52DR8_08.d</t>
  </si>
  <si>
    <t>52DR8_09.d</t>
  </si>
  <si>
    <t>52DR8_10.d</t>
  </si>
  <si>
    <t>52DR8_11.d</t>
  </si>
  <si>
    <t>52DR8_12.d</t>
  </si>
  <si>
    <t>52DR8_13.d</t>
  </si>
  <si>
    <t>52DR8_14.d</t>
  </si>
  <si>
    <t>52DR8_15.d</t>
  </si>
  <si>
    <t>54R_01.d</t>
  </si>
  <si>
    <t>54R_02.d</t>
  </si>
  <si>
    <t>54R_03.d</t>
  </si>
  <si>
    <t>54R_04.d</t>
  </si>
  <si>
    <t>54R_05.d</t>
  </si>
  <si>
    <t>54R_06.d</t>
  </si>
  <si>
    <t>54R_07.d</t>
  </si>
  <si>
    <t>54R_08.d</t>
  </si>
  <si>
    <t>54R_09.d</t>
  </si>
  <si>
    <t>54R_10.d</t>
  </si>
  <si>
    <t>54R_11.d</t>
  </si>
  <si>
    <t>54R_12.d</t>
  </si>
  <si>
    <t>54R_13.d</t>
  </si>
  <si>
    <t>54R_14.d</t>
  </si>
  <si>
    <t>29r3_01.d</t>
  </si>
  <si>
    <t>29R3_02.d</t>
  </si>
  <si>
    <t>29R3_03.d</t>
  </si>
  <si>
    <t>29R3_04.d</t>
  </si>
  <si>
    <t>29R3_05.d</t>
  </si>
  <si>
    <t>29R3_06.d</t>
  </si>
  <si>
    <t>29R3_07.d</t>
  </si>
  <si>
    <t>29R3_08.d</t>
  </si>
  <si>
    <t>29R3_09.d</t>
  </si>
  <si>
    <t>29R3_10.d</t>
  </si>
  <si>
    <t>29R3_11.d</t>
  </si>
  <si>
    <t>110R3_01.d</t>
  </si>
  <si>
    <t>110R3_02.d</t>
  </si>
  <si>
    <t>110R3_03.d</t>
  </si>
  <si>
    <t>110R3_04.d</t>
  </si>
  <si>
    <t>110R3_05.d</t>
  </si>
  <si>
    <t>110R3_06.d</t>
  </si>
  <si>
    <t>110R3_07.d</t>
  </si>
  <si>
    <t>110R3_08.d</t>
  </si>
  <si>
    <t>110R3_09.d</t>
  </si>
  <si>
    <t>110R3_10.d</t>
  </si>
  <si>
    <t>110R3_11.d</t>
  </si>
  <si>
    <t>110R3_12.d</t>
  </si>
  <si>
    <t>110R3_13.d</t>
  </si>
  <si>
    <t>110R3_14.d</t>
  </si>
  <si>
    <t>110R3_15.d</t>
  </si>
  <si>
    <t>122_01.d</t>
  </si>
  <si>
    <t>122_02.d</t>
  </si>
  <si>
    <t>122_03.d</t>
  </si>
  <si>
    <t>122_04.d</t>
  </si>
  <si>
    <t>122_05.d</t>
  </si>
  <si>
    <t>122_06.d</t>
  </si>
  <si>
    <t>122_07.d</t>
  </si>
  <si>
    <t>122_08.d</t>
  </si>
  <si>
    <t>39_01.d</t>
  </si>
  <si>
    <t>39_02.d</t>
  </si>
  <si>
    <t>39_03.d</t>
  </si>
  <si>
    <t>39_04.d</t>
  </si>
  <si>
    <t>39_05.d</t>
  </si>
  <si>
    <t>39_06.d</t>
  </si>
  <si>
    <t>39_07.d</t>
  </si>
  <si>
    <t>39_08.d</t>
  </si>
  <si>
    <t>39_09.d</t>
  </si>
  <si>
    <t>39_10.d</t>
  </si>
  <si>
    <t>39_11.d</t>
  </si>
  <si>
    <t>39_12.d</t>
  </si>
  <si>
    <t>49_01.d</t>
  </si>
  <si>
    <t>49_02.d</t>
  </si>
  <si>
    <t>49_03.d</t>
  </si>
  <si>
    <t>49_04.d</t>
  </si>
  <si>
    <t>49_05.d</t>
  </si>
  <si>
    <t>49_06.d</t>
  </si>
  <si>
    <t>49_07.d</t>
  </si>
  <si>
    <t>49_08.d</t>
  </si>
  <si>
    <t>49_09.d</t>
  </si>
  <si>
    <t>49_10.d</t>
  </si>
  <si>
    <t>49_11.d</t>
  </si>
  <si>
    <t>69_02.d</t>
  </si>
  <si>
    <t>69_04.d</t>
  </si>
  <si>
    <t>69_05.d</t>
  </si>
  <si>
    <t>69_x1.d</t>
  </si>
  <si>
    <t>69_X3.d</t>
  </si>
  <si>
    <t>60r_01.d</t>
  </si>
  <si>
    <t>60R_02.d</t>
  </si>
  <si>
    <t>60R_03.d</t>
  </si>
  <si>
    <t>60R_04.d</t>
  </si>
  <si>
    <t>60R_05.d</t>
  </si>
  <si>
    <t>60R_06.d</t>
  </si>
  <si>
    <t>60R_07.d</t>
  </si>
  <si>
    <t>60R_08.d</t>
  </si>
  <si>
    <t>60R_09.d</t>
  </si>
  <si>
    <t>60R_10.d</t>
  </si>
  <si>
    <t>60R_11.d</t>
  </si>
  <si>
    <t>60R_12.d</t>
  </si>
  <si>
    <t>60R_13.d</t>
  </si>
  <si>
    <t>60R_14.d</t>
  </si>
  <si>
    <t>dg18_01.d</t>
  </si>
  <si>
    <t>DG18_02.d</t>
  </si>
  <si>
    <t>DG18_03.d</t>
  </si>
  <si>
    <t>DG18_04.d</t>
  </si>
  <si>
    <t>DG18_05.d</t>
  </si>
  <si>
    <t>DG18_06.d</t>
  </si>
  <si>
    <t>DG18_07.d</t>
  </si>
  <si>
    <t>31_01.d</t>
  </si>
  <si>
    <t>31_02.d</t>
  </si>
  <si>
    <t>31_03.d</t>
  </si>
  <si>
    <t>31_04.d</t>
  </si>
  <si>
    <t>31_05.d</t>
  </si>
  <si>
    <t>31_06.d</t>
  </si>
  <si>
    <t>31_07.d</t>
  </si>
  <si>
    <t>31_08.d</t>
  </si>
  <si>
    <t>31_09.d</t>
  </si>
  <si>
    <t>31_10.d</t>
  </si>
  <si>
    <t>31_11.d</t>
  </si>
  <si>
    <t>31_12.d</t>
  </si>
  <si>
    <t>31_13.d</t>
  </si>
  <si>
    <t>31_14.d</t>
  </si>
  <si>
    <t>&lt;LOD.0127195585549</t>
  </si>
  <si>
    <t>&lt;LOD.3071966025837</t>
  </si>
  <si>
    <t>&lt;LOD.1121364403626</t>
  </si>
  <si>
    <t>&lt;LOD.0929610657761</t>
  </si>
  <si>
    <t>&lt;LOD.15794893382</t>
  </si>
  <si>
    <t>&lt;LOD.1709985987679</t>
  </si>
  <si>
    <t>&lt;LOD.0242374332984</t>
  </si>
  <si>
    <t>&lt;LOD.210495068019</t>
  </si>
  <si>
    <t>&lt;LOD.2265484885098</t>
  </si>
  <si>
    <t>&lt;LOD.4006776369166</t>
  </si>
  <si>
    <t>&lt;LOD.4372459884035</t>
  </si>
  <si>
    <t>&lt;LOD.0141198776834</t>
  </si>
  <si>
    <t>&lt;LOD.0088331648981</t>
  </si>
  <si>
    <t>&lt;LOD.0117314189279</t>
  </si>
  <si>
    <t>&lt;LOD.0028528099938</t>
  </si>
  <si>
    <t>&lt;LOD.0050769136745</t>
  </si>
  <si>
    <t>&lt;LOD.0140724843514</t>
  </si>
  <si>
    <t>&lt;LOD.0115452803125</t>
  </si>
  <si>
    <t>&lt;LOD.0130274221487</t>
  </si>
  <si>
    <t>&lt;LOD.0092024459326</t>
  </si>
  <si>
    <t>&lt;LOD.0554101034742</t>
  </si>
  <si>
    <t>&lt;LOD.0602213684357</t>
  </si>
  <si>
    <t>&lt;LOD.032825784156</t>
  </si>
  <si>
    <t>&lt;LOD.1207348922803</t>
  </si>
  <si>
    <t>&lt;LOD.0060027877181</t>
  </si>
  <si>
    <t>&lt;LOD.0506377090818</t>
  </si>
  <si>
    <t>&lt;LOD.0014519207077</t>
  </si>
  <si>
    <t>&lt;LOD.0052621698186</t>
  </si>
  <si>
    <t>&lt;LOD.0102002748571</t>
  </si>
  <si>
    <t>&lt;LOD.0071977141288</t>
  </si>
  <si>
    <t>&lt;LOD.0099920820957</t>
  </si>
  <si>
    <t>&lt;LOD.0132561321223</t>
  </si>
  <si>
    <t>&lt;LOD.1648752203193</t>
  </si>
  <si>
    <t>&lt;LOD.1065058787997</t>
  </si>
  <si>
    <t>&lt;LOD.0474894921759</t>
  </si>
  <si>
    <t>&lt;LOD.0218709803511</t>
  </si>
  <si>
    <t>&lt;LOD.0243672843785</t>
  </si>
  <si>
    <t>&lt;LOD.0396565569619</t>
  </si>
  <si>
    <t>&lt;LOD.0245620924563</t>
  </si>
  <si>
    <t>&lt;LOD.0221904397425</t>
  </si>
  <si>
    <t>&lt;LOD.0231718260177</t>
  </si>
  <si>
    <t>&lt;LOD.0280293269592</t>
  </si>
  <si>
    <t>&lt;LOD.0254509414005</t>
  </si>
  <si>
    <t>69_6.d</t>
  </si>
  <si>
    <t>Analytical settings:</t>
  </si>
  <si>
    <t xml:space="preserve">Instrument: </t>
  </si>
  <si>
    <t>CAMECA 1280-HR (Potsdam)</t>
  </si>
  <si>
    <t>Current:</t>
  </si>
  <si>
    <t>1 nA</t>
  </si>
  <si>
    <t>HV:</t>
  </si>
  <si>
    <t xml:space="preserve">10 kV </t>
  </si>
  <si>
    <t>Apertures:</t>
  </si>
  <si>
    <t>FA (µm):</t>
  </si>
  <si>
    <t>CA (µm):</t>
  </si>
  <si>
    <t>Entrance Slit (µm):</t>
  </si>
  <si>
    <t>Exit Slit (µm):</t>
  </si>
  <si>
    <t>500 (L'2), 250 (H1)</t>
  </si>
  <si>
    <t>Energy Slit (eV):</t>
  </si>
  <si>
    <t>40+/- 5 offset</t>
  </si>
  <si>
    <t>L4 (µm):</t>
  </si>
  <si>
    <t>M/dM ~</t>
  </si>
  <si>
    <t xml:space="preserve">Analysis: </t>
  </si>
  <si>
    <t>pit diam.:</t>
  </si>
  <si>
    <t xml:space="preserve"> ~ 10 µm </t>
  </si>
  <si>
    <t>preburn (s):</t>
  </si>
  <si>
    <t>preburn raster (µm):</t>
  </si>
  <si>
    <t>20 (start) and 15 (end)</t>
  </si>
  <si>
    <t>analysis raster (µm):</t>
  </si>
  <si>
    <t>Centering:</t>
  </si>
  <si>
    <t>DTFA-X/Y, DTCA-X</t>
  </si>
  <si>
    <t>Analysis time:</t>
  </si>
  <si>
    <t xml:space="preserve">20 cycles of 4 s </t>
  </si>
  <si>
    <t>e-gun:</t>
  </si>
  <si>
    <t>Field view (µm):</t>
  </si>
  <si>
    <t>Detection:</t>
  </si>
  <si>
    <t>deadtime:</t>
  </si>
  <si>
    <t>N/A</t>
  </si>
  <si>
    <t>background:</t>
  </si>
  <si>
    <t>e-gate:</t>
  </si>
  <si>
    <t>RM:</t>
  </si>
  <si>
    <t>Balmat pyrite (Crowe &amp; Vaughan 1996, Am. Miner. 81, 187-193; Ding et al. 2001, GCA, 65, 2433-2437)</t>
  </si>
  <si>
    <t>Analysis</t>
  </si>
  <si>
    <t>Date</t>
  </si>
  <si>
    <t>Cycles</t>
  </si>
  <si>
    <t>Clock</t>
  </si>
  <si>
    <t>Time after</t>
  </si>
  <si>
    <t>Stage Position X</t>
  </si>
  <si>
    <t>Stage Position Y</t>
  </si>
  <si>
    <t>Primary</t>
  </si>
  <si>
    <t>1SE</t>
  </si>
  <si>
    <t>DT-FA-X</t>
  </si>
  <si>
    <t>DT-FA-Y</t>
  </si>
  <si>
    <t>Entrance</t>
  </si>
  <si>
    <t xml:space="preserve">Sample Chamber </t>
  </si>
  <si>
    <t>Secondary Ion Yields</t>
  </si>
  <si>
    <t>time</t>
  </si>
  <si>
    <t>start (h)</t>
  </si>
  <si>
    <t>(µm)</t>
  </si>
  <si>
    <t>current (nA)</t>
  </si>
  <si>
    <t>L'2</t>
  </si>
  <si>
    <t>(%)</t>
  </si>
  <si>
    <t>H1</t>
  </si>
  <si>
    <t>H1/L'2</t>
  </si>
  <si>
    <t>(‰)</t>
  </si>
  <si>
    <t>(bits)</t>
  </si>
  <si>
    <t>slit (bits)</t>
  </si>
  <si>
    <t>Pressure (mbar)</t>
  </si>
  <si>
    <t>(cps/nA)</t>
  </si>
  <si>
    <t>Balmat@1</t>
  </si>
  <si>
    <t>Balmat@2</t>
  </si>
  <si>
    <t>Balmat@3</t>
  </si>
  <si>
    <t>Balmat@4</t>
  </si>
  <si>
    <t>Balmat@5</t>
  </si>
  <si>
    <t>Balmat@6</t>
  </si>
  <si>
    <t>Balmat@7</t>
  </si>
  <si>
    <t>Balmat@8</t>
  </si>
  <si>
    <t>Balmat@9</t>
  </si>
  <si>
    <t>Balmat@10</t>
  </si>
  <si>
    <t>Balmat@11</t>
  </si>
  <si>
    <t>All samples names (including Balmat RM) correspond to distinct mounts.</t>
  </si>
  <si>
    <t>Balmat@12</t>
  </si>
  <si>
    <t>Balmat@13</t>
  </si>
  <si>
    <t>Balmat@14</t>
  </si>
  <si>
    <t>Balmat@15</t>
  </si>
  <si>
    <t>Balmat@16</t>
  </si>
  <si>
    <t>Balmat@17</t>
  </si>
  <si>
    <t>Balmat@18</t>
  </si>
  <si>
    <t>Balmat@19</t>
  </si>
  <si>
    <t>Balmat@20</t>
  </si>
  <si>
    <t>Balmat@21</t>
  </si>
  <si>
    <t>Balmat@22</t>
  </si>
  <si>
    <t>Balmat@23</t>
  </si>
  <si>
    <t>Balmat@24</t>
  </si>
  <si>
    <t>122R22@3</t>
  </si>
  <si>
    <t>122R22@9</t>
  </si>
  <si>
    <t>Balmat@25</t>
  </si>
  <si>
    <t>Balmat@26</t>
  </si>
  <si>
    <t>Balmat@27</t>
  </si>
  <si>
    <t>Balmat@28</t>
  </si>
  <si>
    <t>Balmat@29</t>
  </si>
  <si>
    <t>Balmat@30</t>
  </si>
  <si>
    <t>Balmat@31</t>
  </si>
  <si>
    <t>Balmat@32</t>
  </si>
  <si>
    <t>Balmat@33</t>
  </si>
  <si>
    <t>Balmat@34</t>
  </si>
  <si>
    <t>Balmat@35</t>
  </si>
  <si>
    <t>Balmat@36</t>
  </si>
  <si>
    <t>Balmat@37</t>
  </si>
  <si>
    <t>Balmat@38</t>
  </si>
  <si>
    <t>Balmat@39</t>
  </si>
  <si>
    <t>Balmat@40</t>
  </si>
  <si>
    <t>Balmat@41</t>
  </si>
  <si>
    <t>Balmat@42</t>
  </si>
  <si>
    <t>Balmat@43</t>
  </si>
  <si>
    <t>Balmat@44</t>
  </si>
  <si>
    <t>Balmat@45</t>
  </si>
  <si>
    <t xml:space="preserve">Ding et al. (2001) </t>
  </si>
  <si>
    <t xml:space="preserve">Crowe and Vaughan (1996) </t>
  </si>
  <si>
    <t>SIMS Bias Balmat (‰)</t>
  </si>
  <si>
    <t>This means our SIMS istope ratios are biased by +4.41‰</t>
  </si>
  <si>
    <t>NO drift correction applied</t>
  </si>
  <si>
    <t>error bars are repeatability (1s) in Balmat</t>
  </si>
  <si>
    <t>repeatability (1s)</t>
  </si>
  <si>
    <t>n</t>
  </si>
  <si>
    <r>
      <t xml:space="preserve">True </t>
    </r>
    <r>
      <rPr>
        <vertAlign val="superscript"/>
        <sz val="14"/>
        <rFont val="Times New Roman"/>
        <family val="1"/>
      </rPr>
      <t>34</t>
    </r>
    <r>
      <rPr>
        <sz val="14"/>
        <rFont val="Times New Roman"/>
        <family val="1"/>
      </rPr>
      <t>S/</t>
    </r>
    <r>
      <rPr>
        <vertAlign val="superscript"/>
        <sz val="14"/>
        <rFont val="Times New Roman"/>
        <family val="1"/>
      </rPr>
      <t>32</t>
    </r>
    <r>
      <rPr>
        <sz val="14"/>
        <rFont val="Times New Roman"/>
        <family val="1"/>
      </rPr>
      <t>S value for Canyon Diabolo:</t>
    </r>
  </si>
  <si>
    <t>This means our SIMS istope ratios are biased by +4.19‰</t>
  </si>
  <si>
    <t>Balmat sec. ion yields</t>
  </si>
  <si>
    <r>
      <rPr>
        <b/>
        <vertAlign val="superscript"/>
        <sz val="14"/>
        <color indexed="8"/>
        <rFont val="Times New Roman"/>
        <family val="1"/>
      </rPr>
      <t>32</t>
    </r>
    <r>
      <rPr>
        <b/>
        <sz val="14"/>
        <color indexed="8"/>
        <rFont val="Times New Roman"/>
        <family val="1"/>
      </rPr>
      <t>S</t>
    </r>
    <r>
      <rPr>
        <b/>
        <vertAlign val="superscript"/>
        <sz val="14"/>
        <color indexed="8"/>
        <rFont val="Times New Roman"/>
        <family val="1"/>
      </rPr>
      <t>−</t>
    </r>
    <r>
      <rPr>
        <b/>
        <sz val="14"/>
        <color indexed="8"/>
        <rFont val="Times New Roman"/>
        <family val="1"/>
      </rPr>
      <t xml:space="preserve"> (cps)</t>
    </r>
  </si>
  <si>
    <r>
      <rPr>
        <b/>
        <vertAlign val="superscript"/>
        <sz val="14"/>
        <rFont val="Times New Roman"/>
        <family val="1"/>
      </rPr>
      <t>34</t>
    </r>
    <r>
      <rPr>
        <b/>
        <sz val="14"/>
        <rFont val="Times New Roman"/>
        <family val="1"/>
      </rPr>
      <t>S</t>
    </r>
    <r>
      <rPr>
        <b/>
        <vertAlign val="superscript"/>
        <sz val="14"/>
        <rFont val="Times New Roman"/>
        <family val="1"/>
      </rPr>
      <t>−</t>
    </r>
    <r>
      <rPr>
        <b/>
        <sz val="14"/>
        <rFont val="Times New Roman"/>
        <family val="1"/>
      </rPr>
      <t xml:space="preserve"> (cps)</t>
    </r>
  </si>
  <si>
    <r>
      <rPr>
        <b/>
        <vertAlign val="superscript"/>
        <sz val="14"/>
        <rFont val="Times New Roman"/>
        <family val="1"/>
      </rPr>
      <t>34</t>
    </r>
    <r>
      <rPr>
        <b/>
        <sz val="14"/>
        <rFont val="Times New Roman"/>
        <family val="1"/>
      </rPr>
      <t>S/</t>
    </r>
    <r>
      <rPr>
        <b/>
        <vertAlign val="superscript"/>
        <sz val="14"/>
        <rFont val="Times New Roman"/>
        <family val="1"/>
      </rPr>
      <t>32</t>
    </r>
    <r>
      <rPr>
        <b/>
        <sz val="14"/>
        <rFont val="Times New Roman"/>
        <family val="1"/>
      </rPr>
      <t>S</t>
    </r>
  </si>
  <si>
    <t>Relative Yields</t>
  </si>
  <si>
    <r>
      <t>δ</t>
    </r>
    <r>
      <rPr>
        <b/>
        <vertAlign val="superscript"/>
        <sz val="14"/>
        <rFont val="Times New Roman"/>
        <family val="1"/>
      </rPr>
      <t>34</t>
    </r>
    <r>
      <rPr>
        <b/>
        <sz val="14"/>
        <rFont val="Times New Roman"/>
        <family val="1"/>
      </rPr>
      <t>S (measured)</t>
    </r>
  </si>
  <si>
    <r>
      <t>δ</t>
    </r>
    <r>
      <rPr>
        <b/>
        <vertAlign val="superscript"/>
        <sz val="14"/>
        <color rgb="FF2D6027"/>
        <rFont val="Times New Roman"/>
        <family val="1"/>
      </rPr>
      <t>34</t>
    </r>
    <r>
      <rPr>
        <b/>
        <sz val="14"/>
        <color rgb="FF2D6027"/>
        <rFont val="Times New Roman"/>
        <family val="1"/>
      </rPr>
      <t>S (V-CDT)</t>
    </r>
  </si>
  <si>
    <t>uncertainty</t>
  </si>
  <si>
    <t>Notes*</t>
  </si>
  <si>
    <t>1s, ‰</t>
  </si>
  <si>
    <t>high relative yields</t>
  </si>
  <si>
    <t>low relative yields</t>
  </si>
  <si>
    <t>high DTFA</t>
  </si>
  <si>
    <t>low relative yields/high DTFA</t>
  </si>
  <si>
    <t>high relative yields/high DTFA</t>
  </si>
  <si>
    <t>*For large DTFA: there is no correlation between DTFA and d34S so, considering that it is sulfur (i.e. heavier than oxygen), I think the data are OK despite the DTFA larger than ±50;</t>
  </si>
  <si>
    <t>for high/low relative yields: check the pits with the SEM and if there is a physical explanation (crack, other phase, etc.) for the difference in yields (note that chemical variations compared to RM also result in yield differences, but I cannot quantify this for your samples).</t>
  </si>
  <si>
    <r>
      <t xml:space="preserve">Primary: </t>
    </r>
    <r>
      <rPr>
        <vertAlign val="superscript"/>
        <sz val="14"/>
        <rFont val="Times New Roman"/>
        <family val="1"/>
      </rPr>
      <t/>
    </r>
  </si>
  <si>
    <r>
      <t>Cs</t>
    </r>
    <r>
      <rPr>
        <vertAlign val="superscript"/>
        <sz val="14"/>
        <rFont val="Times New Roman"/>
        <family val="1"/>
      </rPr>
      <t>+</t>
    </r>
    <r>
      <rPr>
        <sz val="14"/>
        <rFont val="Times New Roman"/>
        <family val="1"/>
      </rPr>
      <t xml:space="preserve"> </t>
    </r>
  </si>
  <si>
    <r>
      <t>multi (</t>
    </r>
    <r>
      <rPr>
        <vertAlign val="superscript"/>
        <sz val="14"/>
        <rFont val="Times New Roman"/>
        <family val="1"/>
      </rPr>
      <t>32</t>
    </r>
    <r>
      <rPr>
        <sz val="14"/>
        <rFont val="Times New Roman"/>
        <family val="1"/>
      </rPr>
      <t xml:space="preserve">S/L´2, </t>
    </r>
    <r>
      <rPr>
        <vertAlign val="superscript"/>
        <sz val="14"/>
        <rFont val="Times New Roman"/>
        <family val="1"/>
      </rPr>
      <t>34</t>
    </r>
    <r>
      <rPr>
        <sz val="14"/>
        <rFont val="Times New Roman"/>
        <family val="1"/>
      </rPr>
      <t>S/H1)</t>
    </r>
  </si>
  <si>
    <r>
      <t>True δ</t>
    </r>
    <r>
      <rPr>
        <vertAlign val="superscript"/>
        <sz val="14"/>
        <rFont val="Times New Roman"/>
        <family val="1"/>
      </rPr>
      <t>34</t>
    </r>
    <r>
      <rPr>
        <sz val="14"/>
        <rFont val="Times New Roman"/>
        <family val="1"/>
      </rPr>
      <t>S value Balmat Pyrite:</t>
    </r>
  </si>
  <si>
    <t>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</si>
</sst>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[$-F400]h:mm:ss\ AM/PM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name val="Times New Roman"/>
      <family val="1"/>
    </font>
    <font>
      <b/>
      <u/>
      <sz val="14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name val="Times New Roman"/>
      <family val="1"/>
    </font>
    <font>
      <sz val="10"/>
      <name val="Arial"/>
      <family val="2"/>
    </font>
    <font>
      <sz val="14"/>
      <color rgb="FF9C6500"/>
      <name val="Times New Roman"/>
      <family val="1"/>
    </font>
    <font>
      <b/>
      <sz val="14"/>
      <name val="Times New Roman"/>
      <family val="1"/>
    </font>
    <font>
      <b/>
      <vertAlign val="superscript"/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vertAlign val="superscript"/>
      <sz val="14"/>
      <name val="Times New Roman"/>
      <family val="1"/>
    </font>
    <font>
      <b/>
      <sz val="14"/>
      <color rgb="FF2D6027"/>
      <name val="Times New Roman"/>
      <family val="1"/>
    </font>
    <font>
      <b/>
      <vertAlign val="superscript"/>
      <sz val="14"/>
      <color rgb="FF2D6027"/>
      <name val="Times New Roman"/>
      <family val="1"/>
    </font>
    <font>
      <b/>
      <sz val="14"/>
      <color rgb="FF006100"/>
      <name val="Times New Roman"/>
      <family val="1"/>
    </font>
    <font>
      <sz val="14"/>
      <color rgb="FF000000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sz val="14"/>
      <color rgb="FF006100"/>
      <name val="Times New Roman"/>
      <family val="1"/>
    </font>
    <font>
      <i/>
      <sz val="14"/>
      <name val="Times New Roman"/>
      <family val="1"/>
    </font>
    <font>
      <b/>
      <sz val="14"/>
      <color rgb="FF3366FF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DFFB8"/>
        <bgColor indexed="64"/>
      </patternFill>
    </fill>
    <fill>
      <patternFill patternType="solid">
        <fgColor rgb="FFEDED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6">
    <xf numFmtId="0" fontId="0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5" fillId="0" borderId="0"/>
    <xf numFmtId="0" fontId="15" fillId="0" borderId="0"/>
    <xf numFmtId="0" fontId="8" fillId="13" borderId="0" applyNumberFormat="0" applyFont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2" fontId="7" fillId="0" borderId="0" xfId="0" applyNumberFormat="1" applyFont="1"/>
    <xf numFmtId="2" fontId="6" fillId="0" borderId="0" xfId="0" applyNumberFormat="1" applyFont="1" applyAlignment="1">
      <alignment horizontal="right"/>
    </xf>
    <xf numFmtId="0" fontId="11" fillId="4" borderId="0" xfId="0" applyFont="1" applyFill="1"/>
    <xf numFmtId="0" fontId="1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3" fillId="5" borderId="0" xfId="0" applyFont="1" applyFill="1"/>
    <xf numFmtId="0" fontId="11" fillId="4" borderId="0" xfId="0" applyFont="1" applyFill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11" fillId="5" borderId="0" xfId="3" applyFont="1" applyFill="1" applyAlignment="1">
      <alignment horizontal="center" vertical="center"/>
    </xf>
    <xf numFmtId="0" fontId="11" fillId="5" borderId="0" xfId="0" applyFont="1" applyFill="1" applyAlignment="1">
      <alignment horizontal="left"/>
    </xf>
    <xf numFmtId="0" fontId="11" fillId="5" borderId="0" xfId="0" applyFont="1" applyFill="1"/>
    <xf numFmtId="0" fontId="11" fillId="4" borderId="0" xfId="0" applyFont="1" applyFill="1" applyAlignment="1">
      <alignment horizontal="left" vertical="center"/>
    </xf>
    <xf numFmtId="0" fontId="11" fillId="5" borderId="0" xfId="3" applyFont="1" applyFill="1" applyAlignment="1">
      <alignment horizontal="left" vertical="center"/>
    </xf>
    <xf numFmtId="0" fontId="11" fillId="5" borderId="0" xfId="3" applyFont="1" applyFill="1" applyAlignment="1">
      <alignment horizontal="right" vertical="center"/>
    </xf>
    <xf numFmtId="2" fontId="11" fillId="5" borderId="0" xfId="3" applyNumberFormat="1" applyFont="1" applyFill="1" applyAlignment="1">
      <alignment horizontal="left" vertical="center"/>
    </xf>
    <xf numFmtId="0" fontId="16" fillId="3" borderId="0" xfId="2" applyFont="1"/>
    <xf numFmtId="0" fontId="16" fillId="6" borderId="0" xfId="0" applyFont="1" applyFill="1"/>
    <xf numFmtId="164" fontId="11" fillId="4" borderId="0" xfId="0" applyNumberFormat="1" applyFont="1" applyFill="1" applyAlignment="1">
      <alignment horizontal="center" vertical="center"/>
    </xf>
    <xf numFmtId="1" fontId="11" fillId="4" borderId="0" xfId="0" applyNumberFormat="1" applyFont="1" applyFill="1" applyAlignment="1">
      <alignment vertical="center"/>
    </xf>
    <xf numFmtId="11" fontId="11" fillId="5" borderId="0" xfId="3" applyNumberFormat="1" applyFont="1" applyFill="1" applyAlignment="1">
      <alignment horizontal="left" vertical="center"/>
    </xf>
    <xf numFmtId="0" fontId="16" fillId="7" borderId="0" xfId="2" applyFont="1" applyFill="1"/>
    <xf numFmtId="0" fontId="16" fillId="8" borderId="0" xfId="0" applyFont="1" applyFill="1"/>
    <xf numFmtId="0" fontId="11" fillId="4" borderId="0" xfId="0" applyFont="1" applyFill="1" applyAlignment="1">
      <alignment horizontal="right" vertical="center"/>
    </xf>
    <xf numFmtId="0" fontId="17" fillId="5" borderId="1" xfId="3" applyFont="1" applyFill="1" applyBorder="1" applyAlignment="1">
      <alignment horizontal="center" vertical="center"/>
    </xf>
    <xf numFmtId="2" fontId="17" fillId="5" borderId="1" xfId="3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4" fillId="4" borderId="0" xfId="0" applyFont="1" applyFill="1"/>
    <xf numFmtId="0" fontId="17" fillId="5" borderId="2" xfId="3" applyFont="1" applyFill="1" applyBorder="1" applyAlignment="1">
      <alignment horizontal="center" vertical="center"/>
    </xf>
    <xf numFmtId="2" fontId="17" fillId="5" borderId="2" xfId="3" applyNumberFormat="1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4" fontId="13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2" fontId="13" fillId="5" borderId="0" xfId="0" applyNumberFormat="1" applyFont="1" applyFill="1" applyAlignment="1">
      <alignment horizontal="center" vertical="center"/>
    </xf>
    <xf numFmtId="11" fontId="13" fillId="5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2" fontId="25" fillId="10" borderId="0" xfId="0" applyNumberFormat="1" applyFont="1" applyFill="1" applyAlignment="1">
      <alignment horizontal="center" vertical="center"/>
    </xf>
    <xf numFmtId="2" fontId="23" fillId="2" borderId="0" xfId="1" applyNumberFormat="1" applyFont="1" applyAlignment="1">
      <alignment horizontal="center" vertical="center"/>
    </xf>
    <xf numFmtId="0" fontId="13" fillId="5" borderId="3" xfId="0" applyFont="1" applyFill="1" applyBorder="1"/>
    <xf numFmtId="14" fontId="13" fillId="5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65" fontId="13" fillId="5" borderId="3" xfId="0" applyNumberFormat="1" applyFont="1" applyFill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11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2" fontId="23" fillId="2" borderId="3" xfId="1" applyNumberFormat="1" applyFont="1" applyBorder="1" applyAlignment="1">
      <alignment horizontal="center" vertical="center"/>
    </xf>
    <xf numFmtId="2" fontId="25" fillId="10" borderId="3" xfId="0" applyNumberFormat="1" applyFont="1" applyFill="1" applyBorder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0" fontId="26" fillId="11" borderId="0" xfId="0" applyFont="1" applyFill="1"/>
    <xf numFmtId="0" fontId="13" fillId="11" borderId="0" xfId="0" applyFont="1" applyFill="1"/>
    <xf numFmtId="0" fontId="11" fillId="5" borderId="0" xfId="4" applyFont="1" applyFill="1"/>
    <xf numFmtId="0" fontId="12" fillId="12" borderId="0" xfId="3" applyFont="1" applyFill="1" applyAlignment="1">
      <alignment horizontal="left" vertical="center"/>
    </xf>
    <xf numFmtId="0" fontId="11" fillId="12" borderId="0" xfId="3" applyFont="1" applyFill="1" applyAlignment="1">
      <alignment horizontal="center" vertical="center"/>
    </xf>
    <xf numFmtId="0" fontId="11" fillId="5" borderId="0" xfId="4" applyFont="1" applyFill="1" applyAlignment="1">
      <alignment vertical="center"/>
    </xf>
    <xf numFmtId="0" fontId="11" fillId="12" borderId="0" xfId="3" applyFont="1" applyFill="1" applyAlignment="1">
      <alignment horizontal="right" vertical="center"/>
    </xf>
    <xf numFmtId="0" fontId="11" fillId="5" borderId="0" xfId="0" applyFont="1" applyFill="1" applyAlignment="1">
      <alignment vertical="center"/>
    </xf>
    <xf numFmtId="0" fontId="11" fillId="12" borderId="0" xfId="3" applyFont="1" applyFill="1" applyAlignment="1">
      <alignment horizontal="left" vertical="center"/>
    </xf>
    <xf numFmtId="0" fontId="11" fillId="5" borderId="0" xfId="4" applyFont="1" applyFill="1" applyAlignment="1">
      <alignment horizontal="left" vertical="center"/>
    </xf>
    <xf numFmtId="0" fontId="11" fillId="13" borderId="0" xfId="5" applyFont="1"/>
    <xf numFmtId="14" fontId="11" fillId="13" borderId="0" xfId="5" applyNumberFormat="1" applyFont="1" applyAlignment="1">
      <alignment horizontal="center"/>
    </xf>
    <xf numFmtId="0" fontId="11" fillId="13" borderId="0" xfId="5" applyFont="1" applyAlignment="1">
      <alignment horizontal="center" vertical="center"/>
    </xf>
    <xf numFmtId="165" fontId="11" fillId="13" borderId="0" xfId="5" applyNumberFormat="1" applyFont="1" applyAlignment="1">
      <alignment horizontal="center" vertical="center"/>
    </xf>
    <xf numFmtId="2" fontId="11" fillId="13" borderId="0" xfId="5" applyNumberFormat="1" applyFont="1" applyAlignment="1">
      <alignment horizontal="center" vertical="center"/>
    </xf>
    <xf numFmtId="1" fontId="11" fillId="13" borderId="0" xfId="5" applyNumberFormat="1" applyFont="1" applyAlignment="1">
      <alignment horizontal="center" vertical="center"/>
    </xf>
    <xf numFmtId="166" fontId="11" fillId="13" borderId="0" xfId="5" applyNumberFormat="1" applyFont="1" applyAlignment="1">
      <alignment horizontal="center" vertical="center"/>
    </xf>
    <xf numFmtId="11" fontId="11" fillId="13" borderId="0" xfId="5" applyNumberFormat="1" applyFont="1" applyAlignment="1">
      <alignment horizontal="center" vertical="center"/>
    </xf>
    <xf numFmtId="164" fontId="11" fillId="13" borderId="0" xfId="5" applyNumberFormat="1" applyFont="1" applyAlignment="1">
      <alignment horizontal="center" vertical="center"/>
    </xf>
    <xf numFmtId="2" fontId="13" fillId="5" borderId="0" xfId="0" applyNumberFormat="1" applyFont="1" applyFill="1"/>
    <xf numFmtId="11" fontId="13" fillId="5" borderId="0" xfId="0" applyNumberFormat="1" applyFont="1" applyFill="1"/>
    <xf numFmtId="0" fontId="12" fillId="5" borderId="0" xfId="3" applyFont="1" applyFill="1" applyAlignment="1">
      <alignment horizontal="left" vertical="center"/>
    </xf>
    <xf numFmtId="0" fontId="11" fillId="5" borderId="0" xfId="0" quotePrefix="1" applyFont="1" applyFill="1" applyAlignment="1">
      <alignment horizontal="left" vertical="center"/>
    </xf>
    <xf numFmtId="0" fontId="16" fillId="3" borderId="0" xfId="2" applyFont="1" applyAlignment="1">
      <alignment horizontal="left" vertical="center"/>
    </xf>
    <xf numFmtId="0" fontId="16" fillId="3" borderId="0" xfId="2" applyFont="1" applyAlignment="1">
      <alignment horizontal="right" vertical="center"/>
    </xf>
    <xf numFmtId="0" fontId="11" fillId="5" borderId="0" xfId="5" applyFont="1" applyFill="1"/>
    <xf numFmtId="14" fontId="11" fillId="5" borderId="0" xfId="5" applyNumberFormat="1" applyFont="1" applyFill="1" applyAlignment="1">
      <alignment horizontal="center"/>
    </xf>
    <xf numFmtId="0" fontId="11" fillId="5" borderId="0" xfId="5" applyFont="1" applyFill="1" applyAlignment="1">
      <alignment horizontal="center" vertical="center"/>
    </xf>
    <xf numFmtId="165" fontId="11" fillId="5" borderId="0" xfId="5" applyNumberFormat="1" applyFont="1" applyFill="1" applyAlignment="1">
      <alignment horizontal="center" vertical="center"/>
    </xf>
    <xf numFmtId="2" fontId="11" fillId="5" borderId="0" xfId="5" applyNumberFormat="1" applyFont="1" applyFill="1" applyAlignment="1">
      <alignment horizontal="center" vertical="center"/>
    </xf>
    <xf numFmtId="1" fontId="11" fillId="5" borderId="0" xfId="5" applyNumberFormat="1" applyFont="1" applyFill="1" applyAlignment="1">
      <alignment horizontal="center" vertical="center"/>
    </xf>
    <xf numFmtId="166" fontId="11" fillId="5" borderId="0" xfId="5" applyNumberFormat="1" applyFont="1" applyFill="1" applyAlignment="1">
      <alignment horizontal="center" vertical="center"/>
    </xf>
    <xf numFmtId="11" fontId="11" fillId="5" borderId="0" xfId="5" applyNumberFormat="1" applyFont="1" applyFill="1" applyAlignment="1">
      <alignment horizontal="center" vertical="center"/>
    </xf>
    <xf numFmtId="164" fontId="11" fillId="5" borderId="0" xfId="5" applyNumberFormat="1" applyFont="1" applyFill="1" applyAlignment="1">
      <alignment horizontal="center" vertical="center"/>
    </xf>
    <xf numFmtId="0" fontId="27" fillId="2" borderId="0" xfId="1" applyFont="1"/>
    <xf numFmtId="0" fontId="28" fillId="5" borderId="0" xfId="0" applyFont="1" applyFill="1"/>
    <xf numFmtId="11" fontId="29" fillId="5" borderId="0" xfId="0" applyNumberFormat="1" applyFont="1" applyFill="1" applyAlignment="1">
      <alignment horizontal="center" vertical="center"/>
    </xf>
    <xf numFmtId="2" fontId="29" fillId="5" borderId="0" xfId="0" applyNumberFormat="1" applyFont="1" applyFill="1" applyAlignment="1">
      <alignment horizontal="center" vertical="center"/>
    </xf>
    <xf numFmtId="11" fontId="29" fillId="5" borderId="0" xfId="0" applyNumberFormat="1" applyFont="1" applyFill="1" applyAlignment="1">
      <alignment horizontal="left" vertical="center"/>
    </xf>
    <xf numFmtId="1" fontId="29" fillId="5" borderId="0" xfId="0" applyNumberFormat="1" applyFont="1" applyFill="1" applyAlignment="1">
      <alignment horizontal="center" vertical="center"/>
    </xf>
    <xf numFmtId="0" fontId="17" fillId="5" borderId="1" xfId="3" applyFont="1" applyFill="1" applyBorder="1" applyAlignment="1">
      <alignment horizontal="left" vertical="center"/>
    </xf>
    <xf numFmtId="0" fontId="17" fillId="5" borderId="2" xfId="3" applyFont="1" applyFill="1" applyBorder="1" applyAlignment="1">
      <alignment horizontal="left" vertical="center"/>
    </xf>
    <xf numFmtId="0" fontId="17" fillId="5" borderId="1" xfId="3" applyFont="1" applyFill="1" applyBorder="1" applyAlignment="1">
      <alignment horizontal="center" vertical="center"/>
    </xf>
    <xf numFmtId="0" fontId="17" fillId="5" borderId="2" xfId="3" applyFont="1" applyFill="1" applyBorder="1" applyAlignment="1">
      <alignment horizontal="center" vertical="center"/>
    </xf>
  </cellXfs>
  <cellStyles count="6">
    <cellStyle name="Gut" xfId="1" builtinId="26"/>
    <cellStyle name="Neutral" xfId="2" builtinId="28"/>
    <cellStyle name="Normal 2" xfId="3" xr:uid="{F36622E7-8D66-42FE-809F-84B8A6B4E75C}"/>
    <cellStyle name="Normal 3" xfId="4" xr:uid="{4B53A905-D091-4E3B-8F93-27D83D95CCAF}"/>
    <cellStyle name="Standard" xfId="0" builtinId="0"/>
    <cellStyle name="Standard 2" xfId="5" xr:uid="{BB1FBE8D-A74A-4C79-BC38-B117D2C2F9A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022583597480526E-2"/>
          <c:y val="3.8373059431892759E-2"/>
          <c:w val="0.86657000883636348"/>
          <c:h val="0.83235593300952382"/>
        </c:manualLayout>
      </c:layout>
      <c:scatterChart>
        <c:scatterStyle val="lineMarker"/>
        <c:varyColors val="0"/>
        <c:ser>
          <c:idx val="0"/>
          <c:order val="0"/>
          <c:tx>
            <c:v>balmat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([1]Compile!$F$11:$F$15,[1]Compile!$F$31:$F$40,[1]Compile!$F$55:$F$57,[1]Compile!$F$69:$F$71,[1]Compile!$F$87:$F$89,[1]Compile!$F$99:$F$101,[1]Compile!$F$114:$F$123,[1]Compile!$F$135:$F$137,[1]Compile!$F$157:$F$159,[1]Compile!$F$181:$F$182)</c:f>
              <c:numCache>
                <c:formatCode>General</c:formatCode>
                <c:ptCount val="45"/>
                <c:pt idx="0">
                  <c:v>1973</c:v>
                </c:pt>
                <c:pt idx="1">
                  <c:v>1923</c:v>
                </c:pt>
                <c:pt idx="2">
                  <c:v>1873</c:v>
                </c:pt>
                <c:pt idx="3">
                  <c:v>1823</c:v>
                </c:pt>
                <c:pt idx="4">
                  <c:v>1773</c:v>
                </c:pt>
                <c:pt idx="5">
                  <c:v>2844</c:v>
                </c:pt>
                <c:pt idx="6">
                  <c:v>2794</c:v>
                </c:pt>
                <c:pt idx="7">
                  <c:v>2744</c:v>
                </c:pt>
                <c:pt idx="8">
                  <c:v>2694</c:v>
                </c:pt>
                <c:pt idx="9">
                  <c:v>2644</c:v>
                </c:pt>
                <c:pt idx="10">
                  <c:v>2490</c:v>
                </c:pt>
                <c:pt idx="11">
                  <c:v>2440</c:v>
                </c:pt>
                <c:pt idx="12">
                  <c:v>2340</c:v>
                </c:pt>
                <c:pt idx="13">
                  <c:v>2290</c:v>
                </c:pt>
                <c:pt idx="14">
                  <c:v>2240</c:v>
                </c:pt>
                <c:pt idx="15">
                  <c:v>2366</c:v>
                </c:pt>
                <c:pt idx="16">
                  <c:v>2316</c:v>
                </c:pt>
                <c:pt idx="17">
                  <c:v>2266</c:v>
                </c:pt>
                <c:pt idx="18">
                  <c:v>2947</c:v>
                </c:pt>
                <c:pt idx="19">
                  <c:v>2897</c:v>
                </c:pt>
                <c:pt idx="20">
                  <c:v>2847</c:v>
                </c:pt>
                <c:pt idx="21">
                  <c:v>2781</c:v>
                </c:pt>
                <c:pt idx="22">
                  <c:v>2731</c:v>
                </c:pt>
                <c:pt idx="23">
                  <c:v>2681</c:v>
                </c:pt>
                <c:pt idx="24">
                  <c:v>2263</c:v>
                </c:pt>
                <c:pt idx="25">
                  <c:v>2213</c:v>
                </c:pt>
                <c:pt idx="26">
                  <c:v>2163</c:v>
                </c:pt>
                <c:pt idx="27">
                  <c:v>2352</c:v>
                </c:pt>
                <c:pt idx="28">
                  <c:v>2302</c:v>
                </c:pt>
                <c:pt idx="29">
                  <c:v>2252</c:v>
                </c:pt>
                <c:pt idx="30">
                  <c:v>2202</c:v>
                </c:pt>
                <c:pt idx="31">
                  <c:v>2152</c:v>
                </c:pt>
                <c:pt idx="32">
                  <c:v>2427</c:v>
                </c:pt>
                <c:pt idx="33">
                  <c:v>2377</c:v>
                </c:pt>
                <c:pt idx="34">
                  <c:v>2327</c:v>
                </c:pt>
                <c:pt idx="35">
                  <c:v>2277</c:v>
                </c:pt>
                <c:pt idx="36">
                  <c:v>2257</c:v>
                </c:pt>
                <c:pt idx="37">
                  <c:v>2334</c:v>
                </c:pt>
                <c:pt idx="38">
                  <c:v>2284</c:v>
                </c:pt>
                <c:pt idx="39">
                  <c:v>2234</c:v>
                </c:pt>
                <c:pt idx="40">
                  <c:v>2124</c:v>
                </c:pt>
                <c:pt idx="41">
                  <c:v>2074</c:v>
                </c:pt>
                <c:pt idx="42">
                  <c:v>2024</c:v>
                </c:pt>
                <c:pt idx="43">
                  <c:v>2876</c:v>
                </c:pt>
                <c:pt idx="44">
                  <c:v>2826</c:v>
                </c:pt>
              </c:numCache>
            </c:numRef>
          </c:xVal>
          <c:yVal>
            <c:numRef>
              <c:f>([1]Compile!$G$11:$G$15,[1]Compile!$G$31:$G$40,[1]Compile!$G$55:$G$57,[1]Compile!$G$69:$G$71,[1]Compile!$G$87:$G$89,[1]Compile!$G$99:$G$101,[1]Compile!$G$114:$G$123,[1]Compile!$G$135:$G$137,[1]Compile!$G$157:$G$159,[1]Compile!$G$181:$G$182)</c:f>
              <c:numCache>
                <c:formatCode>General</c:formatCode>
                <c:ptCount val="45"/>
                <c:pt idx="0">
                  <c:v>-3304</c:v>
                </c:pt>
                <c:pt idx="1">
                  <c:v>-3304</c:v>
                </c:pt>
                <c:pt idx="2">
                  <c:v>-3304</c:v>
                </c:pt>
                <c:pt idx="3">
                  <c:v>-3304</c:v>
                </c:pt>
                <c:pt idx="4">
                  <c:v>-3304</c:v>
                </c:pt>
                <c:pt idx="5">
                  <c:v>-3350</c:v>
                </c:pt>
                <c:pt idx="6">
                  <c:v>-3350</c:v>
                </c:pt>
                <c:pt idx="7">
                  <c:v>-3350</c:v>
                </c:pt>
                <c:pt idx="8">
                  <c:v>-3350</c:v>
                </c:pt>
                <c:pt idx="9">
                  <c:v>-3350</c:v>
                </c:pt>
                <c:pt idx="10">
                  <c:v>-3239</c:v>
                </c:pt>
                <c:pt idx="11">
                  <c:v>-3239</c:v>
                </c:pt>
                <c:pt idx="12">
                  <c:v>-3239</c:v>
                </c:pt>
                <c:pt idx="13">
                  <c:v>-3239</c:v>
                </c:pt>
                <c:pt idx="14">
                  <c:v>-3239</c:v>
                </c:pt>
                <c:pt idx="15">
                  <c:v>-3298</c:v>
                </c:pt>
                <c:pt idx="16">
                  <c:v>-3298</c:v>
                </c:pt>
                <c:pt idx="17">
                  <c:v>-3298</c:v>
                </c:pt>
                <c:pt idx="18">
                  <c:v>-2964</c:v>
                </c:pt>
                <c:pt idx="19">
                  <c:v>-2964</c:v>
                </c:pt>
                <c:pt idx="20">
                  <c:v>-2964</c:v>
                </c:pt>
                <c:pt idx="21">
                  <c:v>-2962</c:v>
                </c:pt>
                <c:pt idx="22">
                  <c:v>-2962</c:v>
                </c:pt>
                <c:pt idx="23">
                  <c:v>-2962</c:v>
                </c:pt>
                <c:pt idx="24">
                  <c:v>-3168</c:v>
                </c:pt>
                <c:pt idx="25">
                  <c:v>-3168</c:v>
                </c:pt>
                <c:pt idx="26">
                  <c:v>-3168</c:v>
                </c:pt>
                <c:pt idx="27">
                  <c:v>-2946</c:v>
                </c:pt>
                <c:pt idx="28">
                  <c:v>-2946</c:v>
                </c:pt>
                <c:pt idx="29">
                  <c:v>-2946</c:v>
                </c:pt>
                <c:pt idx="30">
                  <c:v>-2946</c:v>
                </c:pt>
                <c:pt idx="31">
                  <c:v>-2946</c:v>
                </c:pt>
                <c:pt idx="32">
                  <c:v>-3413</c:v>
                </c:pt>
                <c:pt idx="33">
                  <c:v>-3413</c:v>
                </c:pt>
                <c:pt idx="34">
                  <c:v>-3413</c:v>
                </c:pt>
                <c:pt idx="35">
                  <c:v>-3413</c:v>
                </c:pt>
                <c:pt idx="36">
                  <c:v>-3288</c:v>
                </c:pt>
                <c:pt idx="37">
                  <c:v>-3162</c:v>
                </c:pt>
                <c:pt idx="38">
                  <c:v>-3162</c:v>
                </c:pt>
                <c:pt idx="39">
                  <c:v>-3162</c:v>
                </c:pt>
                <c:pt idx="40">
                  <c:v>-3254</c:v>
                </c:pt>
                <c:pt idx="41">
                  <c:v>-3254</c:v>
                </c:pt>
                <c:pt idx="42">
                  <c:v>-3254</c:v>
                </c:pt>
                <c:pt idx="43">
                  <c:v>-3212</c:v>
                </c:pt>
                <c:pt idx="44">
                  <c:v>-3212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4-4F6E-93F6-F9C3908F633D}"/>
            </c:ext>
          </c:extLst>
        </c:ser>
        <c:ser>
          <c:idx val="1"/>
          <c:order val="1"/>
          <c:tx>
            <c:v>52DR8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[1]Compile!$F$16:$F$30</c:f>
              <c:numCache>
                <c:formatCode>General</c:formatCode>
                <c:ptCount val="15"/>
                <c:pt idx="0">
                  <c:v>1041</c:v>
                </c:pt>
                <c:pt idx="1">
                  <c:v>1131</c:v>
                </c:pt>
                <c:pt idx="2">
                  <c:v>690</c:v>
                </c:pt>
                <c:pt idx="3">
                  <c:v>721</c:v>
                </c:pt>
                <c:pt idx="4">
                  <c:v>381</c:v>
                </c:pt>
                <c:pt idx="5">
                  <c:v>560</c:v>
                </c:pt>
                <c:pt idx="6">
                  <c:v>1136</c:v>
                </c:pt>
                <c:pt idx="7">
                  <c:v>-436</c:v>
                </c:pt>
                <c:pt idx="8">
                  <c:v>-1646</c:v>
                </c:pt>
                <c:pt idx="9">
                  <c:v>-1637</c:v>
                </c:pt>
                <c:pt idx="10">
                  <c:v>-1928</c:v>
                </c:pt>
                <c:pt idx="11">
                  <c:v>-2201</c:v>
                </c:pt>
                <c:pt idx="12">
                  <c:v>-2247</c:v>
                </c:pt>
                <c:pt idx="13">
                  <c:v>-2295</c:v>
                </c:pt>
                <c:pt idx="14">
                  <c:v>-1706</c:v>
                </c:pt>
              </c:numCache>
            </c:numRef>
          </c:xVal>
          <c:yVal>
            <c:numRef>
              <c:f>[1]Compile!$G$16:$G$30</c:f>
              <c:numCache>
                <c:formatCode>General</c:formatCode>
                <c:ptCount val="15"/>
                <c:pt idx="0">
                  <c:v>-2692</c:v>
                </c:pt>
                <c:pt idx="1">
                  <c:v>-2634</c:v>
                </c:pt>
                <c:pt idx="2">
                  <c:v>-2573</c:v>
                </c:pt>
                <c:pt idx="3">
                  <c:v>-2782</c:v>
                </c:pt>
                <c:pt idx="4">
                  <c:v>-2493</c:v>
                </c:pt>
                <c:pt idx="5">
                  <c:v>-2391</c:v>
                </c:pt>
                <c:pt idx="6">
                  <c:v>-3531</c:v>
                </c:pt>
                <c:pt idx="7">
                  <c:v>-1768</c:v>
                </c:pt>
                <c:pt idx="8">
                  <c:v>-3912</c:v>
                </c:pt>
                <c:pt idx="9">
                  <c:v>-3935</c:v>
                </c:pt>
                <c:pt idx="10">
                  <c:v>-3707</c:v>
                </c:pt>
                <c:pt idx="11">
                  <c:v>-3767</c:v>
                </c:pt>
                <c:pt idx="12">
                  <c:v>-3675</c:v>
                </c:pt>
                <c:pt idx="13">
                  <c:v>-3590</c:v>
                </c:pt>
                <c:pt idx="14">
                  <c:v>-4033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4-4F6E-93F6-F9C3908F633D}"/>
            </c:ext>
          </c:extLst>
        </c:ser>
        <c:ser>
          <c:idx val="2"/>
          <c:order val="2"/>
          <c:tx>
            <c:v>54R10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[1]Compile!$F$41:$F$54</c:f>
              <c:numCache>
                <c:formatCode>General</c:formatCode>
                <c:ptCount val="14"/>
                <c:pt idx="0">
                  <c:v>-272</c:v>
                </c:pt>
                <c:pt idx="1">
                  <c:v>-248</c:v>
                </c:pt>
                <c:pt idx="2">
                  <c:v>-204</c:v>
                </c:pt>
                <c:pt idx="3">
                  <c:v>-125</c:v>
                </c:pt>
                <c:pt idx="4">
                  <c:v>-61</c:v>
                </c:pt>
                <c:pt idx="5">
                  <c:v>0</c:v>
                </c:pt>
                <c:pt idx="6">
                  <c:v>-880</c:v>
                </c:pt>
                <c:pt idx="7">
                  <c:v>-754</c:v>
                </c:pt>
                <c:pt idx="8">
                  <c:v>-846</c:v>
                </c:pt>
                <c:pt idx="9">
                  <c:v>-671</c:v>
                </c:pt>
                <c:pt idx="10">
                  <c:v>-661</c:v>
                </c:pt>
                <c:pt idx="11">
                  <c:v>-674</c:v>
                </c:pt>
                <c:pt idx="12">
                  <c:v>-553</c:v>
                </c:pt>
                <c:pt idx="13">
                  <c:v>-560</c:v>
                </c:pt>
              </c:numCache>
            </c:numRef>
          </c:xVal>
          <c:yVal>
            <c:numRef>
              <c:f>[1]Compile!$G$41:$G$54</c:f>
              <c:numCache>
                <c:formatCode>General</c:formatCode>
                <c:ptCount val="14"/>
                <c:pt idx="0">
                  <c:v>2412</c:v>
                </c:pt>
                <c:pt idx="1">
                  <c:v>2433</c:v>
                </c:pt>
                <c:pt idx="2">
                  <c:v>2449</c:v>
                </c:pt>
                <c:pt idx="3">
                  <c:v>2451</c:v>
                </c:pt>
                <c:pt idx="4">
                  <c:v>2422</c:v>
                </c:pt>
                <c:pt idx="5">
                  <c:v>2430</c:v>
                </c:pt>
                <c:pt idx="6">
                  <c:v>3023</c:v>
                </c:pt>
                <c:pt idx="7">
                  <c:v>3102</c:v>
                </c:pt>
                <c:pt idx="8">
                  <c:v>3135</c:v>
                </c:pt>
                <c:pt idx="9">
                  <c:v>3934</c:v>
                </c:pt>
                <c:pt idx="10">
                  <c:v>3856</c:v>
                </c:pt>
                <c:pt idx="11">
                  <c:v>3820</c:v>
                </c:pt>
                <c:pt idx="12">
                  <c:v>3928</c:v>
                </c:pt>
                <c:pt idx="13">
                  <c:v>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4-4F6E-93F6-F9C3908F633D}"/>
            </c:ext>
          </c:extLst>
        </c:ser>
        <c:ser>
          <c:idx val="3"/>
          <c:order val="3"/>
          <c:tx>
            <c:v>29R3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92D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[1]Compile!$F$58:$F$68</c:f>
              <c:numCache>
                <c:formatCode>General</c:formatCode>
                <c:ptCount val="11"/>
                <c:pt idx="0">
                  <c:v>1234</c:v>
                </c:pt>
                <c:pt idx="1">
                  <c:v>1161</c:v>
                </c:pt>
                <c:pt idx="2">
                  <c:v>1231</c:v>
                </c:pt>
                <c:pt idx="3">
                  <c:v>1066</c:v>
                </c:pt>
                <c:pt idx="4">
                  <c:v>866</c:v>
                </c:pt>
                <c:pt idx="5">
                  <c:v>822</c:v>
                </c:pt>
                <c:pt idx="6">
                  <c:v>549</c:v>
                </c:pt>
                <c:pt idx="7">
                  <c:v>1718</c:v>
                </c:pt>
                <c:pt idx="8">
                  <c:v>1652</c:v>
                </c:pt>
                <c:pt idx="9">
                  <c:v>1632</c:v>
                </c:pt>
                <c:pt idx="10">
                  <c:v>1572</c:v>
                </c:pt>
              </c:numCache>
            </c:numRef>
          </c:xVal>
          <c:yVal>
            <c:numRef>
              <c:f>[1]Compile!$G$58:$G$68</c:f>
              <c:numCache>
                <c:formatCode>General</c:formatCode>
                <c:ptCount val="11"/>
                <c:pt idx="0">
                  <c:v>194</c:v>
                </c:pt>
                <c:pt idx="1">
                  <c:v>330</c:v>
                </c:pt>
                <c:pt idx="2">
                  <c:v>391</c:v>
                </c:pt>
                <c:pt idx="3">
                  <c:v>514</c:v>
                </c:pt>
                <c:pt idx="4">
                  <c:v>656</c:v>
                </c:pt>
                <c:pt idx="5">
                  <c:v>787</c:v>
                </c:pt>
                <c:pt idx="6">
                  <c:v>335</c:v>
                </c:pt>
                <c:pt idx="7">
                  <c:v>1128</c:v>
                </c:pt>
                <c:pt idx="8">
                  <c:v>1074</c:v>
                </c:pt>
                <c:pt idx="9">
                  <c:v>1227</c:v>
                </c:pt>
                <c:pt idx="10">
                  <c:v>1189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74-4F6E-93F6-F9C3908F633D}"/>
            </c:ext>
          </c:extLst>
        </c:ser>
        <c:ser>
          <c:idx val="4"/>
          <c:order val="4"/>
          <c:tx>
            <c:v>110R3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[1]Compile!$F$72:$F$86</c:f>
              <c:numCache>
                <c:formatCode>General</c:formatCode>
                <c:ptCount val="15"/>
                <c:pt idx="0">
                  <c:v>4825</c:v>
                </c:pt>
                <c:pt idx="1">
                  <c:v>4843</c:v>
                </c:pt>
                <c:pt idx="2">
                  <c:v>5014</c:v>
                </c:pt>
                <c:pt idx="3">
                  <c:v>5064</c:v>
                </c:pt>
                <c:pt idx="4">
                  <c:v>5247</c:v>
                </c:pt>
                <c:pt idx="5">
                  <c:v>5996</c:v>
                </c:pt>
                <c:pt idx="6">
                  <c:v>6138</c:v>
                </c:pt>
                <c:pt idx="7">
                  <c:v>6758</c:v>
                </c:pt>
                <c:pt idx="8">
                  <c:v>-5668</c:v>
                </c:pt>
                <c:pt idx="9">
                  <c:v>-5578</c:v>
                </c:pt>
                <c:pt idx="10">
                  <c:v>-5558</c:v>
                </c:pt>
                <c:pt idx="11">
                  <c:v>-6122</c:v>
                </c:pt>
                <c:pt idx="12">
                  <c:v>-6473</c:v>
                </c:pt>
                <c:pt idx="13">
                  <c:v>-6421</c:v>
                </c:pt>
                <c:pt idx="14">
                  <c:v>-5879</c:v>
                </c:pt>
              </c:numCache>
            </c:numRef>
          </c:xVal>
          <c:yVal>
            <c:numRef>
              <c:f>[1]Compile!$G$72:$G$86</c:f>
              <c:numCache>
                <c:formatCode>General</c:formatCode>
                <c:ptCount val="15"/>
                <c:pt idx="0">
                  <c:v>6057</c:v>
                </c:pt>
                <c:pt idx="1">
                  <c:v>5995</c:v>
                </c:pt>
                <c:pt idx="2">
                  <c:v>5898</c:v>
                </c:pt>
                <c:pt idx="3">
                  <c:v>5928</c:v>
                </c:pt>
                <c:pt idx="4">
                  <c:v>6002</c:v>
                </c:pt>
                <c:pt idx="5">
                  <c:v>6278</c:v>
                </c:pt>
                <c:pt idx="6">
                  <c:v>6392</c:v>
                </c:pt>
                <c:pt idx="7">
                  <c:v>6893</c:v>
                </c:pt>
                <c:pt idx="8">
                  <c:v>1586</c:v>
                </c:pt>
                <c:pt idx="9">
                  <c:v>1628</c:v>
                </c:pt>
                <c:pt idx="10">
                  <c:v>1454</c:v>
                </c:pt>
                <c:pt idx="11">
                  <c:v>1207</c:v>
                </c:pt>
                <c:pt idx="12">
                  <c:v>716</c:v>
                </c:pt>
                <c:pt idx="13">
                  <c:v>672</c:v>
                </c:pt>
                <c:pt idx="14">
                  <c:v>1234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74-4F6E-93F6-F9C3908F633D}"/>
            </c:ext>
          </c:extLst>
        </c:ser>
        <c:ser>
          <c:idx val="5"/>
          <c:order val="5"/>
          <c:tx>
            <c:v>122R22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[1]Compile!$F$90:$F$98</c:f>
              <c:numCache>
                <c:formatCode>General</c:formatCode>
                <c:ptCount val="9"/>
                <c:pt idx="0">
                  <c:v>929</c:v>
                </c:pt>
                <c:pt idx="1">
                  <c:v>1113</c:v>
                </c:pt>
                <c:pt idx="2">
                  <c:v>942</c:v>
                </c:pt>
                <c:pt idx="3">
                  <c:v>593</c:v>
                </c:pt>
                <c:pt idx="4">
                  <c:v>268</c:v>
                </c:pt>
                <c:pt idx="5">
                  <c:v>16</c:v>
                </c:pt>
                <c:pt idx="6">
                  <c:v>-546</c:v>
                </c:pt>
                <c:pt idx="7">
                  <c:v>-953</c:v>
                </c:pt>
                <c:pt idx="8">
                  <c:v>-995</c:v>
                </c:pt>
              </c:numCache>
            </c:numRef>
          </c:xVal>
          <c:yVal>
            <c:numRef>
              <c:f>[1]Compile!$G$90:$G$98</c:f>
              <c:numCache>
                <c:formatCode>General</c:formatCode>
                <c:ptCount val="9"/>
                <c:pt idx="0">
                  <c:v>3724</c:v>
                </c:pt>
                <c:pt idx="1">
                  <c:v>3712</c:v>
                </c:pt>
                <c:pt idx="2">
                  <c:v>3486</c:v>
                </c:pt>
                <c:pt idx="3">
                  <c:v>3837</c:v>
                </c:pt>
                <c:pt idx="4">
                  <c:v>3668</c:v>
                </c:pt>
                <c:pt idx="5">
                  <c:v>3547</c:v>
                </c:pt>
                <c:pt idx="6">
                  <c:v>3558</c:v>
                </c:pt>
                <c:pt idx="7">
                  <c:v>3018</c:v>
                </c:pt>
                <c:pt idx="8">
                  <c:v>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74-4F6E-93F6-F9C3908F633D}"/>
            </c:ext>
          </c:extLst>
        </c:ser>
        <c:ser>
          <c:idx val="6"/>
          <c:order val="6"/>
          <c:tx>
            <c:v>39R1046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[1]Compile!$F$102:$F$113</c:f>
              <c:numCache>
                <c:formatCode>General</c:formatCode>
                <c:ptCount val="12"/>
                <c:pt idx="0">
                  <c:v>160</c:v>
                </c:pt>
                <c:pt idx="1">
                  <c:v>274</c:v>
                </c:pt>
                <c:pt idx="2">
                  <c:v>406</c:v>
                </c:pt>
                <c:pt idx="3">
                  <c:v>829</c:v>
                </c:pt>
                <c:pt idx="4">
                  <c:v>462</c:v>
                </c:pt>
                <c:pt idx="5">
                  <c:v>766</c:v>
                </c:pt>
                <c:pt idx="6">
                  <c:v>-175</c:v>
                </c:pt>
                <c:pt idx="7">
                  <c:v>-10</c:v>
                </c:pt>
                <c:pt idx="8">
                  <c:v>-432</c:v>
                </c:pt>
                <c:pt idx="9">
                  <c:v>-424</c:v>
                </c:pt>
                <c:pt idx="10">
                  <c:v>449</c:v>
                </c:pt>
                <c:pt idx="11">
                  <c:v>406</c:v>
                </c:pt>
              </c:numCache>
            </c:numRef>
          </c:xVal>
          <c:yVal>
            <c:numRef>
              <c:f>[1]Compile!$G$102:$G$113</c:f>
              <c:numCache>
                <c:formatCode>General</c:formatCode>
                <c:ptCount val="12"/>
                <c:pt idx="0">
                  <c:v>582</c:v>
                </c:pt>
                <c:pt idx="1">
                  <c:v>589</c:v>
                </c:pt>
                <c:pt idx="2">
                  <c:v>604</c:v>
                </c:pt>
                <c:pt idx="3">
                  <c:v>431</c:v>
                </c:pt>
                <c:pt idx="4">
                  <c:v>-72</c:v>
                </c:pt>
                <c:pt idx="5">
                  <c:v>-289</c:v>
                </c:pt>
                <c:pt idx="6">
                  <c:v>1016</c:v>
                </c:pt>
                <c:pt idx="7">
                  <c:v>851</c:v>
                </c:pt>
                <c:pt idx="8">
                  <c:v>819</c:v>
                </c:pt>
                <c:pt idx="9">
                  <c:v>944</c:v>
                </c:pt>
                <c:pt idx="10">
                  <c:v>1024</c:v>
                </c:pt>
                <c:pt idx="11">
                  <c:v>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74-4F6E-93F6-F9C3908F633D}"/>
            </c:ext>
          </c:extLst>
        </c:ser>
        <c:ser>
          <c:idx val="7"/>
          <c:order val="7"/>
          <c:tx>
            <c:v>49TVG1-2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[1]Compile!$F$124:$F$134</c:f>
              <c:numCache>
                <c:formatCode>General</c:formatCode>
                <c:ptCount val="11"/>
                <c:pt idx="0">
                  <c:v>1139</c:v>
                </c:pt>
                <c:pt idx="1">
                  <c:v>1200</c:v>
                </c:pt>
                <c:pt idx="2">
                  <c:v>1021</c:v>
                </c:pt>
                <c:pt idx="3">
                  <c:v>1158</c:v>
                </c:pt>
                <c:pt idx="4">
                  <c:v>1172</c:v>
                </c:pt>
                <c:pt idx="5">
                  <c:v>1851</c:v>
                </c:pt>
                <c:pt idx="6">
                  <c:v>1874</c:v>
                </c:pt>
                <c:pt idx="7">
                  <c:v>1930</c:v>
                </c:pt>
                <c:pt idx="8">
                  <c:v>1943</c:v>
                </c:pt>
                <c:pt idx="9">
                  <c:v>1963</c:v>
                </c:pt>
                <c:pt idx="10">
                  <c:v>1568</c:v>
                </c:pt>
              </c:numCache>
            </c:numRef>
          </c:xVal>
          <c:yVal>
            <c:numRef>
              <c:f>[1]Compile!$G$124:$G$134</c:f>
              <c:numCache>
                <c:formatCode>General</c:formatCode>
                <c:ptCount val="11"/>
                <c:pt idx="0">
                  <c:v>-6433</c:v>
                </c:pt>
                <c:pt idx="1">
                  <c:v>-6322</c:v>
                </c:pt>
                <c:pt idx="2">
                  <c:v>-6663</c:v>
                </c:pt>
                <c:pt idx="3">
                  <c:v>-6719</c:v>
                </c:pt>
                <c:pt idx="4">
                  <c:v>-6038</c:v>
                </c:pt>
                <c:pt idx="5">
                  <c:v>-5938</c:v>
                </c:pt>
                <c:pt idx="6">
                  <c:v>-6094</c:v>
                </c:pt>
                <c:pt idx="7">
                  <c:v>-5755</c:v>
                </c:pt>
                <c:pt idx="8">
                  <c:v>-5693</c:v>
                </c:pt>
                <c:pt idx="9">
                  <c:v>-5595</c:v>
                </c:pt>
                <c:pt idx="10">
                  <c:v>-5858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574-4F6E-93F6-F9C3908F633D}"/>
            </c:ext>
          </c:extLst>
        </c:ser>
        <c:ser>
          <c:idx val="8"/>
          <c:order val="8"/>
          <c:tx>
            <c:v>69TVG5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[1]Compile!$F$138:$F$142</c:f>
              <c:numCache>
                <c:formatCode>General</c:formatCode>
                <c:ptCount val="5"/>
                <c:pt idx="0">
                  <c:v>-615</c:v>
                </c:pt>
                <c:pt idx="1">
                  <c:v>-2789</c:v>
                </c:pt>
                <c:pt idx="2">
                  <c:v>1087</c:v>
                </c:pt>
                <c:pt idx="3">
                  <c:v>871</c:v>
                </c:pt>
                <c:pt idx="4">
                  <c:v>-833</c:v>
                </c:pt>
              </c:numCache>
            </c:numRef>
          </c:xVal>
          <c:yVal>
            <c:numRef>
              <c:f>[1]Compile!$G$138:$G$142</c:f>
              <c:numCache>
                <c:formatCode>General</c:formatCode>
                <c:ptCount val="5"/>
                <c:pt idx="0">
                  <c:v>-498</c:v>
                </c:pt>
                <c:pt idx="1">
                  <c:v>-948</c:v>
                </c:pt>
                <c:pt idx="2">
                  <c:v>634</c:v>
                </c:pt>
                <c:pt idx="3">
                  <c:v>1168</c:v>
                </c:pt>
                <c:pt idx="4">
                  <c:v>1711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574-4F6E-93F6-F9C3908F633D}"/>
            </c:ext>
          </c:extLst>
        </c:ser>
        <c:ser>
          <c:idx val="9"/>
          <c:order val="9"/>
          <c:tx>
            <c:v>60R14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[1]Compile!$F$143:$F$156</c:f>
              <c:numCache>
                <c:formatCode>General</c:formatCode>
                <c:ptCount val="14"/>
                <c:pt idx="0">
                  <c:v>-1130</c:v>
                </c:pt>
                <c:pt idx="1">
                  <c:v>-1190</c:v>
                </c:pt>
                <c:pt idx="2">
                  <c:v>-1134</c:v>
                </c:pt>
                <c:pt idx="3">
                  <c:v>-1210</c:v>
                </c:pt>
                <c:pt idx="4">
                  <c:v>-1559</c:v>
                </c:pt>
                <c:pt idx="5">
                  <c:v>-1437</c:v>
                </c:pt>
                <c:pt idx="6">
                  <c:v>-1796</c:v>
                </c:pt>
                <c:pt idx="7">
                  <c:v>-2079</c:v>
                </c:pt>
                <c:pt idx="8">
                  <c:v>-1932</c:v>
                </c:pt>
                <c:pt idx="9">
                  <c:v>-2062</c:v>
                </c:pt>
                <c:pt idx="10">
                  <c:v>-2748</c:v>
                </c:pt>
                <c:pt idx="11">
                  <c:v>-2768</c:v>
                </c:pt>
                <c:pt idx="12">
                  <c:v>-2698</c:v>
                </c:pt>
                <c:pt idx="13">
                  <c:v>-2264</c:v>
                </c:pt>
              </c:numCache>
            </c:numRef>
          </c:xVal>
          <c:yVal>
            <c:numRef>
              <c:f>[1]Compile!$G$143:$G$156</c:f>
              <c:numCache>
                <c:formatCode>General</c:formatCode>
                <c:ptCount val="14"/>
                <c:pt idx="0">
                  <c:v>2559</c:v>
                </c:pt>
                <c:pt idx="1">
                  <c:v>2565</c:v>
                </c:pt>
                <c:pt idx="2">
                  <c:v>2333</c:v>
                </c:pt>
                <c:pt idx="3">
                  <c:v>2192</c:v>
                </c:pt>
                <c:pt idx="4">
                  <c:v>1828</c:v>
                </c:pt>
                <c:pt idx="5">
                  <c:v>1699</c:v>
                </c:pt>
                <c:pt idx="6">
                  <c:v>1721</c:v>
                </c:pt>
                <c:pt idx="7">
                  <c:v>1316</c:v>
                </c:pt>
                <c:pt idx="8">
                  <c:v>1336</c:v>
                </c:pt>
                <c:pt idx="9">
                  <c:v>780</c:v>
                </c:pt>
                <c:pt idx="10">
                  <c:v>980</c:v>
                </c:pt>
                <c:pt idx="11">
                  <c:v>894</c:v>
                </c:pt>
                <c:pt idx="12">
                  <c:v>1588</c:v>
                </c:pt>
                <c:pt idx="13">
                  <c:v>1440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574-4F6E-93F6-F9C3908F633D}"/>
            </c:ext>
          </c:extLst>
        </c:ser>
        <c:ser>
          <c:idx val="10"/>
          <c:order val="10"/>
          <c:tx>
            <c:v>DG185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[1]Compile!$F$160:$F$166</c:f>
              <c:numCache>
                <c:formatCode>General</c:formatCode>
                <c:ptCount val="7"/>
                <c:pt idx="0">
                  <c:v>-1079</c:v>
                </c:pt>
                <c:pt idx="1">
                  <c:v>-1033</c:v>
                </c:pt>
                <c:pt idx="2">
                  <c:v>-2636</c:v>
                </c:pt>
                <c:pt idx="3">
                  <c:v>-2847</c:v>
                </c:pt>
                <c:pt idx="4">
                  <c:v>-2622</c:v>
                </c:pt>
                <c:pt idx="5">
                  <c:v>56</c:v>
                </c:pt>
                <c:pt idx="6">
                  <c:v>64</c:v>
                </c:pt>
              </c:numCache>
            </c:numRef>
          </c:xVal>
          <c:yVal>
            <c:numRef>
              <c:f>[1]Compile!$G$160:$G$166</c:f>
              <c:numCache>
                <c:formatCode>General</c:formatCode>
                <c:ptCount val="7"/>
                <c:pt idx="0">
                  <c:v>330</c:v>
                </c:pt>
                <c:pt idx="1">
                  <c:v>242</c:v>
                </c:pt>
                <c:pt idx="2">
                  <c:v>-1174</c:v>
                </c:pt>
                <c:pt idx="3">
                  <c:v>-902</c:v>
                </c:pt>
                <c:pt idx="4">
                  <c:v>-17</c:v>
                </c:pt>
                <c:pt idx="5">
                  <c:v>-5335</c:v>
                </c:pt>
                <c:pt idx="6">
                  <c:v>-4492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574-4F6E-93F6-F9C3908F633D}"/>
            </c:ext>
          </c:extLst>
        </c:ser>
        <c:ser>
          <c:idx val="11"/>
          <c:order val="11"/>
          <c:tx>
            <c:v>31R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[1]Compile!$F$167:$F$180</c:f>
              <c:numCache>
                <c:formatCode>General</c:formatCode>
                <c:ptCount val="14"/>
                <c:pt idx="0">
                  <c:v>790</c:v>
                </c:pt>
                <c:pt idx="1">
                  <c:v>828</c:v>
                </c:pt>
                <c:pt idx="2">
                  <c:v>984</c:v>
                </c:pt>
                <c:pt idx="3">
                  <c:v>1021</c:v>
                </c:pt>
                <c:pt idx="4">
                  <c:v>867</c:v>
                </c:pt>
                <c:pt idx="5">
                  <c:v>353</c:v>
                </c:pt>
                <c:pt idx="6">
                  <c:v>390</c:v>
                </c:pt>
                <c:pt idx="7">
                  <c:v>-983</c:v>
                </c:pt>
                <c:pt idx="8">
                  <c:v>-979</c:v>
                </c:pt>
                <c:pt idx="9">
                  <c:v>-457</c:v>
                </c:pt>
                <c:pt idx="10">
                  <c:v>872</c:v>
                </c:pt>
                <c:pt idx="11">
                  <c:v>903</c:v>
                </c:pt>
                <c:pt idx="12">
                  <c:v>966</c:v>
                </c:pt>
                <c:pt idx="13">
                  <c:v>945</c:v>
                </c:pt>
              </c:numCache>
            </c:numRef>
          </c:xVal>
          <c:yVal>
            <c:numRef>
              <c:f>[1]Compile!$G$167:$G$179</c:f>
              <c:numCache>
                <c:formatCode>General</c:formatCode>
                <c:ptCount val="13"/>
                <c:pt idx="0">
                  <c:v>352</c:v>
                </c:pt>
                <c:pt idx="1">
                  <c:v>290</c:v>
                </c:pt>
                <c:pt idx="2">
                  <c:v>-15</c:v>
                </c:pt>
                <c:pt idx="3">
                  <c:v>380</c:v>
                </c:pt>
                <c:pt idx="4">
                  <c:v>559</c:v>
                </c:pt>
                <c:pt idx="5">
                  <c:v>577</c:v>
                </c:pt>
                <c:pt idx="6">
                  <c:v>579</c:v>
                </c:pt>
                <c:pt idx="7">
                  <c:v>-7540</c:v>
                </c:pt>
                <c:pt idx="8">
                  <c:v>-7568</c:v>
                </c:pt>
                <c:pt idx="9">
                  <c:v>-7617</c:v>
                </c:pt>
                <c:pt idx="10">
                  <c:v>-7998</c:v>
                </c:pt>
                <c:pt idx="11">
                  <c:v>-7974</c:v>
                </c:pt>
                <c:pt idx="12">
                  <c:v>-7998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574-4F6E-93F6-F9C3908F6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20512"/>
        <c:axId val="1054586864"/>
      </c:scatterChart>
      <c:valAx>
        <c:axId val="168282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</a:t>
                </a:r>
                <a:r>
                  <a:rPr lang="en-US" sz="20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µm)</a:t>
                </a:r>
                <a:endParaRPr lang="en-GB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239082398807623"/>
              <c:y val="0.91370390137352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4586864"/>
        <c:crossesAt val="-3500"/>
        <c:crossBetween val="midCat"/>
      </c:valAx>
      <c:valAx>
        <c:axId val="1054586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Y (</a:t>
                </a:r>
                <a:r>
                  <a:rPr lang="en-US" sz="20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µm</a:t>
                </a:r>
                <a:r>
                  <a:rPr lang="en-GB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4324970182630961E-3"/>
              <c:y val="0.39736450637226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2820512"/>
        <c:crossesAt val="0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0027479127841674E-2"/>
          <c:y val="2.428984714956603E-2"/>
          <c:w val="0.27511339002185853"/>
          <c:h val="0.2757590494987858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balmat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8.0000000000000016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[1]Calibrate!$E$9:$E$53</c:f>
              <c:numCache>
                <c:formatCode>General</c:formatCode>
                <c:ptCount val="45"/>
                <c:pt idx="0">
                  <c:v>0.71666666673263535</c:v>
                </c:pt>
                <c:pt idx="1">
                  <c:v>0.78333333344198763</c:v>
                </c:pt>
                <c:pt idx="2">
                  <c:v>0.84999999997671694</c:v>
                </c:pt>
                <c:pt idx="3">
                  <c:v>0.91666666668606922</c:v>
                </c:pt>
                <c:pt idx="4">
                  <c:v>0.9833333333954215</c:v>
                </c:pt>
                <c:pt idx="5">
                  <c:v>2.8666666667559184</c:v>
                </c:pt>
                <c:pt idx="6">
                  <c:v>2.9333333332906477</c:v>
                </c:pt>
                <c:pt idx="7">
                  <c:v>3</c:v>
                </c:pt>
                <c:pt idx="8">
                  <c:v>3.0666666667093523</c:v>
                </c:pt>
                <c:pt idx="9">
                  <c:v>3.1333333334187046</c:v>
                </c:pt>
                <c:pt idx="10">
                  <c:v>17.783333333325572</c:v>
                </c:pt>
                <c:pt idx="11">
                  <c:v>17.850000000034925</c:v>
                </c:pt>
                <c:pt idx="12">
                  <c:v>17.916666666744277</c:v>
                </c:pt>
                <c:pt idx="13">
                  <c:v>17.983333333453629</c:v>
                </c:pt>
                <c:pt idx="14">
                  <c:v>18.049999999988358</c:v>
                </c:pt>
                <c:pt idx="15">
                  <c:v>19.683333333407063</c:v>
                </c:pt>
                <c:pt idx="16">
                  <c:v>19.750000000116415</c:v>
                </c:pt>
                <c:pt idx="17">
                  <c:v>19.816666666651145</c:v>
                </c:pt>
                <c:pt idx="18">
                  <c:v>21.133333333418705</c:v>
                </c:pt>
                <c:pt idx="19">
                  <c:v>21.199999999953434</c:v>
                </c:pt>
                <c:pt idx="20">
                  <c:v>21.266666666662786</c:v>
                </c:pt>
                <c:pt idx="21">
                  <c:v>23.633333333360497</c:v>
                </c:pt>
                <c:pt idx="22">
                  <c:v>23.700000000069849</c:v>
                </c:pt>
                <c:pt idx="23">
                  <c:v>23.766666666779201</c:v>
                </c:pt>
                <c:pt idx="24">
                  <c:v>25.016666666662786</c:v>
                </c:pt>
                <c:pt idx="25">
                  <c:v>25.083333333372138</c:v>
                </c:pt>
                <c:pt idx="26">
                  <c:v>25.150000000081491</c:v>
                </c:pt>
                <c:pt idx="27">
                  <c:v>27.450000000069849</c:v>
                </c:pt>
                <c:pt idx="28">
                  <c:v>27.533333333325572</c:v>
                </c:pt>
                <c:pt idx="29">
                  <c:v>27.600000000034925</c:v>
                </c:pt>
                <c:pt idx="30">
                  <c:v>27.666666666744277</c:v>
                </c:pt>
                <c:pt idx="31">
                  <c:v>27.733333333453629</c:v>
                </c:pt>
                <c:pt idx="32">
                  <c:v>41.53333333338378</c:v>
                </c:pt>
                <c:pt idx="33">
                  <c:v>41.600000000093132</c:v>
                </c:pt>
                <c:pt idx="34">
                  <c:v>41.666666666627862</c:v>
                </c:pt>
                <c:pt idx="35">
                  <c:v>41.733333333337214</c:v>
                </c:pt>
                <c:pt idx="36">
                  <c:v>41.800000000046566</c:v>
                </c:pt>
                <c:pt idx="37">
                  <c:v>43.266666666779201</c:v>
                </c:pt>
                <c:pt idx="38">
                  <c:v>43.333333333313931</c:v>
                </c:pt>
                <c:pt idx="39">
                  <c:v>43.400000000023283</c:v>
                </c:pt>
                <c:pt idx="40">
                  <c:v>46.400000000023283</c:v>
                </c:pt>
                <c:pt idx="41">
                  <c:v>46.466666666732635</c:v>
                </c:pt>
                <c:pt idx="42">
                  <c:v>46.533333333441988</c:v>
                </c:pt>
                <c:pt idx="43">
                  <c:v>49.233333333337214</c:v>
                </c:pt>
                <c:pt idx="44">
                  <c:v>49.300000000046566</c:v>
                </c:pt>
              </c:numCache>
            </c:numRef>
          </c:xVal>
          <c:yVal>
            <c:numRef>
              <c:f>[1]Calibrate!$T$9:$T$53</c:f>
              <c:numCache>
                <c:formatCode>General</c:formatCode>
                <c:ptCount val="45"/>
                <c:pt idx="0">
                  <c:v>19.544188574145636</c:v>
                </c:pt>
                <c:pt idx="1">
                  <c:v>19.609401535221728</c:v>
                </c:pt>
                <c:pt idx="2">
                  <c:v>19.676425967438682</c:v>
                </c:pt>
                <c:pt idx="3">
                  <c:v>19.629101283880289</c:v>
                </c:pt>
                <c:pt idx="4">
                  <c:v>19.669632950660045</c:v>
                </c:pt>
                <c:pt idx="5">
                  <c:v>19.657631954350883</c:v>
                </c:pt>
                <c:pt idx="6">
                  <c:v>19.595136199986428</c:v>
                </c:pt>
                <c:pt idx="7">
                  <c:v>19.669406516767516</c:v>
                </c:pt>
                <c:pt idx="8">
                  <c:v>19.553019495958111</c:v>
                </c:pt>
                <c:pt idx="9">
                  <c:v>19.688200529855315</c:v>
                </c:pt>
                <c:pt idx="10">
                  <c:v>19.685709757036427</c:v>
                </c:pt>
                <c:pt idx="11">
                  <c:v>19.608495799651404</c:v>
                </c:pt>
                <c:pt idx="12">
                  <c:v>19.549622987568902</c:v>
                </c:pt>
                <c:pt idx="13">
                  <c:v>19.590607522133929</c:v>
                </c:pt>
                <c:pt idx="14">
                  <c:v>19.514752168104501</c:v>
                </c:pt>
                <c:pt idx="15">
                  <c:v>19.73371374227284</c:v>
                </c:pt>
                <c:pt idx="16">
                  <c:v>19.673255892941999</c:v>
                </c:pt>
                <c:pt idx="17">
                  <c:v>19.606684328510315</c:v>
                </c:pt>
                <c:pt idx="18">
                  <c:v>19.583588071462543</c:v>
                </c:pt>
                <c:pt idx="19">
                  <c:v>19.572039942938659</c:v>
                </c:pt>
                <c:pt idx="20">
                  <c:v>19.533093313407022</c:v>
                </c:pt>
                <c:pt idx="21">
                  <c:v>19.537621991259524</c:v>
                </c:pt>
                <c:pt idx="22">
                  <c:v>19.541244933541478</c:v>
                </c:pt>
                <c:pt idx="23">
                  <c:v>19.550981590924501</c:v>
                </c:pt>
                <c:pt idx="24">
                  <c:v>19.491429477164203</c:v>
                </c:pt>
                <c:pt idx="25">
                  <c:v>19.570681339582841</c:v>
                </c:pt>
                <c:pt idx="26">
                  <c:v>19.529017503340018</c:v>
                </c:pt>
                <c:pt idx="27">
                  <c:v>19.479428480854821</c:v>
                </c:pt>
                <c:pt idx="28">
                  <c:v>19.437538210719254</c:v>
                </c:pt>
                <c:pt idx="29">
                  <c:v>19.506374114077516</c:v>
                </c:pt>
                <c:pt idx="30">
                  <c:v>19.465842447297543</c:v>
                </c:pt>
                <c:pt idx="31">
                  <c:v>19.327717772796184</c:v>
                </c:pt>
                <c:pt idx="32">
                  <c:v>19.630459887235887</c:v>
                </c:pt>
                <c:pt idx="33">
                  <c:v>19.668727215089497</c:v>
                </c:pt>
                <c:pt idx="34">
                  <c:v>19.625478341598111</c:v>
                </c:pt>
                <c:pt idx="35">
                  <c:v>19.650612503679497</c:v>
                </c:pt>
                <c:pt idx="36">
                  <c:v>19.602382084550342</c:v>
                </c:pt>
                <c:pt idx="37">
                  <c:v>19.494373117768138</c:v>
                </c:pt>
                <c:pt idx="38">
                  <c:v>19.541018499648956</c:v>
                </c:pt>
                <c:pt idx="39">
                  <c:v>19.49776962615757</c:v>
                </c:pt>
                <c:pt idx="40">
                  <c:v>19.469465389579497</c:v>
                </c:pt>
                <c:pt idx="41">
                  <c:v>19.541244933541478</c:v>
                </c:pt>
                <c:pt idx="42">
                  <c:v>19.486447931526428</c:v>
                </c:pt>
                <c:pt idx="43">
                  <c:v>19.615741684215315</c:v>
                </c:pt>
                <c:pt idx="44">
                  <c:v>19.609627969114474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2-4D25-A53B-5DEBD182B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16879"/>
        <c:axId val="305474943"/>
      </c:scatterChart>
      <c:valAx>
        <c:axId val="30111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GB" sz="20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start</a:t>
                </a:r>
                <a:r>
                  <a:rPr lang="en-GB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5474943"/>
        <c:crosses val="autoZero"/>
        <c:crossBetween val="midCat"/>
      </c:valAx>
      <c:valAx>
        <c:axId val="30547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δ</a:t>
                </a:r>
                <a:r>
                  <a:rPr lang="en-US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 measured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111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71270008758757"/>
          <c:y val="0.1858959017918036"/>
          <c:w val="0.78705894891555261"/>
          <c:h val="0.61668268336536669"/>
        </c:manualLayout>
      </c:layout>
      <c:scatterChart>
        <c:scatterStyle val="lineMarker"/>
        <c:varyColors val="0"/>
        <c:ser>
          <c:idx val="0"/>
          <c:order val="0"/>
          <c:tx>
            <c:v>52DR8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pyrite'!$F$8:$F$22</c:f>
              <c:numCache>
                <c:formatCode>General</c:formatCode>
                <c:ptCount val="15"/>
                <c:pt idx="0">
                  <c:v>1041</c:v>
                </c:pt>
                <c:pt idx="1">
                  <c:v>1131</c:v>
                </c:pt>
                <c:pt idx="2">
                  <c:v>690</c:v>
                </c:pt>
                <c:pt idx="3">
                  <c:v>721</c:v>
                </c:pt>
                <c:pt idx="4">
                  <c:v>381</c:v>
                </c:pt>
                <c:pt idx="5">
                  <c:v>560</c:v>
                </c:pt>
                <c:pt idx="6">
                  <c:v>1136</c:v>
                </c:pt>
                <c:pt idx="7">
                  <c:v>-436</c:v>
                </c:pt>
                <c:pt idx="8">
                  <c:v>-1646</c:v>
                </c:pt>
                <c:pt idx="9">
                  <c:v>-1637</c:v>
                </c:pt>
                <c:pt idx="10">
                  <c:v>-1928</c:v>
                </c:pt>
                <c:pt idx="11">
                  <c:v>-2201</c:v>
                </c:pt>
                <c:pt idx="12">
                  <c:v>-2247</c:v>
                </c:pt>
                <c:pt idx="13">
                  <c:v>-2295</c:v>
                </c:pt>
                <c:pt idx="14">
                  <c:v>-1706</c:v>
                </c:pt>
              </c:numCache>
            </c:numRef>
          </c:xVal>
          <c:yVal>
            <c:numRef>
              <c:f>'[1]d34S pyrite'!$V$8:$V$22</c:f>
              <c:numCache>
                <c:formatCode>General</c:formatCode>
                <c:ptCount val="15"/>
                <c:pt idx="0">
                  <c:v>-0.42724421576445515</c:v>
                </c:pt>
                <c:pt idx="1">
                  <c:v>-0.8201867466046675</c:v>
                </c:pt>
                <c:pt idx="2">
                  <c:v>-0.29198000549246483</c:v>
                </c:pt>
                <c:pt idx="3">
                  <c:v>-0.49126927529308251</c:v>
                </c:pt>
                <c:pt idx="4">
                  <c:v>-0.49893424720870438</c:v>
                </c:pt>
                <c:pt idx="5">
                  <c:v>-0.46421643323868444</c:v>
                </c:pt>
                <c:pt idx="6">
                  <c:v>-1.1723245740130617</c:v>
                </c:pt>
                <c:pt idx="7">
                  <c:v>0.64134304538487896</c:v>
                </c:pt>
                <c:pt idx="8">
                  <c:v>-1.3317109017836337</c:v>
                </c:pt>
                <c:pt idx="9">
                  <c:v>-5.346411471263135E-2</c:v>
                </c:pt>
                <c:pt idx="10">
                  <c:v>-1.2313899458319399</c:v>
                </c:pt>
                <c:pt idx="11">
                  <c:v>1.5971513227075462E-2</c:v>
                </c:pt>
                <c:pt idx="12">
                  <c:v>-0.50975538403030818</c:v>
                </c:pt>
                <c:pt idx="13">
                  <c:v>-1.8470675429200778</c:v>
                </c:pt>
                <c:pt idx="14">
                  <c:v>-1.4342862612399809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9-4642-B190-834148343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54R10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71270008758757"/>
          <c:y val="0.1858959017918036"/>
          <c:w val="0.78705894891555261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pyrite'!$F$23:$F$36</c:f>
              <c:numCache>
                <c:formatCode>General</c:formatCode>
                <c:ptCount val="14"/>
                <c:pt idx="0">
                  <c:v>-272</c:v>
                </c:pt>
                <c:pt idx="1">
                  <c:v>-248</c:v>
                </c:pt>
                <c:pt idx="2">
                  <c:v>-204</c:v>
                </c:pt>
                <c:pt idx="3">
                  <c:v>-125</c:v>
                </c:pt>
                <c:pt idx="4">
                  <c:v>-61</c:v>
                </c:pt>
                <c:pt idx="5">
                  <c:v>0</c:v>
                </c:pt>
                <c:pt idx="6">
                  <c:v>-880</c:v>
                </c:pt>
                <c:pt idx="7">
                  <c:v>-754</c:v>
                </c:pt>
                <c:pt idx="8">
                  <c:v>-846</c:v>
                </c:pt>
                <c:pt idx="9">
                  <c:v>-671</c:v>
                </c:pt>
                <c:pt idx="10">
                  <c:v>-661</c:v>
                </c:pt>
                <c:pt idx="11">
                  <c:v>-674</c:v>
                </c:pt>
                <c:pt idx="12">
                  <c:v>-553</c:v>
                </c:pt>
                <c:pt idx="13">
                  <c:v>-560</c:v>
                </c:pt>
              </c:numCache>
            </c:numRef>
          </c:xVal>
          <c:yVal>
            <c:numRef>
              <c:f>'[1]d34S pyrite'!$V$23:$V$36</c:f>
              <c:numCache>
                <c:formatCode>General</c:formatCode>
                <c:ptCount val="14"/>
                <c:pt idx="0">
                  <c:v>-10.510965651195692</c:v>
                </c:pt>
                <c:pt idx="1">
                  <c:v>-9.3402539112911178</c:v>
                </c:pt>
                <c:pt idx="2">
                  <c:v>-9.0011916242090919</c:v>
                </c:pt>
                <c:pt idx="3">
                  <c:v>-10.959141067897082</c:v>
                </c:pt>
                <c:pt idx="4">
                  <c:v>-9.1193223678468485</c:v>
                </c:pt>
                <c:pt idx="5">
                  <c:v>-7.4984062480867308</c:v>
                </c:pt>
                <c:pt idx="6">
                  <c:v>-9.9552551873279818</c:v>
                </c:pt>
                <c:pt idx="7">
                  <c:v>-12.177195281397047</c:v>
                </c:pt>
                <c:pt idx="8">
                  <c:v>-12.188918179620533</c:v>
                </c:pt>
                <c:pt idx="9">
                  <c:v>-11.560390482556414</c:v>
                </c:pt>
                <c:pt idx="10">
                  <c:v>-8.4898929093808473</c:v>
                </c:pt>
                <c:pt idx="11">
                  <c:v>-12.437128005469811</c:v>
                </c:pt>
                <c:pt idx="12">
                  <c:v>-11.959870783560088</c:v>
                </c:pt>
                <c:pt idx="13">
                  <c:v>-8.2455155694893811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A-4F35-9B3B-8695DC998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29R3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pyrite'!$F$37:$F$47</c:f>
              <c:numCache>
                <c:formatCode>General</c:formatCode>
                <c:ptCount val="11"/>
                <c:pt idx="0">
                  <c:v>1234</c:v>
                </c:pt>
                <c:pt idx="1">
                  <c:v>1161</c:v>
                </c:pt>
                <c:pt idx="2">
                  <c:v>1231</c:v>
                </c:pt>
                <c:pt idx="3">
                  <c:v>1066</c:v>
                </c:pt>
                <c:pt idx="4">
                  <c:v>866</c:v>
                </c:pt>
                <c:pt idx="5">
                  <c:v>822</c:v>
                </c:pt>
                <c:pt idx="6">
                  <c:v>549</c:v>
                </c:pt>
                <c:pt idx="7">
                  <c:v>1718</c:v>
                </c:pt>
                <c:pt idx="8">
                  <c:v>1652</c:v>
                </c:pt>
                <c:pt idx="9">
                  <c:v>1632</c:v>
                </c:pt>
                <c:pt idx="10">
                  <c:v>1572</c:v>
                </c:pt>
              </c:numCache>
            </c:numRef>
          </c:xVal>
          <c:yVal>
            <c:numRef>
              <c:f>'[1]d34S pyrite'!$V$37:$V$47</c:f>
              <c:numCache>
                <c:formatCode>General</c:formatCode>
                <c:ptCount val="11"/>
                <c:pt idx="0">
                  <c:v>-1.8754730270772457</c:v>
                </c:pt>
                <c:pt idx="1">
                  <c:v>-3.4174850241786014</c:v>
                </c:pt>
                <c:pt idx="2">
                  <c:v>-1.0300717128767234</c:v>
                </c:pt>
                <c:pt idx="3">
                  <c:v>-1.7453939448656142</c:v>
                </c:pt>
                <c:pt idx="4">
                  <c:v>-2.0096100355970758</c:v>
                </c:pt>
                <c:pt idx="5">
                  <c:v>-1.8200147008656797</c:v>
                </c:pt>
                <c:pt idx="6">
                  <c:v>-2.0098354759474635</c:v>
                </c:pt>
                <c:pt idx="7">
                  <c:v>0.47384086499802081</c:v>
                </c:pt>
                <c:pt idx="8">
                  <c:v>-0.60601841367380338</c:v>
                </c:pt>
                <c:pt idx="9">
                  <c:v>-0.8007988764657803</c:v>
                </c:pt>
                <c:pt idx="10">
                  <c:v>-2.0679990863645692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C-4733-8FF3-BC38A801C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110R3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pyrite'!$F$48:$F$62</c:f>
              <c:numCache>
                <c:formatCode>General</c:formatCode>
                <c:ptCount val="15"/>
                <c:pt idx="0">
                  <c:v>4825</c:v>
                </c:pt>
                <c:pt idx="1">
                  <c:v>4843</c:v>
                </c:pt>
                <c:pt idx="2">
                  <c:v>5014</c:v>
                </c:pt>
                <c:pt idx="3">
                  <c:v>5064</c:v>
                </c:pt>
                <c:pt idx="4">
                  <c:v>5247</c:v>
                </c:pt>
                <c:pt idx="5">
                  <c:v>5996</c:v>
                </c:pt>
                <c:pt idx="6">
                  <c:v>6138</c:v>
                </c:pt>
                <c:pt idx="7">
                  <c:v>6758</c:v>
                </c:pt>
                <c:pt idx="8">
                  <c:v>-5668</c:v>
                </c:pt>
                <c:pt idx="9">
                  <c:v>-5578</c:v>
                </c:pt>
                <c:pt idx="10">
                  <c:v>-5558</c:v>
                </c:pt>
                <c:pt idx="11">
                  <c:v>-6122</c:v>
                </c:pt>
                <c:pt idx="12">
                  <c:v>-6473</c:v>
                </c:pt>
                <c:pt idx="13">
                  <c:v>-6421</c:v>
                </c:pt>
                <c:pt idx="14">
                  <c:v>-5879</c:v>
                </c:pt>
              </c:numCache>
            </c:numRef>
          </c:xVal>
          <c:yVal>
            <c:numRef>
              <c:f>'[1]d34S pyrite'!$V$48:$V$62</c:f>
              <c:numCache>
                <c:formatCode>General</c:formatCode>
                <c:ptCount val="15"/>
                <c:pt idx="0">
                  <c:v>-5.4130830063924273</c:v>
                </c:pt>
                <c:pt idx="1">
                  <c:v>-5.6883456742959915</c:v>
                </c:pt>
                <c:pt idx="2">
                  <c:v>-6.089404057752712</c:v>
                </c:pt>
                <c:pt idx="3">
                  <c:v>-6.2762941082786794</c:v>
                </c:pt>
                <c:pt idx="4">
                  <c:v>-6.0082455315895178</c:v>
                </c:pt>
                <c:pt idx="5">
                  <c:v>-6.3315269941396357</c:v>
                </c:pt>
                <c:pt idx="6">
                  <c:v>-6.2275989925807407</c:v>
                </c:pt>
                <c:pt idx="7">
                  <c:v>-5.7230634882657894</c:v>
                </c:pt>
                <c:pt idx="8">
                  <c:v>-3.8505559373996912</c:v>
                </c:pt>
                <c:pt idx="9">
                  <c:v>-3.5513965923480439</c:v>
                </c:pt>
                <c:pt idx="10">
                  <c:v>-2.6933706185222617</c:v>
                </c:pt>
                <c:pt idx="11">
                  <c:v>-3.6665966114295401</c:v>
                </c:pt>
                <c:pt idx="12">
                  <c:v>-3.4321386469582382</c:v>
                </c:pt>
                <c:pt idx="13">
                  <c:v>-2.7682168148728259</c:v>
                </c:pt>
                <c:pt idx="14">
                  <c:v>-4.1391195859800112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6-46BD-A692-AC7C92BB6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122R22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pyrite'!$F$63:$F$71</c:f>
              <c:numCache>
                <c:formatCode>General</c:formatCode>
                <c:ptCount val="9"/>
                <c:pt idx="0">
                  <c:v>929</c:v>
                </c:pt>
                <c:pt idx="1">
                  <c:v>1113</c:v>
                </c:pt>
                <c:pt idx="2">
                  <c:v>942</c:v>
                </c:pt>
                <c:pt idx="3">
                  <c:v>593</c:v>
                </c:pt>
                <c:pt idx="4">
                  <c:v>268</c:v>
                </c:pt>
                <c:pt idx="5">
                  <c:v>16</c:v>
                </c:pt>
                <c:pt idx="6">
                  <c:v>-546</c:v>
                </c:pt>
                <c:pt idx="7">
                  <c:v>-953</c:v>
                </c:pt>
                <c:pt idx="8">
                  <c:v>-995</c:v>
                </c:pt>
              </c:numCache>
            </c:numRef>
          </c:xVal>
          <c:yVal>
            <c:numRef>
              <c:f>'[1]d34S pyrite'!$V$63:$V$71</c:f>
              <c:numCache>
                <c:formatCode>General</c:formatCode>
                <c:ptCount val="9"/>
                <c:pt idx="0">
                  <c:v>-2.6207788256764619</c:v>
                </c:pt>
                <c:pt idx="1">
                  <c:v>-0.86798010090094468</c:v>
                </c:pt>
                <c:pt idx="2">
                  <c:v>-0.80440592207309258</c:v>
                </c:pt>
                <c:pt idx="3">
                  <c:v>-0.98430732173482305</c:v>
                </c:pt>
                <c:pt idx="4">
                  <c:v>-2.1331513476455788</c:v>
                </c:pt>
                <c:pt idx="5">
                  <c:v>-1.7005313151252643</c:v>
                </c:pt>
                <c:pt idx="6">
                  <c:v>-1.3792788157293012</c:v>
                </c:pt>
                <c:pt idx="7">
                  <c:v>-1.1333233933845666</c:v>
                </c:pt>
                <c:pt idx="8">
                  <c:v>-0.95702903932981531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C-477E-8076-EA8FBD5AB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39R1046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pyrite'!$F$72:$F$83</c:f>
              <c:numCache>
                <c:formatCode>General</c:formatCode>
                <c:ptCount val="12"/>
                <c:pt idx="0">
                  <c:v>160</c:v>
                </c:pt>
                <c:pt idx="1">
                  <c:v>274</c:v>
                </c:pt>
                <c:pt idx="2">
                  <c:v>406</c:v>
                </c:pt>
                <c:pt idx="3">
                  <c:v>829</c:v>
                </c:pt>
                <c:pt idx="4">
                  <c:v>462</c:v>
                </c:pt>
                <c:pt idx="5">
                  <c:v>766</c:v>
                </c:pt>
                <c:pt idx="6">
                  <c:v>-175</c:v>
                </c:pt>
                <c:pt idx="7">
                  <c:v>-10</c:v>
                </c:pt>
                <c:pt idx="8">
                  <c:v>-432</c:v>
                </c:pt>
                <c:pt idx="9">
                  <c:v>-424</c:v>
                </c:pt>
                <c:pt idx="10">
                  <c:v>449</c:v>
                </c:pt>
                <c:pt idx="11">
                  <c:v>406</c:v>
                </c:pt>
              </c:numCache>
            </c:numRef>
          </c:xVal>
          <c:yVal>
            <c:numRef>
              <c:f>'[1]d34S pyrite'!$V$72:$V$83</c:f>
              <c:numCache>
                <c:formatCode>General</c:formatCode>
                <c:ptCount val="12"/>
                <c:pt idx="0">
                  <c:v>4.0842680775095008</c:v>
                </c:pt>
                <c:pt idx="1">
                  <c:v>3.7310030483490575</c:v>
                </c:pt>
                <c:pt idx="2">
                  <c:v>4.1841381527605304</c:v>
                </c:pt>
                <c:pt idx="3">
                  <c:v>3.766622623720739</c:v>
                </c:pt>
                <c:pt idx="4">
                  <c:v>3.6626946221616219</c:v>
                </c:pt>
                <c:pt idx="5">
                  <c:v>3.8042711622463532</c:v>
                </c:pt>
                <c:pt idx="6">
                  <c:v>3.8008895569896506</c:v>
                </c:pt>
                <c:pt idx="7">
                  <c:v>4.0055893952013477</c:v>
                </c:pt>
                <c:pt idx="8">
                  <c:v>3.6782500063428092</c:v>
                </c:pt>
                <c:pt idx="9">
                  <c:v>3.8957999445303759</c:v>
                </c:pt>
                <c:pt idx="10">
                  <c:v>3.7474601939320173</c:v>
                </c:pt>
                <c:pt idx="11">
                  <c:v>4.1940575281802506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0-41DA-91B6-17B9BA0F1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49TGV1-2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pyrite'!$F$84:$F$94</c:f>
              <c:numCache>
                <c:formatCode>General</c:formatCode>
                <c:ptCount val="11"/>
                <c:pt idx="0">
                  <c:v>1139</c:v>
                </c:pt>
                <c:pt idx="1">
                  <c:v>1200</c:v>
                </c:pt>
                <c:pt idx="2">
                  <c:v>1021</c:v>
                </c:pt>
                <c:pt idx="3">
                  <c:v>1158</c:v>
                </c:pt>
                <c:pt idx="4">
                  <c:v>1172</c:v>
                </c:pt>
                <c:pt idx="5">
                  <c:v>1851</c:v>
                </c:pt>
                <c:pt idx="6">
                  <c:v>1874</c:v>
                </c:pt>
                <c:pt idx="7">
                  <c:v>1930</c:v>
                </c:pt>
                <c:pt idx="8">
                  <c:v>1943</c:v>
                </c:pt>
                <c:pt idx="9">
                  <c:v>1963</c:v>
                </c:pt>
                <c:pt idx="10">
                  <c:v>1568</c:v>
                </c:pt>
              </c:numCache>
            </c:numRef>
          </c:xVal>
          <c:yVal>
            <c:numRef>
              <c:f>'[1]d34S pyrite'!$V$84:$V$94</c:f>
              <c:numCache>
                <c:formatCode>General</c:formatCode>
                <c:ptCount val="11"/>
                <c:pt idx="0">
                  <c:v>-2.3337932595490773</c:v>
                </c:pt>
                <c:pt idx="1">
                  <c:v>-3.3460204330850729</c:v>
                </c:pt>
                <c:pt idx="2">
                  <c:v>-2.6243858712836632</c:v>
                </c:pt>
                <c:pt idx="3">
                  <c:v>-3.4564862048073186</c:v>
                </c:pt>
                <c:pt idx="4">
                  <c:v>-3.0134959161662866</c:v>
                </c:pt>
                <c:pt idx="5">
                  <c:v>-3.5295288783540046</c:v>
                </c:pt>
                <c:pt idx="6">
                  <c:v>-3.035363630160326</c:v>
                </c:pt>
                <c:pt idx="7">
                  <c:v>-2.8764281830905292</c:v>
                </c:pt>
                <c:pt idx="8">
                  <c:v>-3.1135914317675928</c:v>
                </c:pt>
                <c:pt idx="9">
                  <c:v>-2.5335334100508033</c:v>
                </c:pt>
                <c:pt idx="10">
                  <c:v>-2.9136258409152571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53-4A6F-A793-628204D2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ax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69TGV5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pyrite'!$F$95:$F$99</c:f>
              <c:numCache>
                <c:formatCode>General</c:formatCode>
                <c:ptCount val="5"/>
                <c:pt idx="0">
                  <c:v>-615</c:v>
                </c:pt>
                <c:pt idx="1">
                  <c:v>-2789</c:v>
                </c:pt>
                <c:pt idx="2">
                  <c:v>1087</c:v>
                </c:pt>
                <c:pt idx="3">
                  <c:v>871</c:v>
                </c:pt>
                <c:pt idx="4">
                  <c:v>-833</c:v>
                </c:pt>
              </c:numCache>
            </c:numRef>
          </c:xVal>
          <c:yVal>
            <c:numRef>
              <c:f>'[1]d34S pyrite'!$V$95:$V$99</c:f>
              <c:numCache>
                <c:formatCode>General</c:formatCode>
                <c:ptCount val="5"/>
                <c:pt idx="0">
                  <c:v>-5.6026783411238235</c:v>
                </c:pt>
                <c:pt idx="1">
                  <c:v>-4.1244659632005964</c:v>
                </c:pt>
                <c:pt idx="2">
                  <c:v>-5.182682968228991</c:v>
                </c:pt>
                <c:pt idx="3">
                  <c:v>-5.2929232996008491</c:v>
                </c:pt>
                <c:pt idx="4">
                  <c:v>-5.0634250228391853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2B-43C1-AFBB-2D93066B4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ax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60R14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pyrite'!$F$100:$F$113</c:f>
              <c:numCache>
                <c:formatCode>General</c:formatCode>
                <c:ptCount val="14"/>
                <c:pt idx="0">
                  <c:v>-1130</c:v>
                </c:pt>
                <c:pt idx="1">
                  <c:v>-1190</c:v>
                </c:pt>
                <c:pt idx="2">
                  <c:v>-1134</c:v>
                </c:pt>
                <c:pt idx="3">
                  <c:v>-1210</c:v>
                </c:pt>
                <c:pt idx="4">
                  <c:v>-1559</c:v>
                </c:pt>
                <c:pt idx="5">
                  <c:v>-1437</c:v>
                </c:pt>
                <c:pt idx="6">
                  <c:v>-1796</c:v>
                </c:pt>
                <c:pt idx="7">
                  <c:v>-2079</c:v>
                </c:pt>
                <c:pt idx="8">
                  <c:v>-1932</c:v>
                </c:pt>
                <c:pt idx="9">
                  <c:v>-2062</c:v>
                </c:pt>
                <c:pt idx="10">
                  <c:v>-2748</c:v>
                </c:pt>
                <c:pt idx="11">
                  <c:v>-2768</c:v>
                </c:pt>
                <c:pt idx="12">
                  <c:v>-2698</c:v>
                </c:pt>
                <c:pt idx="13">
                  <c:v>-2264</c:v>
                </c:pt>
              </c:numCache>
            </c:numRef>
          </c:xVal>
          <c:yVal>
            <c:numRef>
              <c:f>'[1]d34S pyrite'!$V$100:$V$113</c:f>
              <c:numCache>
                <c:formatCode>General</c:formatCode>
                <c:ptCount val="14"/>
                <c:pt idx="0">
                  <c:v>2.7755868431273978</c:v>
                </c:pt>
                <c:pt idx="1">
                  <c:v>3.087370847804527</c:v>
                </c:pt>
                <c:pt idx="2">
                  <c:v>2.9620260129523679</c:v>
                </c:pt>
                <c:pt idx="3">
                  <c:v>3.0416064566625156</c:v>
                </c:pt>
                <c:pt idx="4">
                  <c:v>3.0900761320098447</c:v>
                </c:pt>
                <c:pt idx="5">
                  <c:v>2.8810929271394503</c:v>
                </c:pt>
                <c:pt idx="6">
                  <c:v>2.7803210904868703</c:v>
                </c:pt>
                <c:pt idx="7">
                  <c:v>3.2025708668861341</c:v>
                </c:pt>
                <c:pt idx="8">
                  <c:v>2.5224173295681496</c:v>
                </c:pt>
                <c:pt idx="9">
                  <c:v>2.5740431698220156</c:v>
                </c:pt>
                <c:pt idx="10">
                  <c:v>3.109464002149176</c:v>
                </c:pt>
                <c:pt idx="11">
                  <c:v>3.0159062567107764</c:v>
                </c:pt>
                <c:pt idx="12">
                  <c:v>2.4836415892903752</c:v>
                </c:pt>
                <c:pt idx="13">
                  <c:v>2.5510482540758161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5-4A8A-A169-F3810C5AE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in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DG185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pyrite'!$F$114:$F$120</c:f>
              <c:numCache>
                <c:formatCode>General</c:formatCode>
                <c:ptCount val="7"/>
                <c:pt idx="0">
                  <c:v>-1079</c:v>
                </c:pt>
                <c:pt idx="1">
                  <c:v>-1033</c:v>
                </c:pt>
                <c:pt idx="2">
                  <c:v>-2636</c:v>
                </c:pt>
                <c:pt idx="3">
                  <c:v>-2847</c:v>
                </c:pt>
                <c:pt idx="4">
                  <c:v>-2622</c:v>
                </c:pt>
                <c:pt idx="5">
                  <c:v>56</c:v>
                </c:pt>
                <c:pt idx="6">
                  <c:v>64</c:v>
                </c:pt>
              </c:numCache>
            </c:numRef>
          </c:xVal>
          <c:yVal>
            <c:numRef>
              <c:f>'[1]d34S pyrite'!$V$114:$V$120</c:f>
              <c:numCache>
                <c:formatCode>General</c:formatCode>
                <c:ptCount val="7"/>
                <c:pt idx="0">
                  <c:v>-4.3442703048927056</c:v>
                </c:pt>
                <c:pt idx="1">
                  <c:v>-4.7834281075759266</c:v>
                </c:pt>
                <c:pt idx="2">
                  <c:v>-4.7791447409173404</c:v>
                </c:pt>
                <c:pt idx="3">
                  <c:v>-4.1325818158168826</c:v>
                </c:pt>
                <c:pt idx="4">
                  <c:v>-4.9610751037333367</c:v>
                </c:pt>
                <c:pt idx="5">
                  <c:v>-5.0562109316246717</c:v>
                </c:pt>
                <c:pt idx="6">
                  <c:v>-4.2087806542703277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5-4F98-ADF6-C22B7242F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ax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31R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2766569704663"/>
          <c:y val="0.1858959017918036"/>
          <c:w val="0.70674398330609367"/>
          <c:h val="0.6166826833653666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fixedVal"/>
            <c:noEndCap val="0"/>
            <c:val val="0.1600000000000000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'[1]d34S pyrite'!$F$121:$F$134</c:f>
              <c:numCache>
                <c:formatCode>General</c:formatCode>
                <c:ptCount val="14"/>
                <c:pt idx="0">
                  <c:v>790</c:v>
                </c:pt>
                <c:pt idx="1">
                  <c:v>828</c:v>
                </c:pt>
                <c:pt idx="2">
                  <c:v>984</c:v>
                </c:pt>
                <c:pt idx="3">
                  <c:v>1021</c:v>
                </c:pt>
                <c:pt idx="4">
                  <c:v>867</c:v>
                </c:pt>
                <c:pt idx="5">
                  <c:v>353</c:v>
                </c:pt>
                <c:pt idx="6">
                  <c:v>390</c:v>
                </c:pt>
                <c:pt idx="7">
                  <c:v>-983</c:v>
                </c:pt>
                <c:pt idx="8">
                  <c:v>-979</c:v>
                </c:pt>
                <c:pt idx="9">
                  <c:v>-457</c:v>
                </c:pt>
                <c:pt idx="10">
                  <c:v>872</c:v>
                </c:pt>
                <c:pt idx="11">
                  <c:v>903</c:v>
                </c:pt>
                <c:pt idx="12">
                  <c:v>966</c:v>
                </c:pt>
                <c:pt idx="13">
                  <c:v>945</c:v>
                </c:pt>
              </c:numCache>
            </c:numRef>
          </c:xVal>
          <c:yVal>
            <c:numRef>
              <c:f>'[1]d34S pyrite'!$V$121:$V$134</c:f>
              <c:numCache>
                <c:formatCode>General</c:formatCode>
                <c:ptCount val="14"/>
                <c:pt idx="0">
                  <c:v>-4.447972866101324</c:v>
                </c:pt>
                <c:pt idx="1">
                  <c:v>-5.1558555665252026</c:v>
                </c:pt>
                <c:pt idx="2">
                  <c:v>-5.3447745802049917</c:v>
                </c:pt>
                <c:pt idx="3">
                  <c:v>-5.1348896139328248</c:v>
                </c:pt>
                <c:pt idx="4">
                  <c:v>-4.4017575942583154</c:v>
                </c:pt>
                <c:pt idx="5">
                  <c:v>-5.1680293454494652</c:v>
                </c:pt>
                <c:pt idx="6">
                  <c:v>-4.8350539478297927</c:v>
                </c:pt>
                <c:pt idx="7">
                  <c:v>-3.8404111216293613</c:v>
                </c:pt>
                <c:pt idx="8">
                  <c:v>-3.9130029144753831</c:v>
                </c:pt>
                <c:pt idx="9">
                  <c:v>-3.873325412795614</c:v>
                </c:pt>
                <c:pt idx="10">
                  <c:v>-4.6168276885909521</c:v>
                </c:pt>
                <c:pt idx="11">
                  <c:v>-3.7083030762635749</c:v>
                </c:pt>
                <c:pt idx="12">
                  <c:v>-4.8799165775700315</c:v>
                </c:pt>
                <c:pt idx="13">
                  <c:v>-3.9684612406869491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6-4133-819B-0FA227E18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92832"/>
        <c:axId val="289823551"/>
      </c:scatterChart>
      <c:valAx>
        <c:axId val="170429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Stage Position X (µm)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8460043304609287"/>
              <c:y val="0.86557071114142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23551"/>
        <c:crosses val="autoZero"/>
        <c:crossBetween val="midCat"/>
      </c:valAx>
      <c:valAx>
        <c:axId val="289823551"/>
        <c:scaling>
          <c:orientation val="minMax"/>
          <c:max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</a:t>
                </a:r>
                <a:r>
                  <a:rPr lang="en-GB" sz="2000" b="0" i="0" baseline="30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34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el-GR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GB" sz="20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V-CDT (‰)</a:t>
                </a:r>
                <a:endParaRPr lang="en-DE" sz="20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1259843837797995E-2"/>
              <c:y val="0.199433938867877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042928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799139</xdr:colOff>
      <xdr:row>10</xdr:row>
      <xdr:rowOff>144012</xdr:rowOff>
    </xdr:from>
    <xdr:to>
      <xdr:col>30</xdr:col>
      <xdr:colOff>571099</xdr:colOff>
      <xdr:row>33</xdr:row>
      <xdr:rowOff>227640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03C105B-685F-40B9-94C3-76E201F7F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368299</xdr:colOff>
      <xdr:row>10</xdr:row>
      <xdr:rowOff>57150</xdr:rowOff>
    </xdr:from>
    <xdr:to>
      <xdr:col>29</xdr:col>
      <xdr:colOff>802216</xdr:colOff>
      <xdr:row>30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88C3C-E942-40C4-9184-22BDEF4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406399</xdr:colOff>
      <xdr:row>7</xdr:row>
      <xdr:rowOff>139700</xdr:rowOff>
    </xdr:from>
    <xdr:to>
      <xdr:col>32</xdr:col>
      <xdr:colOff>4232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2F734-D397-467B-9C07-93F52DD1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406400</xdr:colOff>
      <xdr:row>22</xdr:row>
      <xdr:rowOff>114300</xdr:rowOff>
    </xdr:from>
    <xdr:to>
      <xdr:col>32</xdr:col>
      <xdr:colOff>4233</xdr:colOff>
      <xdr:row>36</xdr:row>
      <xdr:rowOff>139700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599A6FA8-89BA-4D96-923D-178640B40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419100</xdr:colOff>
      <xdr:row>37</xdr:row>
      <xdr:rowOff>63500</xdr:rowOff>
    </xdr:from>
    <xdr:to>
      <xdr:col>32</xdr:col>
      <xdr:colOff>16933</xdr:colOff>
      <xdr:row>51</xdr:row>
      <xdr:rowOff>88900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CAEC9910-BF3E-47EA-B362-9F17174C1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431800</xdr:colOff>
      <xdr:row>52</xdr:row>
      <xdr:rowOff>25400</xdr:rowOff>
    </xdr:from>
    <xdr:to>
      <xdr:col>32</xdr:col>
      <xdr:colOff>29633</xdr:colOff>
      <xdr:row>66</xdr:row>
      <xdr:rowOff>50800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819659A9-C7EA-48FE-8642-1F4D964AF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431800</xdr:colOff>
      <xdr:row>67</xdr:row>
      <xdr:rowOff>0</xdr:rowOff>
    </xdr:from>
    <xdr:to>
      <xdr:col>32</xdr:col>
      <xdr:colOff>29633</xdr:colOff>
      <xdr:row>81</xdr:row>
      <xdr:rowOff>25400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96D68E7C-2499-4D65-AD9D-45F82501E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444500</xdr:colOff>
      <xdr:row>81</xdr:row>
      <xdr:rowOff>177800</xdr:rowOff>
    </xdr:from>
    <xdr:to>
      <xdr:col>32</xdr:col>
      <xdr:colOff>42333</xdr:colOff>
      <xdr:row>95</xdr:row>
      <xdr:rowOff>203200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68329503-2775-4800-9752-7B07106B9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444500</xdr:colOff>
      <xdr:row>96</xdr:row>
      <xdr:rowOff>114300</xdr:rowOff>
    </xdr:from>
    <xdr:to>
      <xdr:col>32</xdr:col>
      <xdr:colOff>42333</xdr:colOff>
      <xdr:row>110</xdr:row>
      <xdr:rowOff>139700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F4173F4B-76C6-4A63-B3A9-9F6D6EA09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457200</xdr:colOff>
      <xdr:row>111</xdr:row>
      <xdr:rowOff>50800</xdr:rowOff>
    </xdr:from>
    <xdr:to>
      <xdr:col>32</xdr:col>
      <xdr:colOff>55033</xdr:colOff>
      <xdr:row>125</xdr:row>
      <xdr:rowOff>76200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87159E2B-6C03-415A-B534-94D066CB0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469900</xdr:colOff>
      <xdr:row>125</xdr:row>
      <xdr:rowOff>203200</xdr:rowOff>
    </xdr:from>
    <xdr:to>
      <xdr:col>32</xdr:col>
      <xdr:colOff>67733</xdr:colOff>
      <xdr:row>140</xdr:row>
      <xdr:rowOff>0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E51BF706-ADA8-40FE-922A-D24C13361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457200</xdr:colOff>
      <xdr:row>140</xdr:row>
      <xdr:rowOff>114300</xdr:rowOff>
    </xdr:from>
    <xdr:to>
      <xdr:col>32</xdr:col>
      <xdr:colOff>55033</xdr:colOff>
      <xdr:row>154</xdr:row>
      <xdr:rowOff>139700</xdr:rowOff>
    </xdr:to>
    <xdr:graphicFrame macro="">
      <xdr:nvGraphicFramePr>
        <xdr:cNvPr id="11" name="Chart 12">
          <a:extLst>
            <a:ext uri="{FF2B5EF4-FFF2-40B4-BE49-F238E27FC236}">
              <a16:creationId xmlns:a16="http://schemas.microsoft.com/office/drawing/2014/main" id="{10D02366-1E71-4E85-9034-F6D644F0A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482600</xdr:colOff>
      <xdr:row>155</xdr:row>
      <xdr:rowOff>38100</xdr:rowOff>
    </xdr:from>
    <xdr:to>
      <xdr:col>32</xdr:col>
      <xdr:colOff>80433</xdr:colOff>
      <xdr:row>169</xdr:row>
      <xdr:rowOff>63500</xdr:rowOff>
    </xdr:to>
    <xdr:graphicFrame macro="">
      <xdr:nvGraphicFramePr>
        <xdr:cNvPr id="12" name="Chart 13">
          <a:extLst>
            <a:ext uri="{FF2B5EF4-FFF2-40B4-BE49-F238E27FC236}">
              <a16:creationId xmlns:a16="http://schemas.microsoft.com/office/drawing/2014/main" id="{353A8FF0-F4AE-4464-B4E3-0F7DD8029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fa\Dropbox\PhD\magmatic%20volatile%20ratios\Submission%20GCA\Appendix\Appendix_3_SIMS%20d34S%20rawdata%20and%20standards_Falkenberg.xlsx" TargetMode="External"/><Relationship Id="rId1" Type="http://schemas.openxmlformats.org/officeDocument/2006/relationships/externalLinkPath" Target="Appendix_3_SIMS%20d34S%20rawdata%20and%20standards_Falkenber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pled LAICPMS and SIMS data"/>
      <sheetName val="Compile"/>
      <sheetName val="Calibrate"/>
      <sheetName val="d34S pyrite"/>
    </sheetNames>
    <sheetDataSet>
      <sheetData sheetId="0" refreshError="1"/>
      <sheetData sheetId="1">
        <row r="11">
          <cell r="F11">
            <v>1973</v>
          </cell>
          <cell r="G11">
            <v>-3304</v>
          </cell>
        </row>
        <row r="12">
          <cell r="F12">
            <v>1923</v>
          </cell>
          <cell r="G12">
            <v>-3304</v>
          </cell>
        </row>
        <row r="13">
          <cell r="F13">
            <v>1873</v>
          </cell>
          <cell r="G13">
            <v>-3304</v>
          </cell>
        </row>
        <row r="14">
          <cell r="F14">
            <v>1823</v>
          </cell>
          <cell r="G14">
            <v>-3304</v>
          </cell>
        </row>
        <row r="15">
          <cell r="F15">
            <v>1773</v>
          </cell>
          <cell r="G15">
            <v>-3304</v>
          </cell>
        </row>
        <row r="16">
          <cell r="F16">
            <v>1041</v>
          </cell>
          <cell r="G16">
            <v>-2692</v>
          </cell>
        </row>
        <row r="17">
          <cell r="F17">
            <v>1131</v>
          </cell>
          <cell r="G17">
            <v>-2634</v>
          </cell>
        </row>
        <row r="18">
          <cell r="F18">
            <v>690</v>
          </cell>
          <cell r="G18">
            <v>-2573</v>
          </cell>
        </row>
        <row r="19">
          <cell r="F19">
            <v>721</v>
          </cell>
          <cell r="G19">
            <v>-2782</v>
          </cell>
        </row>
        <row r="20">
          <cell r="F20">
            <v>381</v>
          </cell>
          <cell r="G20">
            <v>-2493</v>
          </cell>
        </row>
        <row r="21">
          <cell r="F21">
            <v>560</v>
          </cell>
          <cell r="G21">
            <v>-2391</v>
          </cell>
        </row>
        <row r="22">
          <cell r="F22">
            <v>1136</v>
          </cell>
          <cell r="G22">
            <v>-3531</v>
          </cell>
        </row>
        <row r="23">
          <cell r="F23">
            <v>-436</v>
          </cell>
          <cell r="G23">
            <v>-1768</v>
          </cell>
        </row>
        <row r="24">
          <cell r="F24">
            <v>-1646</v>
          </cell>
          <cell r="G24">
            <v>-3912</v>
          </cell>
        </row>
        <row r="25">
          <cell r="F25">
            <v>-1637</v>
          </cell>
          <cell r="G25">
            <v>-3935</v>
          </cell>
        </row>
        <row r="26">
          <cell r="F26">
            <v>-1928</v>
          </cell>
          <cell r="G26">
            <v>-3707</v>
          </cell>
        </row>
        <row r="27">
          <cell r="F27">
            <v>-2201</v>
          </cell>
          <cell r="G27">
            <v>-3767</v>
          </cell>
        </row>
        <row r="28">
          <cell r="F28">
            <v>-2247</v>
          </cell>
          <cell r="G28">
            <v>-3675</v>
          </cell>
        </row>
        <row r="29">
          <cell r="F29">
            <v>-2295</v>
          </cell>
          <cell r="G29">
            <v>-3590</v>
          </cell>
        </row>
        <row r="30">
          <cell r="F30">
            <v>-1706</v>
          </cell>
          <cell r="G30">
            <v>-4033</v>
          </cell>
        </row>
        <row r="31">
          <cell r="F31">
            <v>2844</v>
          </cell>
          <cell r="G31">
            <v>-3350</v>
          </cell>
        </row>
        <row r="32">
          <cell r="F32">
            <v>2794</v>
          </cell>
          <cell r="G32">
            <v>-3350</v>
          </cell>
        </row>
        <row r="33">
          <cell r="F33">
            <v>2744</v>
          </cell>
          <cell r="G33">
            <v>-3350</v>
          </cell>
        </row>
        <row r="34">
          <cell r="F34">
            <v>2694</v>
          </cell>
          <cell r="G34">
            <v>-3350</v>
          </cell>
        </row>
        <row r="35">
          <cell r="F35">
            <v>2644</v>
          </cell>
          <cell r="G35">
            <v>-3350</v>
          </cell>
        </row>
        <row r="36">
          <cell r="F36">
            <v>2490</v>
          </cell>
          <cell r="G36">
            <v>-3239</v>
          </cell>
        </row>
        <row r="37">
          <cell r="F37">
            <v>2440</v>
          </cell>
          <cell r="G37">
            <v>-3239</v>
          </cell>
        </row>
        <row r="38">
          <cell r="F38">
            <v>2340</v>
          </cell>
          <cell r="G38">
            <v>-3239</v>
          </cell>
        </row>
        <row r="39">
          <cell r="F39">
            <v>2290</v>
          </cell>
          <cell r="G39">
            <v>-3239</v>
          </cell>
        </row>
        <row r="40">
          <cell r="F40">
            <v>2240</v>
          </cell>
          <cell r="G40">
            <v>-3239</v>
          </cell>
        </row>
        <row r="41">
          <cell r="F41">
            <v>-272</v>
          </cell>
          <cell r="G41">
            <v>2412</v>
          </cell>
        </row>
        <row r="42">
          <cell r="F42">
            <v>-248</v>
          </cell>
          <cell r="G42">
            <v>2433</v>
          </cell>
        </row>
        <row r="43">
          <cell r="F43">
            <v>-204</v>
          </cell>
          <cell r="G43">
            <v>2449</v>
          </cell>
        </row>
        <row r="44">
          <cell r="F44">
            <v>-125</v>
          </cell>
          <cell r="G44">
            <v>2451</v>
          </cell>
        </row>
        <row r="45">
          <cell r="F45">
            <v>-61</v>
          </cell>
          <cell r="G45">
            <v>2422</v>
          </cell>
        </row>
        <row r="46">
          <cell r="F46">
            <v>0</v>
          </cell>
          <cell r="G46">
            <v>2430</v>
          </cell>
        </row>
        <row r="47">
          <cell r="F47">
            <v>-880</v>
          </cell>
          <cell r="G47">
            <v>3023</v>
          </cell>
        </row>
        <row r="48">
          <cell r="F48">
            <v>-754</v>
          </cell>
          <cell r="G48">
            <v>3102</v>
          </cell>
        </row>
        <row r="49">
          <cell r="F49">
            <v>-846</v>
          </cell>
          <cell r="G49">
            <v>3135</v>
          </cell>
        </row>
        <row r="50">
          <cell r="F50">
            <v>-671</v>
          </cell>
          <cell r="G50">
            <v>3934</v>
          </cell>
        </row>
        <row r="51">
          <cell r="F51">
            <v>-661</v>
          </cell>
          <cell r="G51">
            <v>3856</v>
          </cell>
        </row>
        <row r="52">
          <cell r="F52">
            <v>-674</v>
          </cell>
          <cell r="G52">
            <v>3820</v>
          </cell>
        </row>
        <row r="53">
          <cell r="F53">
            <v>-553</v>
          </cell>
          <cell r="G53">
            <v>3928</v>
          </cell>
        </row>
        <row r="54">
          <cell r="F54">
            <v>-560</v>
          </cell>
          <cell r="G54">
            <v>4006</v>
          </cell>
        </row>
        <row r="55">
          <cell r="F55">
            <v>2366</v>
          </cell>
          <cell r="G55">
            <v>-3298</v>
          </cell>
        </row>
        <row r="56">
          <cell r="F56">
            <v>2316</v>
          </cell>
          <cell r="G56">
            <v>-3298</v>
          </cell>
        </row>
        <row r="57">
          <cell r="F57">
            <v>2266</v>
          </cell>
          <cell r="G57">
            <v>-3298</v>
          </cell>
        </row>
        <row r="58">
          <cell r="F58">
            <v>1234</v>
          </cell>
          <cell r="G58">
            <v>194</v>
          </cell>
        </row>
        <row r="59">
          <cell r="F59">
            <v>1161</v>
          </cell>
          <cell r="G59">
            <v>330</v>
          </cell>
        </row>
        <row r="60">
          <cell r="F60">
            <v>1231</v>
          </cell>
          <cell r="G60">
            <v>391</v>
          </cell>
        </row>
        <row r="61">
          <cell r="F61">
            <v>1066</v>
          </cell>
          <cell r="G61">
            <v>514</v>
          </cell>
        </row>
        <row r="62">
          <cell r="F62">
            <v>866</v>
          </cell>
          <cell r="G62">
            <v>656</v>
          </cell>
        </row>
        <row r="63">
          <cell r="F63">
            <v>822</v>
          </cell>
          <cell r="G63">
            <v>787</v>
          </cell>
        </row>
        <row r="64">
          <cell r="F64">
            <v>549</v>
          </cell>
          <cell r="G64">
            <v>335</v>
          </cell>
        </row>
        <row r="65">
          <cell r="F65">
            <v>1718</v>
          </cell>
          <cell r="G65">
            <v>1128</v>
          </cell>
        </row>
        <row r="66">
          <cell r="F66">
            <v>1652</v>
          </cell>
          <cell r="G66">
            <v>1074</v>
          </cell>
        </row>
        <row r="67">
          <cell r="F67">
            <v>1632</v>
          </cell>
          <cell r="G67">
            <v>1227</v>
          </cell>
        </row>
        <row r="68">
          <cell r="F68">
            <v>1572</v>
          </cell>
          <cell r="G68">
            <v>1189</v>
          </cell>
        </row>
        <row r="69">
          <cell r="F69">
            <v>2947</v>
          </cell>
          <cell r="G69">
            <v>-2964</v>
          </cell>
        </row>
        <row r="70">
          <cell r="F70">
            <v>2897</v>
          </cell>
          <cell r="G70">
            <v>-2964</v>
          </cell>
        </row>
        <row r="71">
          <cell r="F71">
            <v>2847</v>
          </cell>
          <cell r="G71">
            <v>-2964</v>
          </cell>
        </row>
        <row r="72">
          <cell r="F72">
            <v>4825</v>
          </cell>
          <cell r="G72">
            <v>6057</v>
          </cell>
        </row>
        <row r="73">
          <cell r="F73">
            <v>4843</v>
          </cell>
          <cell r="G73">
            <v>5995</v>
          </cell>
        </row>
        <row r="74">
          <cell r="F74">
            <v>5014</v>
          </cell>
          <cell r="G74">
            <v>5898</v>
          </cell>
        </row>
        <row r="75">
          <cell r="F75">
            <v>5064</v>
          </cell>
          <cell r="G75">
            <v>5928</v>
          </cell>
        </row>
        <row r="76">
          <cell r="F76">
            <v>5247</v>
          </cell>
          <cell r="G76">
            <v>6002</v>
          </cell>
        </row>
        <row r="77">
          <cell r="F77">
            <v>5996</v>
          </cell>
          <cell r="G77">
            <v>6278</v>
          </cell>
        </row>
        <row r="78">
          <cell r="F78">
            <v>6138</v>
          </cell>
          <cell r="G78">
            <v>6392</v>
          </cell>
        </row>
        <row r="79">
          <cell r="F79">
            <v>6758</v>
          </cell>
          <cell r="G79">
            <v>6893</v>
          </cell>
        </row>
        <row r="80">
          <cell r="F80">
            <v>-5668</v>
          </cell>
          <cell r="G80">
            <v>1586</v>
          </cell>
        </row>
        <row r="81">
          <cell r="F81">
            <v>-5578</v>
          </cell>
          <cell r="G81">
            <v>1628</v>
          </cell>
        </row>
        <row r="82">
          <cell r="F82">
            <v>-5558</v>
          </cell>
          <cell r="G82">
            <v>1454</v>
          </cell>
        </row>
        <row r="83">
          <cell r="F83">
            <v>-6122</v>
          </cell>
          <cell r="G83">
            <v>1207</v>
          </cell>
        </row>
        <row r="84">
          <cell r="F84">
            <v>-6473</v>
          </cell>
          <cell r="G84">
            <v>716</v>
          </cell>
        </row>
        <row r="85">
          <cell r="F85">
            <v>-6421</v>
          </cell>
          <cell r="G85">
            <v>672</v>
          </cell>
        </row>
        <row r="86">
          <cell r="F86">
            <v>-5879</v>
          </cell>
          <cell r="G86">
            <v>1234</v>
          </cell>
        </row>
        <row r="87">
          <cell r="F87">
            <v>2781</v>
          </cell>
          <cell r="G87">
            <v>-2962</v>
          </cell>
        </row>
        <row r="88">
          <cell r="F88">
            <v>2731</v>
          </cell>
          <cell r="G88">
            <v>-2962</v>
          </cell>
        </row>
        <row r="89">
          <cell r="F89">
            <v>2681</v>
          </cell>
          <cell r="G89">
            <v>-2962</v>
          </cell>
        </row>
        <row r="90">
          <cell r="F90">
            <v>929</v>
          </cell>
          <cell r="G90">
            <v>3724</v>
          </cell>
        </row>
        <row r="91">
          <cell r="F91">
            <v>1113</v>
          </cell>
          <cell r="G91">
            <v>3712</v>
          </cell>
        </row>
        <row r="92">
          <cell r="F92">
            <v>942</v>
          </cell>
          <cell r="G92">
            <v>3486</v>
          </cell>
        </row>
        <row r="93">
          <cell r="F93">
            <v>593</v>
          </cell>
          <cell r="G93">
            <v>3837</v>
          </cell>
        </row>
        <row r="94">
          <cell r="F94">
            <v>268</v>
          </cell>
          <cell r="G94">
            <v>3668</v>
          </cell>
        </row>
        <row r="95">
          <cell r="F95">
            <v>16</v>
          </cell>
          <cell r="G95">
            <v>3547</v>
          </cell>
        </row>
        <row r="96">
          <cell r="F96">
            <v>-546</v>
          </cell>
          <cell r="G96">
            <v>3558</v>
          </cell>
        </row>
        <row r="97">
          <cell r="F97">
            <v>-953</v>
          </cell>
          <cell r="G97">
            <v>3018</v>
          </cell>
        </row>
        <row r="98">
          <cell r="F98">
            <v>-995</v>
          </cell>
          <cell r="G98">
            <v>3099</v>
          </cell>
        </row>
        <row r="99">
          <cell r="F99">
            <v>2263</v>
          </cell>
          <cell r="G99">
            <v>-3168</v>
          </cell>
        </row>
        <row r="100">
          <cell r="F100">
            <v>2213</v>
          </cell>
          <cell r="G100">
            <v>-3168</v>
          </cell>
        </row>
        <row r="101">
          <cell r="F101">
            <v>2163</v>
          </cell>
          <cell r="G101">
            <v>-3168</v>
          </cell>
        </row>
        <row r="102">
          <cell r="F102">
            <v>160</v>
          </cell>
          <cell r="G102">
            <v>582</v>
          </cell>
        </row>
        <row r="103">
          <cell r="F103">
            <v>274</v>
          </cell>
          <cell r="G103">
            <v>589</v>
          </cell>
        </row>
        <row r="104">
          <cell r="F104">
            <v>406</v>
          </cell>
          <cell r="G104">
            <v>604</v>
          </cell>
        </row>
        <row r="105">
          <cell r="F105">
            <v>829</v>
          </cell>
          <cell r="G105">
            <v>431</v>
          </cell>
        </row>
        <row r="106">
          <cell r="F106">
            <v>462</v>
          </cell>
          <cell r="G106">
            <v>-72</v>
          </cell>
        </row>
        <row r="107">
          <cell r="F107">
            <v>766</v>
          </cell>
          <cell r="G107">
            <v>-289</v>
          </cell>
        </row>
        <row r="108">
          <cell r="F108">
            <v>-175</v>
          </cell>
          <cell r="G108">
            <v>1016</v>
          </cell>
        </row>
        <row r="109">
          <cell r="F109">
            <v>-10</v>
          </cell>
          <cell r="G109">
            <v>851</v>
          </cell>
        </row>
        <row r="110">
          <cell r="F110">
            <v>-432</v>
          </cell>
          <cell r="G110">
            <v>819</v>
          </cell>
        </row>
        <row r="111">
          <cell r="F111">
            <v>-424</v>
          </cell>
          <cell r="G111">
            <v>944</v>
          </cell>
        </row>
        <row r="112">
          <cell r="F112">
            <v>449</v>
          </cell>
          <cell r="G112">
            <v>1024</v>
          </cell>
        </row>
        <row r="113">
          <cell r="F113">
            <v>406</v>
          </cell>
          <cell r="G113">
            <v>944</v>
          </cell>
        </row>
        <row r="114">
          <cell r="F114">
            <v>2352</v>
          </cell>
          <cell r="G114">
            <v>-2946</v>
          </cell>
        </row>
        <row r="115">
          <cell r="F115">
            <v>2302</v>
          </cell>
          <cell r="G115">
            <v>-2946</v>
          </cell>
        </row>
        <row r="116">
          <cell r="F116">
            <v>2252</v>
          </cell>
          <cell r="G116">
            <v>-2946</v>
          </cell>
        </row>
        <row r="117">
          <cell r="F117">
            <v>2202</v>
          </cell>
          <cell r="G117">
            <v>-2946</v>
          </cell>
        </row>
        <row r="118">
          <cell r="F118">
            <v>2152</v>
          </cell>
          <cell r="G118">
            <v>-2946</v>
          </cell>
        </row>
        <row r="119">
          <cell r="F119">
            <v>2427</v>
          </cell>
          <cell r="G119">
            <v>-3413</v>
          </cell>
        </row>
        <row r="120">
          <cell r="F120">
            <v>2377</v>
          </cell>
          <cell r="G120">
            <v>-3413</v>
          </cell>
        </row>
        <row r="121">
          <cell r="F121">
            <v>2327</v>
          </cell>
          <cell r="G121">
            <v>-3413</v>
          </cell>
        </row>
        <row r="122">
          <cell r="F122">
            <v>2277</v>
          </cell>
          <cell r="G122">
            <v>-3413</v>
          </cell>
        </row>
        <row r="123">
          <cell r="F123">
            <v>2257</v>
          </cell>
          <cell r="G123">
            <v>-3288</v>
          </cell>
        </row>
        <row r="124">
          <cell r="F124">
            <v>1139</v>
          </cell>
          <cell r="G124">
            <v>-6433</v>
          </cell>
        </row>
        <row r="125">
          <cell r="F125">
            <v>1200</v>
          </cell>
          <cell r="G125">
            <v>-6322</v>
          </cell>
        </row>
        <row r="126">
          <cell r="F126">
            <v>1021</v>
          </cell>
          <cell r="G126">
            <v>-6663</v>
          </cell>
        </row>
        <row r="127">
          <cell r="F127">
            <v>1158</v>
          </cell>
          <cell r="G127">
            <v>-6719</v>
          </cell>
        </row>
        <row r="128">
          <cell r="F128">
            <v>1172</v>
          </cell>
          <cell r="G128">
            <v>-6038</v>
          </cell>
        </row>
        <row r="129">
          <cell r="F129">
            <v>1851</v>
          </cell>
          <cell r="G129">
            <v>-5938</v>
          </cell>
        </row>
        <row r="130">
          <cell r="F130">
            <v>1874</v>
          </cell>
          <cell r="G130">
            <v>-6094</v>
          </cell>
        </row>
        <row r="131">
          <cell r="F131">
            <v>1930</v>
          </cell>
          <cell r="G131">
            <v>-5755</v>
          </cell>
        </row>
        <row r="132">
          <cell r="F132">
            <v>1943</v>
          </cell>
          <cell r="G132">
            <v>-5693</v>
          </cell>
        </row>
        <row r="133">
          <cell r="F133">
            <v>1963</v>
          </cell>
          <cell r="G133">
            <v>-5595</v>
          </cell>
        </row>
        <row r="134">
          <cell r="F134">
            <v>1568</v>
          </cell>
          <cell r="G134">
            <v>-5858</v>
          </cell>
        </row>
        <row r="135">
          <cell r="F135">
            <v>2334</v>
          </cell>
          <cell r="G135">
            <v>-3162</v>
          </cell>
        </row>
        <row r="136">
          <cell r="F136">
            <v>2284</v>
          </cell>
          <cell r="G136">
            <v>-3162</v>
          </cell>
        </row>
        <row r="137">
          <cell r="F137">
            <v>2234</v>
          </cell>
          <cell r="G137">
            <v>-3162</v>
          </cell>
        </row>
        <row r="138">
          <cell r="F138">
            <v>-615</v>
          </cell>
          <cell r="G138">
            <v>-498</v>
          </cell>
        </row>
        <row r="139">
          <cell r="F139">
            <v>-2789</v>
          </cell>
          <cell r="G139">
            <v>-948</v>
          </cell>
        </row>
        <row r="140">
          <cell r="F140">
            <v>1087</v>
          </cell>
          <cell r="G140">
            <v>634</v>
          </cell>
        </row>
        <row r="141">
          <cell r="F141">
            <v>871</v>
          </cell>
          <cell r="G141">
            <v>1168</v>
          </cell>
        </row>
        <row r="142">
          <cell r="F142">
            <v>-833</v>
          </cell>
          <cell r="G142">
            <v>1711</v>
          </cell>
        </row>
        <row r="143">
          <cell r="F143">
            <v>-1130</v>
          </cell>
          <cell r="G143">
            <v>2559</v>
          </cell>
        </row>
        <row r="144">
          <cell r="F144">
            <v>-1190</v>
          </cell>
          <cell r="G144">
            <v>2565</v>
          </cell>
        </row>
        <row r="145">
          <cell r="F145">
            <v>-1134</v>
          </cell>
          <cell r="G145">
            <v>2333</v>
          </cell>
        </row>
        <row r="146">
          <cell r="F146">
            <v>-1210</v>
          </cell>
          <cell r="G146">
            <v>2192</v>
          </cell>
        </row>
        <row r="147">
          <cell r="F147">
            <v>-1559</v>
          </cell>
          <cell r="G147">
            <v>1828</v>
          </cell>
        </row>
        <row r="148">
          <cell r="F148">
            <v>-1437</v>
          </cell>
          <cell r="G148">
            <v>1699</v>
          </cell>
        </row>
        <row r="149">
          <cell r="F149">
            <v>-1796</v>
          </cell>
          <cell r="G149">
            <v>1721</v>
          </cell>
        </row>
        <row r="150">
          <cell r="F150">
            <v>-2079</v>
          </cell>
          <cell r="G150">
            <v>1316</v>
          </cell>
        </row>
        <row r="151">
          <cell r="F151">
            <v>-1932</v>
          </cell>
          <cell r="G151">
            <v>1336</v>
          </cell>
        </row>
        <row r="152">
          <cell r="F152">
            <v>-2062</v>
          </cell>
          <cell r="G152">
            <v>780</v>
          </cell>
        </row>
        <row r="153">
          <cell r="F153">
            <v>-2748</v>
          </cell>
          <cell r="G153">
            <v>980</v>
          </cell>
        </row>
        <row r="154">
          <cell r="F154">
            <v>-2768</v>
          </cell>
          <cell r="G154">
            <v>894</v>
          </cell>
        </row>
        <row r="155">
          <cell r="F155">
            <v>-2698</v>
          </cell>
          <cell r="G155">
            <v>1588</v>
          </cell>
        </row>
        <row r="156">
          <cell r="F156">
            <v>-2264</v>
          </cell>
          <cell r="G156">
            <v>1440</v>
          </cell>
        </row>
        <row r="157">
          <cell r="F157">
            <v>2124</v>
          </cell>
          <cell r="G157">
            <v>-3254</v>
          </cell>
        </row>
        <row r="158">
          <cell r="F158">
            <v>2074</v>
          </cell>
          <cell r="G158">
            <v>-3254</v>
          </cell>
        </row>
        <row r="159">
          <cell r="F159">
            <v>2024</v>
          </cell>
          <cell r="G159">
            <v>-3254</v>
          </cell>
        </row>
        <row r="160">
          <cell r="F160">
            <v>-1079</v>
          </cell>
          <cell r="G160">
            <v>330</v>
          </cell>
        </row>
        <row r="161">
          <cell r="F161">
            <v>-1033</v>
          </cell>
          <cell r="G161">
            <v>242</v>
          </cell>
        </row>
        <row r="162">
          <cell r="F162">
            <v>-2636</v>
          </cell>
          <cell r="G162">
            <v>-1174</v>
          </cell>
        </row>
        <row r="163">
          <cell r="F163">
            <v>-2847</v>
          </cell>
          <cell r="G163">
            <v>-902</v>
          </cell>
        </row>
        <row r="164">
          <cell r="F164">
            <v>-2622</v>
          </cell>
          <cell r="G164">
            <v>-17</v>
          </cell>
        </row>
        <row r="165">
          <cell r="F165">
            <v>56</v>
          </cell>
          <cell r="G165">
            <v>-5335</v>
          </cell>
        </row>
        <row r="166">
          <cell r="F166">
            <v>64</v>
          </cell>
          <cell r="G166">
            <v>-4492</v>
          </cell>
        </row>
        <row r="167">
          <cell r="F167">
            <v>790</v>
          </cell>
          <cell r="G167">
            <v>352</v>
          </cell>
        </row>
        <row r="168">
          <cell r="F168">
            <v>828</v>
          </cell>
          <cell r="G168">
            <v>290</v>
          </cell>
        </row>
        <row r="169">
          <cell r="F169">
            <v>984</v>
          </cell>
          <cell r="G169">
            <v>-15</v>
          </cell>
        </row>
        <row r="170">
          <cell r="F170">
            <v>1021</v>
          </cell>
          <cell r="G170">
            <v>380</v>
          </cell>
        </row>
        <row r="171">
          <cell r="F171">
            <v>867</v>
          </cell>
          <cell r="G171">
            <v>559</v>
          </cell>
        </row>
        <row r="172">
          <cell r="F172">
            <v>353</v>
          </cell>
          <cell r="G172">
            <v>577</v>
          </cell>
        </row>
        <row r="173">
          <cell r="F173">
            <v>390</v>
          </cell>
          <cell r="G173">
            <v>579</v>
          </cell>
        </row>
        <row r="174">
          <cell r="F174">
            <v>-983</v>
          </cell>
          <cell r="G174">
            <v>-7540</v>
          </cell>
        </row>
        <row r="175">
          <cell r="F175">
            <v>-979</v>
          </cell>
          <cell r="G175">
            <v>-7568</v>
          </cell>
        </row>
        <row r="176">
          <cell r="F176">
            <v>-457</v>
          </cell>
          <cell r="G176">
            <v>-7617</v>
          </cell>
        </row>
        <row r="177">
          <cell r="F177">
            <v>872</v>
          </cell>
          <cell r="G177">
            <v>-7998</v>
          </cell>
        </row>
        <row r="178">
          <cell r="F178">
            <v>903</v>
          </cell>
          <cell r="G178">
            <v>-7974</v>
          </cell>
        </row>
        <row r="179">
          <cell r="F179">
            <v>966</v>
          </cell>
          <cell r="G179">
            <v>-7998</v>
          </cell>
        </row>
        <row r="180">
          <cell r="F180">
            <v>945</v>
          </cell>
        </row>
        <row r="181">
          <cell r="F181">
            <v>2876</v>
          </cell>
          <cell r="G181">
            <v>-3212</v>
          </cell>
        </row>
        <row r="182">
          <cell r="F182">
            <v>2826</v>
          </cell>
          <cell r="G182">
            <v>-3212</v>
          </cell>
        </row>
      </sheetData>
      <sheetData sheetId="2">
        <row r="4">
          <cell r="D4">
            <v>4.4071177569711129</v>
          </cell>
        </row>
        <row r="9">
          <cell r="E9">
            <v>0.71666666673263535</v>
          </cell>
          <cell r="T9">
            <v>19.544188574145636</v>
          </cell>
        </row>
        <row r="10">
          <cell r="E10">
            <v>0.78333333344198763</v>
          </cell>
          <cell r="T10">
            <v>19.609401535221728</v>
          </cell>
        </row>
        <row r="11">
          <cell r="E11">
            <v>0.84999999997671694</v>
          </cell>
          <cell r="T11">
            <v>19.676425967438682</v>
          </cell>
        </row>
        <row r="12">
          <cell r="E12">
            <v>0.91666666668606922</v>
          </cell>
          <cell r="T12">
            <v>19.629101283880289</v>
          </cell>
        </row>
        <row r="13">
          <cell r="E13">
            <v>0.9833333333954215</v>
          </cell>
          <cell r="T13">
            <v>19.669632950660045</v>
          </cell>
        </row>
        <row r="14">
          <cell r="E14">
            <v>2.8666666667559184</v>
          </cell>
          <cell r="T14">
            <v>19.657631954350883</v>
          </cell>
        </row>
        <row r="15">
          <cell r="E15">
            <v>2.9333333332906477</v>
          </cell>
          <cell r="T15">
            <v>19.595136199986428</v>
          </cell>
        </row>
        <row r="16">
          <cell r="E16">
            <v>3</v>
          </cell>
          <cell r="T16">
            <v>19.669406516767516</v>
          </cell>
        </row>
        <row r="17">
          <cell r="E17">
            <v>3.0666666667093523</v>
          </cell>
          <cell r="T17">
            <v>19.553019495958111</v>
          </cell>
        </row>
        <row r="18">
          <cell r="E18">
            <v>3.1333333334187046</v>
          </cell>
          <cell r="T18">
            <v>19.688200529855315</v>
          </cell>
        </row>
        <row r="19">
          <cell r="E19">
            <v>17.783333333325572</v>
          </cell>
          <cell r="T19">
            <v>19.685709757036427</v>
          </cell>
        </row>
        <row r="20">
          <cell r="E20">
            <v>17.850000000034925</v>
          </cell>
          <cell r="T20">
            <v>19.608495799651404</v>
          </cell>
        </row>
        <row r="21">
          <cell r="E21">
            <v>17.916666666744277</v>
          </cell>
          <cell r="T21">
            <v>19.549622987568902</v>
          </cell>
        </row>
        <row r="22">
          <cell r="E22">
            <v>17.983333333453629</v>
          </cell>
          <cell r="T22">
            <v>19.590607522133929</v>
          </cell>
        </row>
        <row r="23">
          <cell r="E23">
            <v>18.049999999988358</v>
          </cell>
          <cell r="T23">
            <v>19.514752168104501</v>
          </cell>
        </row>
        <row r="24">
          <cell r="E24">
            <v>19.683333333407063</v>
          </cell>
          <cell r="T24">
            <v>19.73371374227284</v>
          </cell>
        </row>
        <row r="25">
          <cell r="E25">
            <v>19.750000000116415</v>
          </cell>
          <cell r="T25">
            <v>19.673255892941999</v>
          </cell>
        </row>
        <row r="26">
          <cell r="E26">
            <v>19.816666666651145</v>
          </cell>
          <cell r="T26">
            <v>19.606684328510315</v>
          </cell>
        </row>
        <row r="27">
          <cell r="E27">
            <v>21.133333333418705</v>
          </cell>
          <cell r="T27">
            <v>19.583588071462543</v>
          </cell>
        </row>
        <row r="28">
          <cell r="E28">
            <v>21.199999999953434</v>
          </cell>
          <cell r="T28">
            <v>19.572039942938659</v>
          </cell>
        </row>
        <row r="29">
          <cell r="E29">
            <v>21.266666666662786</v>
          </cell>
          <cell r="T29">
            <v>19.533093313407022</v>
          </cell>
        </row>
        <row r="30">
          <cell r="E30">
            <v>23.633333333360497</v>
          </cell>
          <cell r="T30">
            <v>19.537621991259524</v>
          </cell>
        </row>
        <row r="31">
          <cell r="E31">
            <v>23.700000000069849</v>
          </cell>
          <cell r="T31">
            <v>19.541244933541478</v>
          </cell>
        </row>
        <row r="32">
          <cell r="E32">
            <v>23.766666666779201</v>
          </cell>
          <cell r="T32">
            <v>19.550981590924501</v>
          </cell>
        </row>
        <row r="33">
          <cell r="E33">
            <v>25.016666666662786</v>
          </cell>
          <cell r="T33">
            <v>19.491429477164203</v>
          </cell>
        </row>
        <row r="34">
          <cell r="E34">
            <v>25.083333333372138</v>
          </cell>
          <cell r="T34">
            <v>19.570681339582841</v>
          </cell>
        </row>
        <row r="35">
          <cell r="E35">
            <v>25.150000000081491</v>
          </cell>
          <cell r="T35">
            <v>19.529017503340018</v>
          </cell>
        </row>
        <row r="36">
          <cell r="E36">
            <v>27.450000000069849</v>
          </cell>
          <cell r="T36">
            <v>19.479428480854821</v>
          </cell>
        </row>
        <row r="37">
          <cell r="E37">
            <v>27.533333333325572</v>
          </cell>
          <cell r="T37">
            <v>19.437538210719254</v>
          </cell>
        </row>
        <row r="38">
          <cell r="E38">
            <v>27.600000000034925</v>
          </cell>
          <cell r="T38">
            <v>19.506374114077516</v>
          </cell>
        </row>
        <row r="39">
          <cell r="E39">
            <v>27.666666666744277</v>
          </cell>
          <cell r="T39">
            <v>19.465842447297543</v>
          </cell>
        </row>
        <row r="40">
          <cell r="E40">
            <v>27.733333333453629</v>
          </cell>
          <cell r="T40">
            <v>19.327717772796184</v>
          </cell>
        </row>
        <row r="41">
          <cell r="E41">
            <v>41.53333333338378</v>
          </cell>
          <cell r="T41">
            <v>19.630459887235887</v>
          </cell>
        </row>
        <row r="42">
          <cell r="E42">
            <v>41.600000000093132</v>
          </cell>
          <cell r="T42">
            <v>19.668727215089497</v>
          </cell>
        </row>
        <row r="43">
          <cell r="E43">
            <v>41.666666666627862</v>
          </cell>
          <cell r="T43">
            <v>19.625478341598111</v>
          </cell>
        </row>
        <row r="44">
          <cell r="E44">
            <v>41.733333333337214</v>
          </cell>
          <cell r="T44">
            <v>19.650612503679497</v>
          </cell>
        </row>
        <row r="45">
          <cell r="E45">
            <v>41.800000000046566</v>
          </cell>
          <cell r="T45">
            <v>19.602382084550342</v>
          </cell>
        </row>
        <row r="46">
          <cell r="E46">
            <v>43.266666666779201</v>
          </cell>
          <cell r="T46">
            <v>19.494373117768138</v>
          </cell>
        </row>
        <row r="47">
          <cell r="E47">
            <v>43.333333333313931</v>
          </cell>
          <cell r="T47">
            <v>19.541018499648956</v>
          </cell>
        </row>
        <row r="48">
          <cell r="E48">
            <v>43.400000000023283</v>
          </cell>
          <cell r="T48">
            <v>19.49776962615757</v>
          </cell>
        </row>
        <row r="49">
          <cell r="E49">
            <v>46.400000000023283</v>
          </cell>
          <cell r="T49">
            <v>19.469465389579497</v>
          </cell>
        </row>
        <row r="50">
          <cell r="E50">
            <v>46.466666666732635</v>
          </cell>
          <cell r="T50">
            <v>19.541244933541478</v>
          </cell>
        </row>
        <row r="51">
          <cell r="E51">
            <v>46.533333333441988</v>
          </cell>
          <cell r="T51">
            <v>19.486447931526428</v>
          </cell>
        </row>
        <row r="52">
          <cell r="E52">
            <v>49.233333333337214</v>
          </cell>
          <cell r="T52">
            <v>19.615741684215315</v>
          </cell>
        </row>
        <row r="53">
          <cell r="E53">
            <v>49.300000000046566</v>
          </cell>
          <cell r="T53">
            <v>19.609627969114474</v>
          </cell>
        </row>
        <row r="54">
          <cell r="S54">
            <v>897316329.24633896</v>
          </cell>
        </row>
      </sheetData>
      <sheetData sheetId="3">
        <row r="8">
          <cell r="F8">
            <v>1041</v>
          </cell>
          <cell r="V8">
            <v>-0.42724421576445515</v>
          </cell>
        </row>
        <row r="9">
          <cell r="F9">
            <v>1131</v>
          </cell>
          <cell r="V9">
            <v>-0.8201867466046675</v>
          </cell>
        </row>
        <row r="10">
          <cell r="F10">
            <v>690</v>
          </cell>
          <cell r="V10">
            <v>-0.29198000549246483</v>
          </cell>
        </row>
        <row r="11">
          <cell r="F11">
            <v>721</v>
          </cell>
          <cell r="V11">
            <v>-0.49126927529308251</v>
          </cell>
        </row>
        <row r="12">
          <cell r="F12">
            <v>381</v>
          </cell>
          <cell r="V12">
            <v>-0.49893424720870438</v>
          </cell>
        </row>
        <row r="13">
          <cell r="F13">
            <v>560</v>
          </cell>
          <cell r="V13">
            <v>-0.46421643323868444</v>
          </cell>
        </row>
        <row r="14">
          <cell r="F14">
            <v>1136</v>
          </cell>
          <cell r="V14">
            <v>-1.1723245740130617</v>
          </cell>
        </row>
        <row r="15">
          <cell r="F15">
            <v>-436</v>
          </cell>
          <cell r="V15">
            <v>0.64134304538487896</v>
          </cell>
        </row>
        <row r="16">
          <cell r="F16">
            <v>-1646</v>
          </cell>
          <cell r="V16">
            <v>-1.3317109017836337</v>
          </cell>
        </row>
        <row r="17">
          <cell r="F17">
            <v>-1637</v>
          </cell>
          <cell r="V17">
            <v>-5.346411471263135E-2</v>
          </cell>
        </row>
        <row r="18">
          <cell r="F18">
            <v>-1928</v>
          </cell>
          <cell r="V18">
            <v>-1.2313899458319399</v>
          </cell>
        </row>
        <row r="19">
          <cell r="F19">
            <v>-2201</v>
          </cell>
          <cell r="V19">
            <v>1.5971513227075462E-2</v>
          </cell>
        </row>
        <row r="20">
          <cell r="F20">
            <v>-2247</v>
          </cell>
          <cell r="V20">
            <v>-0.50975538403030818</v>
          </cell>
        </row>
        <row r="21">
          <cell r="F21">
            <v>-2295</v>
          </cell>
          <cell r="V21">
            <v>-1.8470675429200778</v>
          </cell>
        </row>
        <row r="22">
          <cell r="F22">
            <v>-1706</v>
          </cell>
          <cell r="V22">
            <v>-1.4342862612399809</v>
          </cell>
        </row>
        <row r="23">
          <cell r="F23">
            <v>-272</v>
          </cell>
          <cell r="V23">
            <v>-10.510965651195692</v>
          </cell>
        </row>
        <row r="24">
          <cell r="F24">
            <v>-248</v>
          </cell>
          <cell r="V24">
            <v>-9.3402539112911178</v>
          </cell>
        </row>
        <row r="25">
          <cell r="F25">
            <v>-204</v>
          </cell>
          <cell r="V25">
            <v>-9.0011916242090919</v>
          </cell>
        </row>
        <row r="26">
          <cell r="F26">
            <v>-125</v>
          </cell>
          <cell r="V26">
            <v>-10.959141067897082</v>
          </cell>
        </row>
        <row r="27">
          <cell r="F27">
            <v>-61</v>
          </cell>
          <cell r="V27">
            <v>-9.1193223678468485</v>
          </cell>
        </row>
        <row r="28">
          <cell r="F28">
            <v>0</v>
          </cell>
          <cell r="V28">
            <v>-7.4984062480867308</v>
          </cell>
        </row>
        <row r="29">
          <cell r="F29">
            <v>-880</v>
          </cell>
          <cell r="V29">
            <v>-9.9552551873279818</v>
          </cell>
        </row>
        <row r="30">
          <cell r="F30">
            <v>-754</v>
          </cell>
          <cell r="V30">
            <v>-12.177195281397047</v>
          </cell>
        </row>
        <row r="31">
          <cell r="F31">
            <v>-846</v>
          </cell>
          <cell r="V31">
            <v>-12.188918179620533</v>
          </cell>
        </row>
        <row r="32">
          <cell r="F32">
            <v>-671</v>
          </cell>
          <cell r="V32">
            <v>-11.560390482556414</v>
          </cell>
        </row>
        <row r="33">
          <cell r="F33">
            <v>-661</v>
          </cell>
          <cell r="V33">
            <v>-8.4898929093808473</v>
          </cell>
        </row>
        <row r="34">
          <cell r="F34">
            <v>-674</v>
          </cell>
          <cell r="V34">
            <v>-12.437128005469811</v>
          </cell>
        </row>
        <row r="35">
          <cell r="F35">
            <v>-553</v>
          </cell>
          <cell r="V35">
            <v>-11.959870783560088</v>
          </cell>
        </row>
        <row r="36">
          <cell r="F36">
            <v>-560</v>
          </cell>
          <cell r="V36">
            <v>-8.2455155694893811</v>
          </cell>
        </row>
        <row r="37">
          <cell r="F37">
            <v>1234</v>
          </cell>
          <cell r="V37">
            <v>-1.8754730270772457</v>
          </cell>
        </row>
        <row r="38">
          <cell r="F38">
            <v>1161</v>
          </cell>
          <cell r="V38">
            <v>-3.4174850241786014</v>
          </cell>
        </row>
        <row r="39">
          <cell r="F39">
            <v>1231</v>
          </cell>
          <cell r="V39">
            <v>-1.0300717128767234</v>
          </cell>
        </row>
        <row r="40">
          <cell r="F40">
            <v>1066</v>
          </cell>
          <cell r="V40">
            <v>-1.7453939448656142</v>
          </cell>
        </row>
        <row r="41">
          <cell r="F41">
            <v>866</v>
          </cell>
          <cell r="V41">
            <v>-2.0096100355970758</v>
          </cell>
        </row>
        <row r="42">
          <cell r="F42">
            <v>822</v>
          </cell>
          <cell r="V42">
            <v>-1.8200147008656797</v>
          </cell>
        </row>
        <row r="43">
          <cell r="F43">
            <v>549</v>
          </cell>
          <cell r="V43">
            <v>-2.0098354759474635</v>
          </cell>
        </row>
        <row r="44">
          <cell r="F44">
            <v>1718</v>
          </cell>
          <cell r="V44">
            <v>0.47384086499802081</v>
          </cell>
        </row>
        <row r="45">
          <cell r="F45">
            <v>1652</v>
          </cell>
          <cell r="V45">
            <v>-0.60601841367380338</v>
          </cell>
        </row>
        <row r="46">
          <cell r="F46">
            <v>1632</v>
          </cell>
          <cell r="V46">
            <v>-0.8007988764657803</v>
          </cell>
        </row>
        <row r="47">
          <cell r="F47">
            <v>1572</v>
          </cell>
          <cell r="V47">
            <v>-2.0679990863645692</v>
          </cell>
        </row>
        <row r="48">
          <cell r="F48">
            <v>4825</v>
          </cell>
          <cell r="V48">
            <v>-5.4130830063924273</v>
          </cell>
        </row>
        <row r="49">
          <cell r="F49">
            <v>4843</v>
          </cell>
          <cell r="V49">
            <v>-5.6883456742959915</v>
          </cell>
        </row>
        <row r="50">
          <cell r="F50">
            <v>5014</v>
          </cell>
          <cell r="V50">
            <v>-6.089404057752712</v>
          </cell>
        </row>
        <row r="51">
          <cell r="F51">
            <v>5064</v>
          </cell>
          <cell r="V51">
            <v>-6.2762941082786794</v>
          </cell>
        </row>
        <row r="52">
          <cell r="F52">
            <v>5247</v>
          </cell>
          <cell r="V52">
            <v>-6.0082455315895178</v>
          </cell>
        </row>
        <row r="53">
          <cell r="F53">
            <v>5996</v>
          </cell>
          <cell r="V53">
            <v>-6.3315269941396357</v>
          </cell>
        </row>
        <row r="54">
          <cell r="F54">
            <v>6138</v>
          </cell>
          <cell r="V54">
            <v>-6.2275989925807407</v>
          </cell>
        </row>
        <row r="55">
          <cell r="F55">
            <v>6758</v>
          </cell>
          <cell r="V55">
            <v>-5.7230634882657894</v>
          </cell>
        </row>
        <row r="56">
          <cell r="F56">
            <v>-5668</v>
          </cell>
          <cell r="V56">
            <v>-3.8505559373996912</v>
          </cell>
        </row>
        <row r="57">
          <cell r="F57">
            <v>-5578</v>
          </cell>
          <cell r="V57">
            <v>-3.5513965923480439</v>
          </cell>
        </row>
        <row r="58">
          <cell r="F58">
            <v>-5558</v>
          </cell>
          <cell r="V58">
            <v>-2.6933706185222617</v>
          </cell>
        </row>
        <row r="59">
          <cell r="F59">
            <v>-6122</v>
          </cell>
          <cell r="V59">
            <v>-3.6665966114295401</v>
          </cell>
        </row>
        <row r="60">
          <cell r="F60">
            <v>-6473</v>
          </cell>
          <cell r="V60">
            <v>-3.4321386469582382</v>
          </cell>
        </row>
        <row r="61">
          <cell r="F61">
            <v>-6421</v>
          </cell>
          <cell r="V61">
            <v>-2.7682168148728259</v>
          </cell>
        </row>
        <row r="62">
          <cell r="F62">
            <v>-5879</v>
          </cell>
          <cell r="V62">
            <v>-4.1391195859800112</v>
          </cell>
        </row>
        <row r="63">
          <cell r="F63">
            <v>929</v>
          </cell>
          <cell r="V63">
            <v>-2.6207788256764619</v>
          </cell>
        </row>
        <row r="64">
          <cell r="F64">
            <v>1113</v>
          </cell>
          <cell r="V64">
            <v>-0.86798010090094468</v>
          </cell>
        </row>
        <row r="65">
          <cell r="F65">
            <v>942</v>
          </cell>
          <cell r="V65">
            <v>-0.80440592207309258</v>
          </cell>
        </row>
        <row r="66">
          <cell r="F66">
            <v>593</v>
          </cell>
          <cell r="V66">
            <v>-0.98430732173482305</v>
          </cell>
        </row>
        <row r="67">
          <cell r="F67">
            <v>268</v>
          </cell>
          <cell r="V67">
            <v>-2.1331513476455788</v>
          </cell>
        </row>
        <row r="68">
          <cell r="F68">
            <v>16</v>
          </cell>
          <cell r="V68">
            <v>-1.7005313151252643</v>
          </cell>
        </row>
        <row r="69">
          <cell r="F69">
            <v>-546</v>
          </cell>
          <cell r="V69">
            <v>-1.3792788157293012</v>
          </cell>
        </row>
        <row r="70">
          <cell r="F70">
            <v>-953</v>
          </cell>
          <cell r="V70">
            <v>-1.1333233933845666</v>
          </cell>
        </row>
        <row r="71">
          <cell r="F71">
            <v>-995</v>
          </cell>
          <cell r="V71">
            <v>-0.95702903932981531</v>
          </cell>
        </row>
        <row r="72">
          <cell r="F72">
            <v>160</v>
          </cell>
          <cell r="V72">
            <v>4.0842680775095008</v>
          </cell>
        </row>
        <row r="73">
          <cell r="F73">
            <v>274</v>
          </cell>
          <cell r="V73">
            <v>3.7310030483490575</v>
          </cell>
        </row>
        <row r="74">
          <cell r="F74">
            <v>406</v>
          </cell>
          <cell r="V74">
            <v>4.1841381527605304</v>
          </cell>
        </row>
        <row r="75">
          <cell r="F75">
            <v>829</v>
          </cell>
          <cell r="V75">
            <v>3.766622623720739</v>
          </cell>
        </row>
        <row r="76">
          <cell r="F76">
            <v>462</v>
          </cell>
          <cell r="V76">
            <v>3.6626946221616219</v>
          </cell>
        </row>
        <row r="77">
          <cell r="F77">
            <v>766</v>
          </cell>
          <cell r="V77">
            <v>3.8042711622463532</v>
          </cell>
        </row>
        <row r="78">
          <cell r="F78">
            <v>-175</v>
          </cell>
          <cell r="V78">
            <v>3.8008895569896506</v>
          </cell>
        </row>
        <row r="79">
          <cell r="F79">
            <v>-10</v>
          </cell>
          <cell r="V79">
            <v>4.0055893952013477</v>
          </cell>
        </row>
        <row r="80">
          <cell r="F80">
            <v>-432</v>
          </cell>
          <cell r="V80">
            <v>3.6782500063428092</v>
          </cell>
        </row>
        <row r="81">
          <cell r="F81">
            <v>-424</v>
          </cell>
          <cell r="V81">
            <v>3.8957999445303759</v>
          </cell>
        </row>
        <row r="82">
          <cell r="F82">
            <v>449</v>
          </cell>
          <cell r="V82">
            <v>3.7474601939320173</v>
          </cell>
        </row>
        <row r="83">
          <cell r="F83">
            <v>406</v>
          </cell>
          <cell r="V83">
            <v>4.1940575281802506</v>
          </cell>
        </row>
        <row r="84">
          <cell r="F84">
            <v>1139</v>
          </cell>
          <cell r="V84">
            <v>-2.3337932595490773</v>
          </cell>
        </row>
        <row r="85">
          <cell r="F85">
            <v>1200</v>
          </cell>
          <cell r="V85">
            <v>-3.3460204330850729</v>
          </cell>
        </row>
        <row r="86">
          <cell r="F86">
            <v>1021</v>
          </cell>
          <cell r="V86">
            <v>-2.6243858712836632</v>
          </cell>
        </row>
        <row r="87">
          <cell r="F87">
            <v>1158</v>
          </cell>
          <cell r="V87">
            <v>-3.4564862048073186</v>
          </cell>
        </row>
        <row r="88">
          <cell r="F88">
            <v>1172</v>
          </cell>
          <cell r="V88">
            <v>-3.0134959161662866</v>
          </cell>
        </row>
        <row r="89">
          <cell r="F89">
            <v>1851</v>
          </cell>
          <cell r="V89">
            <v>-3.5295288783540046</v>
          </cell>
        </row>
        <row r="90">
          <cell r="F90">
            <v>1874</v>
          </cell>
          <cell r="V90">
            <v>-3.035363630160326</v>
          </cell>
        </row>
        <row r="91">
          <cell r="F91">
            <v>1930</v>
          </cell>
          <cell r="V91">
            <v>-2.8764281830905292</v>
          </cell>
        </row>
        <row r="92">
          <cell r="F92">
            <v>1943</v>
          </cell>
          <cell r="V92">
            <v>-3.1135914317675928</v>
          </cell>
        </row>
        <row r="93">
          <cell r="F93">
            <v>1963</v>
          </cell>
          <cell r="V93">
            <v>-2.5335334100508033</v>
          </cell>
        </row>
        <row r="94">
          <cell r="F94">
            <v>1568</v>
          </cell>
          <cell r="V94">
            <v>-2.9136258409152571</v>
          </cell>
        </row>
        <row r="95">
          <cell r="F95">
            <v>-615</v>
          </cell>
          <cell r="V95">
            <v>-5.6026783411238235</v>
          </cell>
        </row>
        <row r="96">
          <cell r="F96">
            <v>-2789</v>
          </cell>
          <cell r="V96">
            <v>-4.1244659632005964</v>
          </cell>
        </row>
        <row r="97">
          <cell r="F97">
            <v>1087</v>
          </cell>
          <cell r="V97">
            <v>-5.182682968228991</v>
          </cell>
        </row>
        <row r="98">
          <cell r="F98">
            <v>871</v>
          </cell>
          <cell r="V98">
            <v>-5.2929232996008491</v>
          </cell>
        </row>
        <row r="99">
          <cell r="F99">
            <v>-833</v>
          </cell>
          <cell r="V99">
            <v>-5.0634250228391853</v>
          </cell>
        </row>
        <row r="100">
          <cell r="F100">
            <v>-1130</v>
          </cell>
          <cell r="V100">
            <v>2.7755868431273978</v>
          </cell>
        </row>
        <row r="101">
          <cell r="F101">
            <v>-1190</v>
          </cell>
          <cell r="V101">
            <v>3.087370847804527</v>
          </cell>
        </row>
        <row r="102">
          <cell r="F102">
            <v>-1134</v>
          </cell>
          <cell r="V102">
            <v>2.9620260129523679</v>
          </cell>
        </row>
        <row r="103">
          <cell r="F103">
            <v>-1210</v>
          </cell>
          <cell r="V103">
            <v>3.0416064566625156</v>
          </cell>
        </row>
        <row r="104">
          <cell r="F104">
            <v>-1559</v>
          </cell>
          <cell r="V104">
            <v>3.0900761320098447</v>
          </cell>
        </row>
        <row r="105">
          <cell r="F105">
            <v>-1437</v>
          </cell>
          <cell r="V105">
            <v>2.8810929271394503</v>
          </cell>
        </row>
        <row r="106">
          <cell r="F106">
            <v>-1796</v>
          </cell>
          <cell r="V106">
            <v>2.7803210904868703</v>
          </cell>
        </row>
        <row r="107">
          <cell r="F107">
            <v>-2079</v>
          </cell>
          <cell r="V107">
            <v>3.2025708668861341</v>
          </cell>
        </row>
        <row r="108">
          <cell r="F108">
            <v>-1932</v>
          </cell>
          <cell r="V108">
            <v>2.5224173295681496</v>
          </cell>
        </row>
        <row r="109">
          <cell r="F109">
            <v>-2062</v>
          </cell>
          <cell r="V109">
            <v>2.5740431698220156</v>
          </cell>
        </row>
        <row r="110">
          <cell r="F110">
            <v>-2748</v>
          </cell>
          <cell r="V110">
            <v>3.109464002149176</v>
          </cell>
        </row>
        <row r="111">
          <cell r="F111">
            <v>-2768</v>
          </cell>
          <cell r="V111">
            <v>3.0159062567107764</v>
          </cell>
        </row>
        <row r="112">
          <cell r="F112">
            <v>-2698</v>
          </cell>
          <cell r="V112">
            <v>2.4836415892903752</v>
          </cell>
        </row>
        <row r="113">
          <cell r="F113">
            <v>-2264</v>
          </cell>
          <cell r="V113">
            <v>2.5510482540758161</v>
          </cell>
        </row>
        <row r="114">
          <cell r="F114">
            <v>-1079</v>
          </cell>
          <cell r="V114">
            <v>-4.3442703048927056</v>
          </cell>
        </row>
        <row r="115">
          <cell r="F115">
            <v>-1033</v>
          </cell>
          <cell r="V115">
            <v>-4.7834281075759266</v>
          </cell>
        </row>
        <row r="116">
          <cell r="F116">
            <v>-2636</v>
          </cell>
          <cell r="V116">
            <v>-4.7791447409173404</v>
          </cell>
        </row>
        <row r="117">
          <cell r="F117">
            <v>-2847</v>
          </cell>
          <cell r="V117">
            <v>-4.1325818158168826</v>
          </cell>
        </row>
        <row r="118">
          <cell r="F118">
            <v>-2622</v>
          </cell>
          <cell r="V118">
            <v>-4.9610751037333367</v>
          </cell>
        </row>
        <row r="119">
          <cell r="F119">
            <v>56</v>
          </cell>
          <cell r="V119">
            <v>-5.0562109316246717</v>
          </cell>
        </row>
        <row r="120">
          <cell r="F120">
            <v>64</v>
          </cell>
          <cell r="V120">
            <v>-4.2087806542703277</v>
          </cell>
        </row>
        <row r="121">
          <cell r="F121">
            <v>790</v>
          </cell>
          <cell r="V121">
            <v>-4.447972866101324</v>
          </cell>
        </row>
        <row r="122">
          <cell r="F122">
            <v>828</v>
          </cell>
          <cell r="V122">
            <v>-5.1558555665252026</v>
          </cell>
        </row>
        <row r="123">
          <cell r="F123">
            <v>984</v>
          </cell>
          <cell r="V123">
            <v>-5.3447745802049917</v>
          </cell>
        </row>
        <row r="124">
          <cell r="F124">
            <v>1021</v>
          </cell>
          <cell r="V124">
            <v>-5.1348896139328248</v>
          </cell>
        </row>
        <row r="125">
          <cell r="F125">
            <v>867</v>
          </cell>
          <cell r="V125">
            <v>-4.4017575942583154</v>
          </cell>
        </row>
        <row r="126">
          <cell r="F126">
            <v>353</v>
          </cell>
          <cell r="V126">
            <v>-5.1680293454494652</v>
          </cell>
        </row>
        <row r="127">
          <cell r="F127">
            <v>390</v>
          </cell>
          <cell r="V127">
            <v>-4.8350539478297927</v>
          </cell>
        </row>
        <row r="128">
          <cell r="F128">
            <v>-983</v>
          </cell>
          <cell r="V128">
            <v>-3.8404111216293613</v>
          </cell>
        </row>
        <row r="129">
          <cell r="F129">
            <v>-979</v>
          </cell>
          <cell r="V129">
            <v>-3.9130029144753831</v>
          </cell>
        </row>
        <row r="130">
          <cell r="F130">
            <v>-457</v>
          </cell>
          <cell r="V130">
            <v>-3.873325412795614</v>
          </cell>
        </row>
        <row r="131">
          <cell r="F131">
            <v>872</v>
          </cell>
          <cell r="V131">
            <v>-4.6168276885909521</v>
          </cell>
        </row>
        <row r="132">
          <cell r="F132">
            <v>903</v>
          </cell>
          <cell r="V132">
            <v>-3.7083030762635749</v>
          </cell>
        </row>
        <row r="133">
          <cell r="F133">
            <v>966</v>
          </cell>
          <cell r="V133">
            <v>-4.8799165775700315</v>
          </cell>
        </row>
        <row r="134">
          <cell r="F134">
            <v>945</v>
          </cell>
          <cell r="V134">
            <v>-3.9684612406869491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39R1046@2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39R1046@2" TargetMode="External"/><Relationship Id="rId1" Type="http://schemas.openxmlformats.org/officeDocument/2006/relationships/hyperlink" Target="mailto:39R1046@2" TargetMode="External"/><Relationship Id="rId6" Type="http://schemas.openxmlformats.org/officeDocument/2006/relationships/hyperlink" Target="mailto:39R1046@2" TargetMode="External"/><Relationship Id="rId5" Type="http://schemas.openxmlformats.org/officeDocument/2006/relationships/hyperlink" Target="mailto:39R1046@2" TargetMode="External"/><Relationship Id="rId4" Type="http://schemas.openxmlformats.org/officeDocument/2006/relationships/hyperlink" Target="mailto:39R1046@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39R1046@2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39R1046@2" TargetMode="External"/><Relationship Id="rId1" Type="http://schemas.openxmlformats.org/officeDocument/2006/relationships/hyperlink" Target="mailto:39R1046@2" TargetMode="External"/><Relationship Id="rId6" Type="http://schemas.openxmlformats.org/officeDocument/2006/relationships/hyperlink" Target="mailto:39R1046@2" TargetMode="External"/><Relationship Id="rId5" Type="http://schemas.openxmlformats.org/officeDocument/2006/relationships/hyperlink" Target="mailto:39R1046@2" TargetMode="External"/><Relationship Id="rId4" Type="http://schemas.openxmlformats.org/officeDocument/2006/relationships/hyperlink" Target="mailto:39R1046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931C-DF97-4138-B205-2890B769AEAF}">
  <dimension ref="A1:AH127"/>
  <sheetViews>
    <sheetView topLeftCell="F1" zoomScale="85" zoomScaleNormal="85" workbookViewId="0">
      <pane ySplit="1" topLeftCell="A98" activePane="bottomLeft" state="frozen"/>
      <selection activeCell="E1" sqref="E1"/>
      <selection pane="bottomLeft" activeCell="K123" sqref="K123"/>
    </sheetView>
  </sheetViews>
  <sheetFormatPr baseColWidth="10" defaultRowHeight="14.4" x14ac:dyDescent="0.3"/>
  <cols>
    <col min="1" max="2" width="23" customWidth="1"/>
    <col min="3" max="3" width="25.77734375" customWidth="1"/>
    <col min="4" max="4" width="48" customWidth="1"/>
    <col min="5" max="5" width="60.88671875" customWidth="1"/>
    <col min="9" max="9" width="16.44140625" customWidth="1"/>
    <col min="10" max="10" width="29" customWidth="1"/>
    <col min="15" max="15" width="13.77734375" customWidth="1"/>
    <col min="18" max="18" width="19.6640625" customWidth="1"/>
    <col min="19" max="20" width="11.6640625" bestFit="1" customWidth="1"/>
    <col min="21" max="21" width="12.6640625" bestFit="1" customWidth="1"/>
    <col min="22" max="22" width="13.6640625" bestFit="1" customWidth="1"/>
    <col min="23" max="23" width="11.6640625" bestFit="1" customWidth="1"/>
    <col min="24" max="24" width="12.6640625" bestFit="1" customWidth="1"/>
    <col min="25" max="34" width="11.6640625" bestFit="1" customWidth="1"/>
  </cols>
  <sheetData>
    <row r="1" spans="1:34" x14ac:dyDescent="0.3">
      <c r="A1" s="2" t="s">
        <v>116</v>
      </c>
      <c r="B1" s="2" t="s">
        <v>118</v>
      </c>
      <c r="C1" s="2" t="s">
        <v>367</v>
      </c>
      <c r="D1" s="2" t="s">
        <v>368</v>
      </c>
      <c r="E1" s="2" t="s">
        <v>369</v>
      </c>
      <c r="F1" s="2" t="s">
        <v>370</v>
      </c>
      <c r="G1" s="2" t="s">
        <v>371</v>
      </c>
      <c r="H1" s="2" t="s">
        <v>372</v>
      </c>
      <c r="I1" s="2" t="s">
        <v>373</v>
      </c>
      <c r="J1" s="2" t="s">
        <v>374</v>
      </c>
      <c r="K1" s="2" t="s">
        <v>2</v>
      </c>
      <c r="L1" s="2" t="s">
        <v>3</v>
      </c>
      <c r="M1" s="2" t="s">
        <v>7</v>
      </c>
      <c r="N1" s="2" t="s">
        <v>10</v>
      </c>
      <c r="O1" s="2" t="s">
        <v>11</v>
      </c>
      <c r="P1" s="2" t="s">
        <v>12</v>
      </c>
      <c r="R1" s="2" t="s">
        <v>370</v>
      </c>
      <c r="S1" s="3" t="s">
        <v>344</v>
      </c>
      <c r="T1" s="3" t="s">
        <v>345</v>
      </c>
      <c r="U1" s="3" t="s">
        <v>346</v>
      </c>
      <c r="V1" s="3" t="s">
        <v>347</v>
      </c>
      <c r="W1" s="3" t="s">
        <v>349</v>
      </c>
      <c r="X1" s="3" t="s">
        <v>350</v>
      </c>
      <c r="Y1" s="3" t="s">
        <v>351</v>
      </c>
      <c r="Z1" s="3" t="s">
        <v>352</v>
      </c>
      <c r="AA1" s="3" t="s">
        <v>353</v>
      </c>
      <c r="AB1" s="3" t="s">
        <v>354</v>
      </c>
      <c r="AC1" s="3" t="s">
        <v>357</v>
      </c>
      <c r="AD1" s="3" t="s">
        <v>358</v>
      </c>
      <c r="AE1" s="3" t="s">
        <v>359</v>
      </c>
      <c r="AF1" s="3" t="s">
        <v>361</v>
      </c>
      <c r="AG1" s="3" t="s">
        <v>362</v>
      </c>
      <c r="AH1" s="3" t="s">
        <v>363</v>
      </c>
    </row>
    <row r="2" spans="1:3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115</v>
      </c>
      <c r="L2" s="2" t="s">
        <v>115</v>
      </c>
      <c r="M2" s="2" t="s">
        <v>115</v>
      </c>
      <c r="N2" s="2" t="s">
        <v>115</v>
      </c>
      <c r="O2" s="2" t="s">
        <v>115</v>
      </c>
      <c r="P2" s="2"/>
      <c r="R2" s="2"/>
      <c r="S2" s="3" t="s">
        <v>340</v>
      </c>
      <c r="T2" s="3" t="s">
        <v>340</v>
      </c>
      <c r="U2" s="3" t="s">
        <v>340</v>
      </c>
      <c r="V2" s="3" t="s">
        <v>340</v>
      </c>
      <c r="W2" s="3" t="s">
        <v>340</v>
      </c>
      <c r="X2" s="3" t="s">
        <v>340</v>
      </c>
      <c r="Y2" s="3" t="s">
        <v>340</v>
      </c>
      <c r="Z2" s="3" t="s">
        <v>340</v>
      </c>
      <c r="AA2" s="3" t="s">
        <v>340</v>
      </c>
      <c r="AB2" s="3" t="s">
        <v>340</v>
      </c>
      <c r="AC2" s="3" t="s">
        <v>340</v>
      </c>
      <c r="AD2" s="3" t="s">
        <v>340</v>
      </c>
      <c r="AE2" s="3" t="s">
        <v>340</v>
      </c>
      <c r="AF2" s="3" t="s">
        <v>340</v>
      </c>
      <c r="AG2" s="3" t="s">
        <v>340</v>
      </c>
      <c r="AH2" s="3" t="s">
        <v>340</v>
      </c>
    </row>
    <row r="3" spans="1:34" x14ac:dyDescent="0.3">
      <c r="A3" t="s">
        <v>375</v>
      </c>
      <c r="B3" t="s">
        <v>122</v>
      </c>
      <c r="C3" t="s">
        <v>376</v>
      </c>
      <c r="D3" t="s">
        <v>377</v>
      </c>
      <c r="E3" t="s">
        <v>378</v>
      </c>
      <c r="F3" t="s">
        <v>379</v>
      </c>
      <c r="G3">
        <v>1</v>
      </c>
      <c r="H3" t="s">
        <v>380</v>
      </c>
      <c r="I3" s="1">
        <v>-0.42724421576445515</v>
      </c>
      <c r="J3">
        <v>0.7</v>
      </c>
      <c r="K3" s="1">
        <v>52.725000000000001</v>
      </c>
      <c r="L3" s="1">
        <v>2.9000000000000001E-2</v>
      </c>
      <c r="M3" s="1">
        <v>46.368000000000002</v>
      </c>
      <c r="N3" s="1">
        <v>2.5999999999999999E-2</v>
      </c>
      <c r="O3" s="1">
        <v>100.39</v>
      </c>
      <c r="P3" s="1" t="s">
        <v>48</v>
      </c>
      <c r="R3" t="s">
        <v>379</v>
      </c>
      <c r="S3" s="1">
        <v>2.2853113983559399</v>
      </c>
      <c r="T3" s="1">
        <v>1.2034949835953199</v>
      </c>
      <c r="U3" s="1">
        <v>12.1870995884507</v>
      </c>
      <c r="V3" s="1">
        <v>2.7481530490020627</v>
      </c>
      <c r="W3" s="1">
        <v>0.15755578150082994</v>
      </c>
      <c r="X3" s="1">
        <v>7450.2673157501504</v>
      </c>
      <c r="Y3" s="1">
        <v>0.89003648309843586</v>
      </c>
      <c r="Z3" s="1">
        <v>38.238436565254801</v>
      </c>
      <c r="AA3" s="1">
        <v>0.258388331951656</v>
      </c>
      <c r="AB3" s="1">
        <v>0.1585038844377579</v>
      </c>
      <c r="AC3" s="1">
        <v>193.91927033743499</v>
      </c>
      <c r="AD3" s="1">
        <v>1.28352096990061</v>
      </c>
      <c r="AE3" s="1">
        <v>5.8830436622635297E-2</v>
      </c>
      <c r="AF3" s="1">
        <v>116.976044306137</v>
      </c>
      <c r="AG3" s="1">
        <v>42.461854629478303</v>
      </c>
      <c r="AH3" s="1">
        <v>0.47538542053305399</v>
      </c>
    </row>
    <row r="4" spans="1:34" x14ac:dyDescent="0.3">
      <c r="A4" t="s">
        <v>375</v>
      </c>
      <c r="B4" t="s">
        <v>122</v>
      </c>
      <c r="C4" t="s">
        <v>376</v>
      </c>
      <c r="D4" t="s">
        <v>377</v>
      </c>
      <c r="E4" t="s">
        <v>378</v>
      </c>
      <c r="F4" t="s">
        <v>381</v>
      </c>
      <c r="G4">
        <v>1</v>
      </c>
      <c r="H4" t="s">
        <v>382</v>
      </c>
      <c r="I4" s="1">
        <v>-0.8201867466046675</v>
      </c>
      <c r="J4">
        <v>0.7</v>
      </c>
      <c r="K4" s="1">
        <v>54.197000000000003</v>
      </c>
      <c r="L4" s="1">
        <v>0</v>
      </c>
      <c r="M4" s="1">
        <v>47.164999999999999</v>
      </c>
      <c r="N4" s="1">
        <v>0</v>
      </c>
      <c r="O4" s="1">
        <v>101.479</v>
      </c>
      <c r="P4" s="1" t="s">
        <v>49</v>
      </c>
      <c r="R4" t="s">
        <v>381</v>
      </c>
      <c r="S4" s="1">
        <v>688.46826889373995</v>
      </c>
      <c r="T4" s="1">
        <v>1.0265559676940554</v>
      </c>
      <c r="U4" s="1">
        <v>136.64346995212699</v>
      </c>
      <c r="V4" s="1">
        <v>12.189726072493409</v>
      </c>
      <c r="W4" s="1">
        <v>0.27562752451420397</v>
      </c>
      <c r="X4" s="1">
        <v>9.7319342114301204</v>
      </c>
      <c r="Y4" s="1">
        <v>336.45845774081602</v>
      </c>
      <c r="Z4" s="1">
        <v>15.699974181664601</v>
      </c>
      <c r="AA4" s="1">
        <v>0.62290969780238703</v>
      </c>
      <c r="AB4" s="1">
        <v>0.72411380647179302</v>
      </c>
      <c r="AC4" s="1">
        <v>0.22896694507258342</v>
      </c>
      <c r="AD4" s="1">
        <v>52.750989024901699</v>
      </c>
      <c r="AE4" s="1">
        <v>0.33370974635407202</v>
      </c>
      <c r="AF4" s="1">
        <v>2.33823296104539</v>
      </c>
      <c r="AG4" s="1">
        <v>0.98615195550011103</v>
      </c>
      <c r="AH4" s="1">
        <v>9.0249875869476998E-2</v>
      </c>
    </row>
    <row r="5" spans="1:34" x14ac:dyDescent="0.3">
      <c r="A5" t="s">
        <v>375</v>
      </c>
      <c r="B5" t="s">
        <v>122</v>
      </c>
      <c r="C5" t="s">
        <v>376</v>
      </c>
      <c r="D5" t="s">
        <v>377</v>
      </c>
      <c r="E5" t="s">
        <v>378</v>
      </c>
      <c r="F5" t="s">
        <v>383</v>
      </c>
      <c r="G5">
        <v>2</v>
      </c>
      <c r="H5" t="s">
        <v>380</v>
      </c>
      <c r="I5" s="1">
        <v>-0.29198000549246483</v>
      </c>
      <c r="J5">
        <v>0.7</v>
      </c>
      <c r="K5" s="1">
        <v>53.143000000000001</v>
      </c>
      <c r="L5" s="1">
        <v>1E-3</v>
      </c>
      <c r="M5" s="1">
        <v>46.470999999999997</v>
      </c>
      <c r="N5" s="1">
        <v>0</v>
      </c>
      <c r="O5" s="1">
        <v>100.73</v>
      </c>
      <c r="P5" s="1" t="s">
        <v>50</v>
      </c>
      <c r="R5" t="s">
        <v>383</v>
      </c>
      <c r="S5" s="1">
        <v>6.4339438735321801</v>
      </c>
      <c r="T5" s="1">
        <v>2.1510054774116099</v>
      </c>
      <c r="U5" s="1">
        <v>18.737653466863101</v>
      </c>
      <c r="V5" s="1">
        <v>58.256566452648798</v>
      </c>
      <c r="W5" s="1">
        <v>0.33374224576738476</v>
      </c>
      <c r="X5" s="1">
        <v>11500.422380641599</v>
      </c>
      <c r="Y5" s="1">
        <v>2.1638911985920499</v>
      </c>
      <c r="Z5" s="1">
        <v>56.771620217662203</v>
      </c>
      <c r="AA5" s="1">
        <v>0.348025142506386</v>
      </c>
      <c r="AB5" s="1">
        <v>0.42772471436346399</v>
      </c>
      <c r="AC5" s="1">
        <v>203.17164857261</v>
      </c>
      <c r="AD5" s="1">
        <v>0.73606924564479803</v>
      </c>
      <c r="AE5" s="1">
        <v>9.8166046552464303E-2</v>
      </c>
      <c r="AF5" s="1">
        <v>122.267593077599</v>
      </c>
      <c r="AG5" s="1">
        <v>36.353909177331097</v>
      </c>
      <c r="AH5" s="1">
        <v>2.93479561290808E-2</v>
      </c>
    </row>
    <row r="6" spans="1:34" x14ac:dyDescent="0.3">
      <c r="A6" t="s">
        <v>375</v>
      </c>
      <c r="B6" t="s">
        <v>122</v>
      </c>
      <c r="C6" t="s">
        <v>376</v>
      </c>
      <c r="D6" t="s">
        <v>377</v>
      </c>
      <c r="E6" t="s">
        <v>378</v>
      </c>
      <c r="F6" t="s">
        <v>384</v>
      </c>
      <c r="G6">
        <v>2</v>
      </c>
      <c r="H6" t="s">
        <v>382</v>
      </c>
      <c r="I6" s="1">
        <v>-0.49126927529308251</v>
      </c>
      <c r="J6">
        <v>0.7</v>
      </c>
      <c r="K6" s="1"/>
      <c r="L6" s="1"/>
      <c r="M6" s="1"/>
      <c r="N6" s="1"/>
      <c r="O6" s="1"/>
      <c r="R6" t="s">
        <v>384</v>
      </c>
      <c r="S6" s="1">
        <v>635.62478108442099</v>
      </c>
      <c r="T6" s="1">
        <v>5.4571135187231103</v>
      </c>
      <c r="U6" s="1">
        <v>25.388139774008401</v>
      </c>
      <c r="V6" s="1">
        <v>8.0781180428691819</v>
      </c>
      <c r="W6" s="1">
        <v>0.35249430392620229</v>
      </c>
      <c r="X6" s="1">
        <v>1.18080543738091</v>
      </c>
      <c r="Y6" s="1">
        <v>150.317377522556</v>
      </c>
      <c r="Z6" s="1">
        <v>1.81822667422165</v>
      </c>
      <c r="AA6" s="1">
        <v>0.46041421734279803</v>
      </c>
      <c r="AB6" s="1">
        <v>0.43322293490109498</v>
      </c>
      <c r="AC6" s="1">
        <v>0.26206895128408358</v>
      </c>
      <c r="AD6" s="1">
        <v>17.487237193929602</v>
      </c>
      <c r="AE6" s="1">
        <v>7.9898404898771785E-2</v>
      </c>
      <c r="AF6" s="1">
        <v>0.233566292966915</v>
      </c>
      <c r="AG6" s="1">
        <v>0.20255777256048096</v>
      </c>
      <c r="AH6" s="1">
        <v>3.01416736726974</v>
      </c>
    </row>
    <row r="7" spans="1:34" x14ac:dyDescent="0.3">
      <c r="A7" t="s">
        <v>375</v>
      </c>
      <c r="B7" t="s">
        <v>122</v>
      </c>
      <c r="C7" t="s">
        <v>376</v>
      </c>
      <c r="D7" t="s">
        <v>377</v>
      </c>
      <c r="E7" t="s">
        <v>378</v>
      </c>
      <c r="F7" t="s">
        <v>385</v>
      </c>
      <c r="G7">
        <v>3</v>
      </c>
      <c r="H7" t="s">
        <v>380</v>
      </c>
      <c r="I7" s="1">
        <v>-0.49893424720870438</v>
      </c>
      <c r="J7">
        <v>0.7</v>
      </c>
      <c r="K7" s="1">
        <v>52.875</v>
      </c>
      <c r="L7" s="1">
        <v>0</v>
      </c>
      <c r="M7" s="1">
        <v>46.573</v>
      </c>
      <c r="N7" s="1">
        <v>1.2999999999999999E-2</v>
      </c>
      <c r="O7" s="1">
        <v>100.65300000000001</v>
      </c>
      <c r="P7" s="1" t="s">
        <v>51</v>
      </c>
      <c r="R7" t="s">
        <v>385</v>
      </c>
      <c r="S7" s="1">
        <v>0.21604953290293499</v>
      </c>
      <c r="T7" s="1">
        <v>0.80712675603641204</v>
      </c>
      <c r="U7" s="1">
        <v>0.54046905729579087</v>
      </c>
      <c r="V7" s="1">
        <v>5.2479798074397017</v>
      </c>
      <c r="W7" s="1">
        <v>0.18693149676647122</v>
      </c>
      <c r="X7" s="1">
        <v>8146.0837278680601</v>
      </c>
      <c r="Y7" s="1">
        <v>1.4291638825699338</v>
      </c>
      <c r="Z7" s="1">
        <v>46.158874287611503</v>
      </c>
      <c r="AA7" s="1">
        <v>6.6213558013975715E-2</v>
      </c>
      <c r="AB7" s="1">
        <v>0.19954174020545631</v>
      </c>
      <c r="AC7" s="1">
        <v>258.68448505613202</v>
      </c>
      <c r="AD7" s="1">
        <v>0.33896545695826713</v>
      </c>
      <c r="AE7" s="1">
        <v>4.4344928940433841E-2</v>
      </c>
      <c r="AF7" s="1">
        <v>121.46065686213301</v>
      </c>
      <c r="AG7" s="1">
        <v>14.313973515903999</v>
      </c>
      <c r="AH7" s="1">
        <v>7.8120650702027117E-3</v>
      </c>
    </row>
    <row r="8" spans="1:34" x14ac:dyDescent="0.3">
      <c r="A8" t="s">
        <v>375</v>
      </c>
      <c r="B8" t="s">
        <v>122</v>
      </c>
      <c r="C8" t="s">
        <v>376</v>
      </c>
      <c r="D8" t="s">
        <v>377</v>
      </c>
      <c r="E8" t="s">
        <v>378</v>
      </c>
      <c r="F8" t="s">
        <v>386</v>
      </c>
      <c r="G8">
        <v>3</v>
      </c>
      <c r="H8" t="s">
        <v>382</v>
      </c>
      <c r="I8" s="1">
        <v>-0.46421643323868444</v>
      </c>
      <c r="J8">
        <v>0.7</v>
      </c>
      <c r="K8" s="1">
        <v>54.29</v>
      </c>
      <c r="L8" s="1">
        <v>2.8000000000000001E-2</v>
      </c>
      <c r="M8" s="1">
        <v>47.189</v>
      </c>
      <c r="N8" s="1">
        <v>0.04</v>
      </c>
      <c r="O8" s="1">
        <v>101.621</v>
      </c>
      <c r="P8" s="1" t="s">
        <v>52</v>
      </c>
      <c r="R8" t="s">
        <v>386</v>
      </c>
      <c r="S8" s="1">
        <v>101.65387073078</v>
      </c>
      <c r="T8" s="1">
        <v>20.568521029000301</v>
      </c>
      <c r="U8" s="1">
        <v>21.5356054455644</v>
      </c>
      <c r="V8" s="1">
        <v>9.3669750601485386</v>
      </c>
      <c r="W8" s="1">
        <v>0.25481851635130437</v>
      </c>
      <c r="X8" s="1">
        <v>24.455793571811299</v>
      </c>
      <c r="Y8" s="1">
        <v>34.516472200410298</v>
      </c>
      <c r="Z8" s="1">
        <v>7.5831200096716502</v>
      </c>
      <c r="AA8" s="1">
        <v>0.78229982810411103</v>
      </c>
      <c r="AB8" s="1">
        <v>0.35253773080249595</v>
      </c>
      <c r="AC8" s="1">
        <v>0.2072582766731203</v>
      </c>
      <c r="AD8" s="1">
        <v>7.4091027284286204</v>
      </c>
      <c r="AE8" s="1">
        <v>0.65253377171775195</v>
      </c>
      <c r="AF8" s="1">
        <v>1.8390012335816399</v>
      </c>
      <c r="AG8" s="1">
        <v>0.53125620807907104</v>
      </c>
      <c r="AH8" s="1">
        <v>1.45356483506241</v>
      </c>
    </row>
    <row r="9" spans="1:34" x14ac:dyDescent="0.3">
      <c r="A9" t="s">
        <v>375</v>
      </c>
      <c r="B9" t="s">
        <v>122</v>
      </c>
      <c r="C9" t="s">
        <v>376</v>
      </c>
      <c r="D9" t="s">
        <v>377</v>
      </c>
      <c r="E9" t="s">
        <v>378</v>
      </c>
      <c r="F9" t="s">
        <v>387</v>
      </c>
      <c r="G9">
        <v>4</v>
      </c>
      <c r="H9" t="s">
        <v>380</v>
      </c>
      <c r="I9" s="1">
        <v>-1.1723245740130617</v>
      </c>
      <c r="J9">
        <v>0.7</v>
      </c>
      <c r="K9" s="1">
        <v>53.241999999999997</v>
      </c>
      <c r="L9" s="1">
        <v>1.4999999999999999E-2</v>
      </c>
      <c r="M9" s="1">
        <v>46.587000000000003</v>
      </c>
      <c r="N9" s="1">
        <v>0</v>
      </c>
      <c r="O9" s="1">
        <v>101.056</v>
      </c>
      <c r="P9" s="1" t="s">
        <v>57</v>
      </c>
      <c r="R9" t="s">
        <v>387</v>
      </c>
      <c r="S9" s="1">
        <v>2.0222010572804199</v>
      </c>
      <c r="T9" s="1">
        <v>5.8695552502293902</v>
      </c>
      <c r="U9" s="1">
        <v>6.6003501852087298</v>
      </c>
      <c r="V9" s="1">
        <v>5.0703343563814611</v>
      </c>
      <c r="W9" s="1">
        <v>0.24128728295867688</v>
      </c>
      <c r="X9" s="1">
        <v>12506.2488281727</v>
      </c>
      <c r="Y9" s="1">
        <v>1.6372496134749557</v>
      </c>
      <c r="Z9" s="1">
        <v>94.586295170368899</v>
      </c>
      <c r="AA9" s="1">
        <v>6.3147636206946953E-2</v>
      </c>
      <c r="AB9" s="1">
        <v>0.28636105865009798</v>
      </c>
      <c r="AC9" s="1">
        <v>791.85879348630897</v>
      </c>
      <c r="AD9" s="1">
        <v>0.31547735420909501</v>
      </c>
      <c r="AE9" s="1">
        <v>8.1233632219646801E-2</v>
      </c>
      <c r="AF9" s="1">
        <v>326.555506828771</v>
      </c>
      <c r="AG9" s="1">
        <v>73.493186662422204</v>
      </c>
      <c r="AH9" s="1">
        <v>1.7356739211315798E-2</v>
      </c>
    </row>
    <row r="10" spans="1:34" x14ac:dyDescent="0.3">
      <c r="A10" t="s">
        <v>375</v>
      </c>
      <c r="B10" t="s">
        <v>122</v>
      </c>
      <c r="C10" t="s">
        <v>376</v>
      </c>
      <c r="D10" t="s">
        <v>377</v>
      </c>
      <c r="E10" t="s">
        <v>378</v>
      </c>
      <c r="F10" t="s">
        <v>388</v>
      </c>
      <c r="G10">
        <v>5</v>
      </c>
      <c r="H10" t="s">
        <v>380</v>
      </c>
      <c r="I10" s="1">
        <v>0.64134304538487896</v>
      </c>
      <c r="J10">
        <v>0.7</v>
      </c>
      <c r="K10" s="1">
        <v>52.411000000000001</v>
      </c>
      <c r="L10" s="1">
        <v>8.0000000000000002E-3</v>
      </c>
      <c r="M10" s="1">
        <v>46.252000000000002</v>
      </c>
      <c r="N10" s="1">
        <v>1.2999999999999999E-2</v>
      </c>
      <c r="O10" s="1">
        <v>100.28</v>
      </c>
      <c r="P10" s="1" t="s">
        <v>60</v>
      </c>
      <c r="R10" t="s">
        <v>388</v>
      </c>
      <c r="S10" s="1">
        <v>2.3719456059126198</v>
      </c>
      <c r="T10" s="1">
        <v>1.0734993536877899</v>
      </c>
      <c r="U10" s="1">
        <v>4.5238367479510702</v>
      </c>
      <c r="V10" s="1">
        <v>3.6747312003497643</v>
      </c>
      <c r="W10" s="1">
        <v>9.8538734685944609E-2</v>
      </c>
      <c r="X10" s="1">
        <v>6217.9233833011604</v>
      </c>
      <c r="Y10" s="1">
        <v>1.87344155725923</v>
      </c>
      <c r="Z10" s="1">
        <v>12.088686224137801</v>
      </c>
      <c r="AA10" s="1">
        <v>3.5978968109774162E-2</v>
      </c>
      <c r="AB10" s="1">
        <v>0.11343544654400207</v>
      </c>
      <c r="AC10" s="1">
        <v>68.506546013069794</v>
      </c>
      <c r="AD10" s="1">
        <v>3.7691087650814801</v>
      </c>
      <c r="AE10" s="1">
        <v>6.0104481291395097E-2</v>
      </c>
      <c r="AF10" s="1">
        <v>56.373997835879003</v>
      </c>
      <c r="AG10" s="1">
        <v>15.3643312022802</v>
      </c>
      <c r="AH10" s="1">
        <v>1.03560947123765</v>
      </c>
    </row>
    <row r="11" spans="1:34" x14ac:dyDescent="0.3">
      <c r="A11" t="s">
        <v>375</v>
      </c>
      <c r="B11" t="s">
        <v>122</v>
      </c>
      <c r="C11" t="s">
        <v>376</v>
      </c>
      <c r="D11" t="s">
        <v>377</v>
      </c>
      <c r="E11" t="s">
        <v>378</v>
      </c>
      <c r="F11" t="s">
        <v>389</v>
      </c>
      <c r="G11">
        <v>6</v>
      </c>
      <c r="H11" t="s">
        <v>380</v>
      </c>
      <c r="I11" s="1">
        <v>-1.3317109017836337</v>
      </c>
      <c r="J11">
        <v>0.7</v>
      </c>
      <c r="K11" s="1">
        <v>52.966000000000001</v>
      </c>
      <c r="L11" s="1">
        <v>0</v>
      </c>
      <c r="M11" s="1">
        <v>46.448999999999998</v>
      </c>
      <c r="N11" s="1">
        <v>0</v>
      </c>
      <c r="O11" s="1">
        <v>100.753</v>
      </c>
      <c r="P11" s="1" t="s">
        <v>63</v>
      </c>
      <c r="R11" t="s">
        <v>389</v>
      </c>
      <c r="S11" s="1">
        <v>2.1132744685376701</v>
      </c>
      <c r="T11" s="1">
        <v>2.34033494655674</v>
      </c>
      <c r="U11" s="1">
        <v>0.69011903018083898</v>
      </c>
      <c r="V11" s="1">
        <v>7.8069393103629201</v>
      </c>
      <c r="W11" s="1">
        <v>0.25359889062107754</v>
      </c>
      <c r="X11" s="1">
        <v>10602.173204217501</v>
      </c>
      <c r="Y11" s="1">
        <v>2.0268192676046599</v>
      </c>
      <c r="Z11" s="1">
        <v>14.9983992804975</v>
      </c>
      <c r="AA11" s="1">
        <v>7.8747095436908873E-2</v>
      </c>
      <c r="AB11" s="1">
        <v>0.13544831338042487</v>
      </c>
      <c r="AC11" s="1">
        <v>93.400404847043205</v>
      </c>
      <c r="AD11" s="1">
        <v>0.28085018106697324</v>
      </c>
      <c r="AE11" s="1">
        <v>3.3727571885741756E-2</v>
      </c>
      <c r="AF11" s="1">
        <v>70.809303027851897</v>
      </c>
      <c r="AG11" s="1">
        <v>41.601431001901503</v>
      </c>
      <c r="AH11" s="1">
        <v>1.20074028478941</v>
      </c>
    </row>
    <row r="12" spans="1:34" x14ac:dyDescent="0.3">
      <c r="A12" t="s">
        <v>375</v>
      </c>
      <c r="B12" t="s">
        <v>122</v>
      </c>
      <c r="C12" t="s">
        <v>376</v>
      </c>
      <c r="D12" t="s">
        <v>377</v>
      </c>
      <c r="E12" t="s">
        <v>378</v>
      </c>
      <c r="F12" t="s">
        <v>390</v>
      </c>
      <c r="G12">
        <v>6</v>
      </c>
      <c r="H12" t="s">
        <v>391</v>
      </c>
      <c r="I12" s="1">
        <v>-5.346411471263135E-2</v>
      </c>
      <c r="J12">
        <v>0.7</v>
      </c>
      <c r="K12" s="1"/>
      <c r="L12" s="1"/>
      <c r="M12" s="1"/>
      <c r="N12" s="1"/>
      <c r="O12" s="1"/>
      <c r="R12" t="s">
        <v>390</v>
      </c>
      <c r="S12" s="1">
        <v>0.25575096742731901</v>
      </c>
      <c r="T12" s="1">
        <v>0.61916828085187348</v>
      </c>
      <c r="U12" s="1">
        <v>1.1373760464426099</v>
      </c>
      <c r="V12" s="1">
        <v>9.4958262288726054</v>
      </c>
      <c r="W12" s="1">
        <v>0.51804290950023735</v>
      </c>
      <c r="X12" s="1">
        <v>17279.050168845199</v>
      </c>
      <c r="Y12" s="1">
        <v>1.6068611838287179</v>
      </c>
      <c r="Z12" s="1">
        <v>19.9899884964764</v>
      </c>
      <c r="AA12" s="1">
        <v>8.91432887585136E-2</v>
      </c>
      <c r="AB12" s="1">
        <v>0.30387334561843449</v>
      </c>
      <c r="AC12" s="1">
        <v>105.038207723669</v>
      </c>
      <c r="AD12" s="1">
        <v>0.34717561722582707</v>
      </c>
      <c r="AE12" s="1">
        <v>6.7567356037577908E-2</v>
      </c>
      <c r="AF12" s="1">
        <v>131.144204616737</v>
      </c>
      <c r="AG12" s="1">
        <v>39.750263880216302</v>
      </c>
      <c r="AH12" s="1">
        <v>1.6713639178047725E-2</v>
      </c>
    </row>
    <row r="13" spans="1:34" x14ac:dyDescent="0.3">
      <c r="A13" t="s">
        <v>375</v>
      </c>
      <c r="B13" t="s">
        <v>122</v>
      </c>
      <c r="C13" t="s">
        <v>376</v>
      </c>
      <c r="D13" t="s">
        <v>377</v>
      </c>
      <c r="E13" t="s">
        <v>378</v>
      </c>
      <c r="F13" t="s">
        <v>392</v>
      </c>
      <c r="G13">
        <v>7</v>
      </c>
      <c r="H13" t="s">
        <v>391</v>
      </c>
      <c r="I13" s="1">
        <v>-1.2313899458319399</v>
      </c>
      <c r="J13">
        <v>0.7</v>
      </c>
      <c r="K13" s="1"/>
      <c r="L13" s="1"/>
      <c r="M13" s="1"/>
      <c r="N13" s="1"/>
      <c r="O13" s="1"/>
      <c r="R13" t="s">
        <v>392</v>
      </c>
      <c r="S13" s="1">
        <v>61.716181797702298</v>
      </c>
      <c r="T13" s="1">
        <v>5.4639192542562096</v>
      </c>
      <c r="U13" s="1">
        <v>9.8565776121924706</v>
      </c>
      <c r="V13" s="1">
        <v>14.907877628246</v>
      </c>
      <c r="W13" s="1">
        <v>0.50724651984921565</v>
      </c>
      <c r="X13" s="1">
        <v>10628.4318418983</v>
      </c>
      <c r="Y13" s="1">
        <v>28.5152025386815</v>
      </c>
      <c r="Z13" s="1">
        <v>27.767944963004801</v>
      </c>
      <c r="AA13" s="1">
        <v>0.27913528200280702</v>
      </c>
      <c r="AB13" s="1">
        <v>0.2954070275073738</v>
      </c>
      <c r="AC13" s="1">
        <v>99.504705573103394</v>
      </c>
      <c r="AD13" s="1">
        <v>7.9538457793696802</v>
      </c>
      <c r="AE13" s="1">
        <v>5.71827028907907E-2</v>
      </c>
      <c r="AF13" s="1">
        <v>58.030248013542</v>
      </c>
      <c r="AG13" s="1">
        <v>186.21236073591899</v>
      </c>
      <c r="AH13" s="1">
        <v>1.91688843688042</v>
      </c>
    </row>
    <row r="14" spans="1:34" x14ac:dyDescent="0.3">
      <c r="A14" t="s">
        <v>375</v>
      </c>
      <c r="B14" t="s">
        <v>122</v>
      </c>
      <c r="C14" t="s">
        <v>376</v>
      </c>
      <c r="D14" t="s">
        <v>377</v>
      </c>
      <c r="E14" t="s">
        <v>378</v>
      </c>
      <c r="F14" t="s">
        <v>393</v>
      </c>
      <c r="G14">
        <v>8</v>
      </c>
      <c r="H14" t="s">
        <v>380</v>
      </c>
      <c r="I14" s="1">
        <v>1.5971513227075462E-2</v>
      </c>
      <c r="J14">
        <v>0.7</v>
      </c>
      <c r="K14" s="1">
        <v>53.173000000000002</v>
      </c>
      <c r="L14" s="1">
        <v>7.0000000000000001E-3</v>
      </c>
      <c r="M14" s="1">
        <v>47.125999999999998</v>
      </c>
      <c r="N14" s="1">
        <v>2.5000000000000001E-2</v>
      </c>
      <c r="O14" s="1">
        <v>101.217</v>
      </c>
      <c r="P14" s="1" t="s">
        <v>65</v>
      </c>
      <c r="R14" t="s">
        <v>393</v>
      </c>
      <c r="S14" s="1">
        <v>29.531701548128101</v>
      </c>
      <c r="T14" s="1">
        <v>6.3863737221071499</v>
      </c>
      <c r="U14" s="1">
        <v>15.618976365264601</v>
      </c>
      <c r="V14" s="1">
        <v>5.8939873707167516</v>
      </c>
      <c r="W14" s="1">
        <v>0.33114812274957572</v>
      </c>
      <c r="X14" s="1">
        <v>13643.326485935801</v>
      </c>
      <c r="Y14" s="1">
        <v>5.8509364474037397</v>
      </c>
      <c r="Z14" s="1">
        <v>57.980121479709098</v>
      </c>
      <c r="AA14" s="1">
        <v>0.69481694457464904</v>
      </c>
      <c r="AB14" s="1">
        <v>0.25042846875594688</v>
      </c>
      <c r="AC14" s="1">
        <v>126.672024821552</v>
      </c>
      <c r="AD14" s="1">
        <v>34.752385243203697</v>
      </c>
      <c r="AE14" s="1">
        <v>0.27429964471171298</v>
      </c>
      <c r="AF14" s="1">
        <v>75.744906246128494</v>
      </c>
      <c r="AG14" s="1">
        <v>61.491282840488303</v>
      </c>
      <c r="AH14" s="1">
        <v>7.4029543345683697</v>
      </c>
    </row>
    <row r="15" spans="1:34" x14ac:dyDescent="0.3">
      <c r="A15" t="s">
        <v>375</v>
      </c>
      <c r="B15" t="s">
        <v>122</v>
      </c>
      <c r="C15" t="s">
        <v>376</v>
      </c>
      <c r="D15" t="s">
        <v>377</v>
      </c>
      <c r="E15" t="s">
        <v>378</v>
      </c>
      <c r="F15" t="s">
        <v>394</v>
      </c>
      <c r="G15">
        <v>9</v>
      </c>
      <c r="H15" t="s">
        <v>380</v>
      </c>
      <c r="I15" s="1">
        <v>-0.50975538403030818</v>
      </c>
      <c r="J15">
        <v>0.7</v>
      </c>
      <c r="K15" s="1">
        <v>53.432000000000002</v>
      </c>
      <c r="L15" s="1">
        <v>0</v>
      </c>
      <c r="M15" s="1">
        <v>46.503999999999998</v>
      </c>
      <c r="N15" s="1">
        <v>0</v>
      </c>
      <c r="O15" s="1">
        <v>101.22799999999999</v>
      </c>
      <c r="P15" s="1" t="s">
        <v>67</v>
      </c>
      <c r="R15" t="s">
        <v>394</v>
      </c>
      <c r="S15" s="1">
        <v>16.307354236537801</v>
      </c>
      <c r="T15" s="1">
        <v>21.635122720022999</v>
      </c>
      <c r="U15" s="1">
        <v>29.380444649112398</v>
      </c>
      <c r="V15" s="1">
        <v>7.0214905346988932</v>
      </c>
      <c r="W15" s="1">
        <v>0.50555555386259976</v>
      </c>
      <c r="X15" s="1">
        <v>11252.9438948559</v>
      </c>
      <c r="Y15" s="1">
        <v>5.7017723112111502</v>
      </c>
      <c r="Z15" s="1">
        <v>30.540045845512399</v>
      </c>
      <c r="AA15" s="1">
        <v>0.63084937026690902</v>
      </c>
      <c r="AB15" s="1">
        <v>0.24058114436510286</v>
      </c>
      <c r="AC15" s="1">
        <v>151.07461881222901</v>
      </c>
      <c r="AD15" s="1">
        <v>41.886538357994198</v>
      </c>
      <c r="AE15" s="1">
        <v>0.61824400861453699</v>
      </c>
      <c r="AF15" s="1">
        <v>76.558295696498206</v>
      </c>
      <c r="AG15" s="1">
        <v>91.260952663737498</v>
      </c>
      <c r="AH15" s="1">
        <v>13.975653224053801</v>
      </c>
    </row>
    <row r="16" spans="1:34" x14ac:dyDescent="0.3">
      <c r="A16" t="s">
        <v>375</v>
      </c>
      <c r="B16" t="s">
        <v>122</v>
      </c>
      <c r="C16" t="s">
        <v>376</v>
      </c>
      <c r="D16" t="s">
        <v>377</v>
      </c>
      <c r="E16" t="s">
        <v>378</v>
      </c>
      <c r="F16" t="s">
        <v>395</v>
      </c>
      <c r="G16">
        <v>10</v>
      </c>
      <c r="H16" t="s">
        <v>382</v>
      </c>
      <c r="I16" s="1">
        <v>-1.8470675429200778</v>
      </c>
      <c r="J16">
        <v>0.7</v>
      </c>
      <c r="K16" s="1">
        <v>53.901000000000003</v>
      </c>
      <c r="L16" s="1">
        <v>2.8000000000000001E-2</v>
      </c>
      <c r="M16" s="1">
        <v>46.984000000000002</v>
      </c>
      <c r="N16" s="1">
        <v>3.0000000000000001E-3</v>
      </c>
      <c r="O16" s="1">
        <v>100.97499999999999</v>
      </c>
      <c r="P16" s="1" t="s">
        <v>69</v>
      </c>
      <c r="R16" t="s">
        <v>395</v>
      </c>
      <c r="S16" s="1">
        <v>25.321281317461199</v>
      </c>
      <c r="T16" s="1">
        <v>4.5444615330492004</v>
      </c>
      <c r="U16" s="1">
        <v>21.711728549941299</v>
      </c>
      <c r="V16" s="1">
        <v>12.616060888453287</v>
      </c>
      <c r="W16" s="1">
        <v>0.34680649088958404</v>
      </c>
      <c r="X16" s="1">
        <v>5213.7560981453698</v>
      </c>
      <c r="Y16" s="1">
        <v>12.5996000407371</v>
      </c>
      <c r="Z16" s="1">
        <v>21.962757376024399</v>
      </c>
      <c r="AA16" s="1">
        <v>0.55698909405383101</v>
      </c>
      <c r="AB16" s="1">
        <v>0.53531148485770985</v>
      </c>
      <c r="AC16" s="1">
        <v>41.014405444122502</v>
      </c>
      <c r="AD16" s="1">
        <v>34.264121851863798</v>
      </c>
      <c r="AE16" s="1">
        <v>0.73231146839841799</v>
      </c>
      <c r="AF16" s="1">
        <v>32.879822037041997</v>
      </c>
      <c r="AG16" s="1">
        <v>50.597407781227098</v>
      </c>
      <c r="AH16" s="1">
        <v>14.2287213521677</v>
      </c>
    </row>
    <row r="17" spans="1:34" x14ac:dyDescent="0.3">
      <c r="A17" t="s">
        <v>375</v>
      </c>
      <c r="B17" t="s">
        <v>122</v>
      </c>
      <c r="C17" t="s">
        <v>376</v>
      </c>
      <c r="D17" t="s">
        <v>377</v>
      </c>
      <c r="E17" t="s">
        <v>378</v>
      </c>
      <c r="F17" t="s">
        <v>396</v>
      </c>
      <c r="G17">
        <v>11</v>
      </c>
      <c r="H17" t="s">
        <v>382</v>
      </c>
      <c r="I17" s="1">
        <v>-1.4342862612399809</v>
      </c>
      <c r="J17">
        <v>0.7</v>
      </c>
      <c r="K17" s="1">
        <v>53.762</v>
      </c>
      <c r="L17" s="1">
        <v>0</v>
      </c>
      <c r="M17" s="1">
        <v>46.646999999999998</v>
      </c>
      <c r="N17" s="1">
        <v>0</v>
      </c>
      <c r="O17" s="1">
        <v>100.539</v>
      </c>
      <c r="P17" s="1" t="s">
        <v>64</v>
      </c>
      <c r="R17" t="s">
        <v>396</v>
      </c>
      <c r="S17" s="1">
        <v>27.300180494545302</v>
      </c>
      <c r="T17" s="1">
        <v>8.1222011191464905</v>
      </c>
      <c r="U17" s="1">
        <v>2.1330141212065401</v>
      </c>
      <c r="V17" s="1">
        <v>15.67214025422251</v>
      </c>
      <c r="W17" s="1">
        <v>0.26706747343061782</v>
      </c>
      <c r="X17" s="1">
        <v>2176.6504013056001</v>
      </c>
      <c r="Y17" s="1">
        <v>10.445063570345001</v>
      </c>
      <c r="Z17" s="1">
        <v>7.2070686694167199</v>
      </c>
      <c r="AA17" s="1">
        <v>0.10326702547281086</v>
      </c>
      <c r="AB17" s="1">
        <v>0.27274184728125056</v>
      </c>
      <c r="AC17" s="1">
        <v>10.6619273817528</v>
      </c>
      <c r="AD17" s="1">
        <v>0.75181925481470602</v>
      </c>
      <c r="AE17" s="1">
        <v>6.7287410470354123E-2</v>
      </c>
      <c r="AF17" s="1">
        <v>18.717306372461099</v>
      </c>
      <c r="AG17" s="1">
        <v>9.6915758624645001</v>
      </c>
      <c r="AH17" s="1">
        <v>0.23725235147178</v>
      </c>
    </row>
    <row r="18" spans="1:34" x14ac:dyDescent="0.3">
      <c r="A18" t="s">
        <v>397</v>
      </c>
      <c r="B18" t="s">
        <v>120</v>
      </c>
      <c r="C18" t="s">
        <v>119</v>
      </c>
      <c r="D18" t="s">
        <v>398</v>
      </c>
      <c r="E18" t="s">
        <v>399</v>
      </c>
      <c r="F18" t="s">
        <v>400</v>
      </c>
      <c r="G18">
        <v>1</v>
      </c>
      <c r="H18" t="s">
        <v>382</v>
      </c>
      <c r="I18" s="1">
        <v>-10.510965651195692</v>
      </c>
      <c r="J18">
        <v>0.7</v>
      </c>
      <c r="K18" s="1">
        <v>54.325000000000003</v>
      </c>
      <c r="L18" s="1">
        <v>0.48299999999999998</v>
      </c>
      <c r="M18" s="1">
        <v>46.427</v>
      </c>
      <c r="N18" s="1">
        <v>1.2999999999999999E-2</v>
      </c>
      <c r="O18" s="1">
        <v>101.304</v>
      </c>
      <c r="P18" s="1" t="s">
        <v>14</v>
      </c>
      <c r="R18" t="s">
        <v>400</v>
      </c>
      <c r="S18" s="1">
        <v>0.17224124581620059</v>
      </c>
      <c r="T18" s="1">
        <v>1.1985304113273056</v>
      </c>
      <c r="U18" s="1">
        <v>12212.4109246726</v>
      </c>
      <c r="V18" s="1">
        <v>16.31225650414423</v>
      </c>
      <c r="W18" s="1">
        <v>0.27705654304373267</v>
      </c>
      <c r="X18" s="1">
        <v>4.2767998562032696</v>
      </c>
      <c r="Y18" s="1">
        <v>17.747071215735598</v>
      </c>
      <c r="Z18" s="1">
        <v>6.6428301427980001</v>
      </c>
      <c r="AA18" s="1">
        <v>1.0899492601071199</v>
      </c>
      <c r="AB18" s="1">
        <v>0.28528640055127052</v>
      </c>
      <c r="AC18" s="1">
        <v>0.1931015007459084</v>
      </c>
      <c r="AD18" s="1">
        <v>1.2096701639920899</v>
      </c>
      <c r="AE18" s="1">
        <v>7.0164355176232512E-2</v>
      </c>
      <c r="AF18" s="1">
        <v>0.52622829375573799</v>
      </c>
      <c r="AG18" s="1">
        <v>2.48235940319314</v>
      </c>
      <c r="AH18" s="1">
        <v>1.47388797059268</v>
      </c>
    </row>
    <row r="19" spans="1:34" x14ac:dyDescent="0.3">
      <c r="A19" t="s">
        <v>397</v>
      </c>
      <c r="B19" t="s">
        <v>120</v>
      </c>
      <c r="C19" t="s">
        <v>119</v>
      </c>
      <c r="D19" t="s">
        <v>398</v>
      </c>
      <c r="E19" t="s">
        <v>399</v>
      </c>
      <c r="F19" t="s">
        <v>401</v>
      </c>
      <c r="G19">
        <v>1</v>
      </c>
      <c r="H19" t="s">
        <v>391</v>
      </c>
      <c r="I19" s="1">
        <v>-9.3402539112911178</v>
      </c>
      <c r="J19">
        <v>0.7</v>
      </c>
      <c r="K19" s="1">
        <v>54.316000000000003</v>
      </c>
      <c r="L19" s="1">
        <v>1.9870000000000001</v>
      </c>
      <c r="M19" s="1">
        <v>45.420999999999999</v>
      </c>
      <c r="N19" s="1">
        <v>8.9999999999999993E-3</v>
      </c>
      <c r="O19" s="1">
        <v>101.84099999999999</v>
      </c>
      <c r="P19" s="1" t="s">
        <v>14</v>
      </c>
      <c r="R19" t="s">
        <v>401</v>
      </c>
      <c r="S19" s="1">
        <v>0.16135845415583799</v>
      </c>
      <c r="T19" s="1">
        <v>1.1888005604597109</v>
      </c>
      <c r="U19" s="1">
        <v>34505.630545678498</v>
      </c>
      <c r="V19" s="1">
        <v>6.7864569985170426</v>
      </c>
      <c r="W19" s="1">
        <v>0.25181189480960642</v>
      </c>
      <c r="X19" s="1">
        <v>1.6731170372541599</v>
      </c>
      <c r="Y19" s="1">
        <v>20.1910639231867</v>
      </c>
      <c r="Z19" s="1">
        <v>17.3975085089007</v>
      </c>
      <c r="AA19" s="1">
        <v>0.31699213722018199</v>
      </c>
      <c r="AB19" s="1">
        <v>0.50138332676067232</v>
      </c>
      <c r="AC19" s="1">
        <v>0.15369492479489755</v>
      </c>
      <c r="AD19" s="1">
        <v>1.84401785137893</v>
      </c>
      <c r="AE19" s="1">
        <v>0.38628926311439499</v>
      </c>
      <c r="AF19" s="1">
        <v>0.35464921998556398</v>
      </c>
      <c r="AG19" s="1">
        <v>1.4948640199876</v>
      </c>
      <c r="AH19" s="1">
        <v>1.302577413146</v>
      </c>
    </row>
    <row r="20" spans="1:34" x14ac:dyDescent="0.3">
      <c r="A20" t="s">
        <v>397</v>
      </c>
      <c r="B20" t="s">
        <v>120</v>
      </c>
      <c r="C20" t="s">
        <v>119</v>
      </c>
      <c r="D20" t="s">
        <v>398</v>
      </c>
      <c r="E20" t="s">
        <v>399</v>
      </c>
      <c r="F20" t="s">
        <v>402</v>
      </c>
      <c r="G20">
        <v>1</v>
      </c>
      <c r="H20" t="s">
        <v>391</v>
      </c>
      <c r="I20" s="1">
        <v>-9.0011916242090919</v>
      </c>
      <c r="J20">
        <v>0.7</v>
      </c>
      <c r="K20" s="1">
        <v>54.174999999999997</v>
      </c>
      <c r="L20" s="1">
        <v>0.33500000000000002</v>
      </c>
      <c r="M20" s="1">
        <v>46.828000000000003</v>
      </c>
      <c r="N20" s="1">
        <v>0</v>
      </c>
      <c r="O20" s="1">
        <v>101.521</v>
      </c>
      <c r="P20" s="1" t="s">
        <v>14</v>
      </c>
      <c r="R20" t="s">
        <v>402</v>
      </c>
      <c r="S20" s="1">
        <v>5.6163879114785002</v>
      </c>
      <c r="T20" s="1">
        <v>3.3414527248226</v>
      </c>
      <c r="U20" s="1">
        <v>10886.1210929511</v>
      </c>
      <c r="V20" s="1">
        <v>8.9507632627692999</v>
      </c>
      <c r="W20" s="1">
        <v>0.2377192152684533</v>
      </c>
      <c r="X20" s="1">
        <v>11.310830621931901</v>
      </c>
      <c r="Y20" s="1">
        <v>19.213325704261099</v>
      </c>
      <c r="Z20" s="1">
        <v>3.9678565833633801</v>
      </c>
      <c r="AA20" s="1">
        <v>20.9131385771502</v>
      </c>
      <c r="AB20" s="1">
        <v>0.56461964330787839</v>
      </c>
      <c r="AC20" s="1">
        <v>0.699659751892585</v>
      </c>
      <c r="AD20" s="1">
        <v>7.3900635084345501</v>
      </c>
      <c r="AE20" s="1">
        <v>0.10065188141955271</v>
      </c>
      <c r="AF20" s="1">
        <v>6.8134989082058999</v>
      </c>
      <c r="AG20" s="1">
        <v>10.5846660801071</v>
      </c>
      <c r="AH20" s="1">
        <v>14.5760358111432</v>
      </c>
    </row>
    <row r="21" spans="1:34" x14ac:dyDescent="0.3">
      <c r="A21" t="s">
        <v>397</v>
      </c>
      <c r="B21" t="s">
        <v>120</v>
      </c>
      <c r="C21" t="s">
        <v>119</v>
      </c>
      <c r="D21" t="s">
        <v>398</v>
      </c>
      <c r="E21" t="s">
        <v>399</v>
      </c>
      <c r="F21" t="s">
        <v>403</v>
      </c>
      <c r="G21">
        <v>1</v>
      </c>
      <c r="H21" t="s">
        <v>380</v>
      </c>
      <c r="I21" s="1">
        <v>-10.959141067897082</v>
      </c>
      <c r="J21">
        <v>0.7</v>
      </c>
      <c r="K21" s="1">
        <v>54.118000000000002</v>
      </c>
      <c r="L21" s="1">
        <v>1.6E-2</v>
      </c>
      <c r="M21" s="1">
        <v>46.936</v>
      </c>
      <c r="N21" s="1">
        <v>0</v>
      </c>
      <c r="O21" s="1">
        <v>101.23</v>
      </c>
      <c r="P21" s="1" t="s">
        <v>14</v>
      </c>
      <c r="R21" t="s">
        <v>403</v>
      </c>
      <c r="S21" s="1">
        <v>220.562737542739</v>
      </c>
      <c r="T21" s="1">
        <v>184.220533756506</v>
      </c>
      <c r="U21" s="1">
        <v>902.03601591179802</v>
      </c>
      <c r="V21" s="1">
        <v>15.810415479588583</v>
      </c>
      <c r="W21" s="1">
        <v>0.26355887992809635</v>
      </c>
      <c r="X21" s="1">
        <v>43.794074585016901</v>
      </c>
      <c r="Y21" s="1">
        <v>2.7233071121788583</v>
      </c>
      <c r="Z21" s="1">
        <v>8.0200511260387408</v>
      </c>
      <c r="AA21" s="1">
        <v>9.1738812889464292</v>
      </c>
      <c r="AB21" s="1">
        <v>0.43410396909955734</v>
      </c>
      <c r="AC21" s="1">
        <v>0.314865356812428</v>
      </c>
      <c r="AD21" s="1">
        <v>11.6946506554637</v>
      </c>
      <c r="AE21" s="1">
        <v>7.3608851363768699E-2</v>
      </c>
      <c r="AF21" s="1">
        <v>1.6851524068320001</v>
      </c>
      <c r="AG21" s="1">
        <v>3.4235237946472901</v>
      </c>
      <c r="AH21" s="1">
        <v>4.78119571768302</v>
      </c>
    </row>
    <row r="22" spans="1:34" x14ac:dyDescent="0.3">
      <c r="A22" t="s">
        <v>397</v>
      </c>
      <c r="B22" t="s">
        <v>120</v>
      </c>
      <c r="C22" t="s">
        <v>119</v>
      </c>
      <c r="D22" t="s">
        <v>398</v>
      </c>
      <c r="E22" t="s">
        <v>399</v>
      </c>
      <c r="F22" t="s">
        <v>404</v>
      </c>
      <c r="G22">
        <v>1</v>
      </c>
      <c r="H22" t="s">
        <v>391</v>
      </c>
      <c r="I22" s="1">
        <v>-9.1193223678468485</v>
      </c>
      <c r="J22">
        <v>0.7</v>
      </c>
      <c r="K22" s="1"/>
      <c r="L22" s="1"/>
      <c r="M22" s="1"/>
      <c r="N22" s="1"/>
      <c r="O22" s="1"/>
      <c r="R22" t="s">
        <v>404</v>
      </c>
      <c r="S22" s="1">
        <v>3.77514226320783</v>
      </c>
      <c r="T22" s="1">
        <v>3.8042997509843302</v>
      </c>
      <c r="U22" s="1">
        <v>14565.710403241599</v>
      </c>
      <c r="V22" s="1">
        <v>11.368078711320635</v>
      </c>
      <c r="W22" s="1">
        <v>0.42928692523183648</v>
      </c>
      <c r="X22" s="1">
        <v>12.516002775216499</v>
      </c>
      <c r="Y22" s="1">
        <v>23.651131238093701</v>
      </c>
      <c r="Z22" s="1">
        <v>4.5808257277665003</v>
      </c>
      <c r="AA22" s="1">
        <v>23.091710285543201</v>
      </c>
      <c r="AB22" s="1">
        <v>0.24527981782585415</v>
      </c>
      <c r="AC22" s="1">
        <v>0.96630323480071501</v>
      </c>
      <c r="AD22" s="1">
        <v>7.1257756228466302</v>
      </c>
      <c r="AE22" s="1">
        <v>8.3044958770473409E-2</v>
      </c>
      <c r="AF22" s="1">
        <v>7.6966870893403403</v>
      </c>
      <c r="AG22" s="1">
        <v>11.32851771678</v>
      </c>
      <c r="AH22" s="1">
        <v>16.2000766736404</v>
      </c>
    </row>
    <row r="23" spans="1:34" x14ac:dyDescent="0.3">
      <c r="A23" t="s">
        <v>397</v>
      </c>
      <c r="B23" t="s">
        <v>120</v>
      </c>
      <c r="C23" t="s">
        <v>119</v>
      </c>
      <c r="D23" t="s">
        <v>398</v>
      </c>
      <c r="E23" t="s">
        <v>399</v>
      </c>
      <c r="F23" t="s">
        <v>405</v>
      </c>
      <c r="G23">
        <v>1</v>
      </c>
      <c r="H23" t="s">
        <v>382</v>
      </c>
      <c r="I23" s="1">
        <v>-7.4984062480867308</v>
      </c>
      <c r="J23">
        <v>0.7</v>
      </c>
      <c r="K23" s="1"/>
      <c r="L23" s="1"/>
      <c r="M23" s="1"/>
      <c r="N23" s="1"/>
      <c r="O23" s="1"/>
      <c r="R23" t="s">
        <v>405</v>
      </c>
      <c r="S23" s="1">
        <v>5.3527139284219496</v>
      </c>
      <c r="T23" s="1">
        <v>2.8217586745181</v>
      </c>
      <c r="U23" s="1">
        <v>3249.16225054192</v>
      </c>
      <c r="V23" s="1">
        <v>17.619052544447101</v>
      </c>
      <c r="W23" s="1">
        <v>0.31272674625128843</v>
      </c>
      <c r="X23" s="1">
        <v>13.925528848634301</v>
      </c>
      <c r="Y23" s="1">
        <v>28.933292005650401</v>
      </c>
      <c r="Z23" s="1">
        <v>1.50518372710769</v>
      </c>
      <c r="AA23" s="1">
        <v>1.52772392123115</v>
      </c>
      <c r="AB23" s="1">
        <v>0.35906448770256227</v>
      </c>
      <c r="AC23" s="1">
        <v>0.27868274258175302</v>
      </c>
      <c r="AD23" s="1">
        <v>2.00124638714568</v>
      </c>
      <c r="AE23" s="1">
        <v>0.10019042916045479</v>
      </c>
      <c r="AF23" s="1">
        <v>0.401642266069066</v>
      </c>
      <c r="AG23" s="1">
        <v>25.110384617068799</v>
      </c>
      <c r="AH23" s="1">
        <v>0.248069540432378</v>
      </c>
    </row>
    <row r="24" spans="1:34" x14ac:dyDescent="0.3">
      <c r="A24" t="s">
        <v>397</v>
      </c>
      <c r="B24" t="s">
        <v>120</v>
      </c>
      <c r="C24" t="s">
        <v>119</v>
      </c>
      <c r="D24" t="s">
        <v>398</v>
      </c>
      <c r="E24" t="s">
        <v>399</v>
      </c>
      <c r="F24" t="s">
        <v>406</v>
      </c>
      <c r="G24">
        <v>2</v>
      </c>
      <c r="H24" t="s">
        <v>380</v>
      </c>
      <c r="I24" s="1">
        <v>-9.9552551873279818</v>
      </c>
      <c r="J24">
        <v>0.7</v>
      </c>
      <c r="K24" s="1">
        <v>54.23</v>
      </c>
      <c r="L24" s="1">
        <v>0.13900000000000001</v>
      </c>
      <c r="M24" s="1">
        <v>47.337000000000003</v>
      </c>
      <c r="N24" s="1">
        <v>0</v>
      </c>
      <c r="O24" s="1">
        <v>101.908</v>
      </c>
      <c r="P24" s="1" t="s">
        <v>14</v>
      </c>
      <c r="R24" t="s">
        <v>406</v>
      </c>
      <c r="S24" s="1">
        <v>2.44489024350219</v>
      </c>
      <c r="T24" s="1">
        <v>1.8457863233481899</v>
      </c>
      <c r="U24" s="1">
        <v>12991.3075454426</v>
      </c>
      <c r="V24" s="1">
        <v>12.035427679421336</v>
      </c>
      <c r="W24" s="1">
        <v>0.3699333156753094</v>
      </c>
      <c r="X24" s="1">
        <v>9.0604144105945501</v>
      </c>
      <c r="Y24" s="1">
        <v>25.4548863494175</v>
      </c>
      <c r="Z24" s="1">
        <v>8.8219311439299002</v>
      </c>
      <c r="AA24" s="1">
        <v>4.7558631037751704</v>
      </c>
      <c r="AB24" s="1">
        <v>0.46965547513281791</v>
      </c>
      <c r="AC24" s="1">
        <v>1.15626551823182</v>
      </c>
      <c r="AD24" s="1">
        <v>7.3505347758725597</v>
      </c>
      <c r="AE24" s="1">
        <v>4.856526762261635E-2</v>
      </c>
      <c r="AF24" s="1">
        <v>9.0862422954128697</v>
      </c>
      <c r="AG24" s="1">
        <v>22.041680891810099</v>
      </c>
      <c r="AH24" s="1">
        <v>9.9411713394730299</v>
      </c>
    </row>
    <row r="25" spans="1:34" x14ac:dyDescent="0.3">
      <c r="A25" t="s">
        <v>397</v>
      </c>
      <c r="B25" t="s">
        <v>120</v>
      </c>
      <c r="C25" t="s">
        <v>119</v>
      </c>
      <c r="D25" t="s">
        <v>398</v>
      </c>
      <c r="E25" t="s">
        <v>399</v>
      </c>
      <c r="F25" t="s">
        <v>407</v>
      </c>
      <c r="G25">
        <v>3</v>
      </c>
      <c r="H25" t="s">
        <v>380</v>
      </c>
      <c r="I25" s="1">
        <v>-12.177195281397047</v>
      </c>
      <c r="J25">
        <v>0.7</v>
      </c>
      <c r="K25" s="1">
        <v>53.779000000000003</v>
      </c>
      <c r="L25" s="1">
        <v>0.78900000000000003</v>
      </c>
      <c r="M25" s="1">
        <v>46.505000000000003</v>
      </c>
      <c r="N25" s="1">
        <v>0</v>
      </c>
      <c r="O25" s="1">
        <v>101.164</v>
      </c>
      <c r="P25" s="1" t="s">
        <v>14</v>
      </c>
      <c r="R25" t="s">
        <v>407</v>
      </c>
      <c r="S25" s="1">
        <v>0.65343556073542697</v>
      </c>
      <c r="T25" s="1">
        <v>1.3898328871472949</v>
      </c>
      <c r="U25" s="1">
        <v>8923.0299218058699</v>
      </c>
      <c r="V25" s="1">
        <v>22.942624597086802</v>
      </c>
      <c r="W25" s="1">
        <v>0.25310608095774673</v>
      </c>
      <c r="X25" s="1">
        <v>19.727470787905801</v>
      </c>
      <c r="Y25" s="1">
        <v>56.4181946182185</v>
      </c>
      <c r="Z25" s="1">
        <v>4.3804796844321201</v>
      </c>
      <c r="AA25" s="1">
        <v>8.8076797687424904</v>
      </c>
      <c r="AB25" s="1">
        <v>0.45341223130538832</v>
      </c>
      <c r="AC25" s="1">
        <v>1.6123090050766</v>
      </c>
      <c r="AD25" s="1">
        <v>5.5098518575909603</v>
      </c>
      <c r="AE25" s="1">
        <v>0.73172181898502497</v>
      </c>
      <c r="AF25" s="1">
        <v>6.0068306547860999</v>
      </c>
      <c r="AG25" s="1">
        <v>94.699283942862806</v>
      </c>
      <c r="AH25" s="1">
        <v>0.105375175464429</v>
      </c>
    </row>
    <row r="26" spans="1:34" x14ac:dyDescent="0.3">
      <c r="A26" t="s">
        <v>397</v>
      </c>
      <c r="B26" t="s">
        <v>120</v>
      </c>
      <c r="C26" t="s">
        <v>119</v>
      </c>
      <c r="D26" t="s">
        <v>398</v>
      </c>
      <c r="E26" t="s">
        <v>399</v>
      </c>
      <c r="F26" t="s">
        <v>408</v>
      </c>
      <c r="G26">
        <v>4</v>
      </c>
      <c r="H26" t="s">
        <v>380</v>
      </c>
      <c r="I26" s="1">
        <v>-12.188918179620533</v>
      </c>
      <c r="J26">
        <v>0.7</v>
      </c>
      <c r="K26" s="1">
        <v>54.322000000000003</v>
      </c>
      <c r="L26" s="1">
        <v>0.56200000000000006</v>
      </c>
      <c r="M26" s="1">
        <v>46.773000000000003</v>
      </c>
      <c r="N26" s="1">
        <v>0</v>
      </c>
      <c r="O26" s="1">
        <v>101.861</v>
      </c>
      <c r="P26" s="1" t="s">
        <v>14</v>
      </c>
      <c r="R26" t="s">
        <v>408</v>
      </c>
      <c r="S26" s="1">
        <v>4.0600186622982299</v>
      </c>
      <c r="T26" s="1">
        <v>1.2073136437415717</v>
      </c>
      <c r="U26" s="1">
        <v>5514.6455683394097</v>
      </c>
      <c r="V26" s="1">
        <v>8.0070559331284414</v>
      </c>
      <c r="W26" s="1">
        <v>0.30252692193321767</v>
      </c>
      <c r="X26" s="1">
        <v>11.2562121937119</v>
      </c>
      <c r="Y26" s="1">
        <v>45.019959204114798</v>
      </c>
      <c r="Z26" s="1">
        <v>4.0725067008182103</v>
      </c>
      <c r="AA26" s="1">
        <v>5.44366980824622</v>
      </c>
      <c r="AB26" s="1">
        <v>0.34791698782492364</v>
      </c>
      <c r="AC26" s="1">
        <v>0.67129143836996097</v>
      </c>
      <c r="AD26" s="1">
        <v>2.2403781511792999</v>
      </c>
      <c r="AE26" s="1">
        <v>0.11881002159738342</v>
      </c>
      <c r="AF26" s="1">
        <v>2.8819850118670902</v>
      </c>
      <c r="AG26" s="1">
        <v>33.874184875504397</v>
      </c>
      <c r="AH26" s="1">
        <v>0.115961282353693</v>
      </c>
    </row>
    <row r="27" spans="1:34" x14ac:dyDescent="0.3">
      <c r="A27" t="s">
        <v>397</v>
      </c>
      <c r="B27" t="s">
        <v>120</v>
      </c>
      <c r="C27" t="s">
        <v>119</v>
      </c>
      <c r="D27" t="s">
        <v>398</v>
      </c>
      <c r="E27" t="s">
        <v>399</v>
      </c>
      <c r="F27" t="s">
        <v>409</v>
      </c>
      <c r="G27">
        <v>5</v>
      </c>
      <c r="H27" t="s">
        <v>380</v>
      </c>
      <c r="I27" s="1">
        <v>-11.560390482556414</v>
      </c>
      <c r="J27">
        <v>0.7</v>
      </c>
      <c r="K27" s="1">
        <v>54.442999999999998</v>
      </c>
      <c r="L27" s="1">
        <v>1.52</v>
      </c>
      <c r="M27" s="1">
        <v>45.668999999999997</v>
      </c>
      <c r="N27" s="1">
        <v>2.9000000000000001E-2</v>
      </c>
      <c r="O27" s="1">
        <v>101.718</v>
      </c>
      <c r="P27" s="1" t="s">
        <v>14</v>
      </c>
      <c r="R27" t="s">
        <v>409</v>
      </c>
      <c r="S27" s="1">
        <v>193.96246139282701</v>
      </c>
      <c r="T27" s="1">
        <v>88.412857762972607</v>
      </c>
      <c r="U27" s="1">
        <v>20479.7857341165</v>
      </c>
      <c r="V27" s="1">
        <v>9.8916982138562286</v>
      </c>
      <c r="W27" s="1">
        <v>0.24873146681542113</v>
      </c>
      <c r="X27" s="1">
        <v>3.6188607937251902</v>
      </c>
      <c r="Y27" s="1">
        <v>51.999017114519802</v>
      </c>
      <c r="Z27" s="1">
        <v>8.3034885712768993</v>
      </c>
      <c r="AA27" s="1">
        <v>1.0215691392819299</v>
      </c>
      <c r="AB27" s="1">
        <v>0.51500317590911271</v>
      </c>
      <c r="AC27" s="1">
        <v>0.17218130951829891</v>
      </c>
      <c r="AD27" s="1">
        <v>5.3335192919887398</v>
      </c>
      <c r="AE27" s="1">
        <v>7.2687813479838159E-2</v>
      </c>
      <c r="AF27" s="1">
        <v>0.27437047461917502</v>
      </c>
      <c r="AG27" s="1">
        <v>1.33804902726015</v>
      </c>
      <c r="AH27" s="1">
        <v>0.326023311208192</v>
      </c>
    </row>
    <row r="28" spans="1:34" x14ac:dyDescent="0.3">
      <c r="A28" t="s">
        <v>397</v>
      </c>
      <c r="B28" t="s">
        <v>120</v>
      </c>
      <c r="C28" t="s">
        <v>119</v>
      </c>
      <c r="D28" t="s">
        <v>398</v>
      </c>
      <c r="E28" t="s">
        <v>399</v>
      </c>
      <c r="F28" t="s">
        <v>410</v>
      </c>
      <c r="G28">
        <v>5</v>
      </c>
      <c r="H28" t="s">
        <v>391</v>
      </c>
      <c r="I28" s="1">
        <v>-8.4898929093808473</v>
      </c>
      <c r="J28">
        <v>0.7</v>
      </c>
      <c r="K28" s="1">
        <v>54.03</v>
      </c>
      <c r="L28" s="1">
        <v>0.48599999999999999</v>
      </c>
      <c r="M28" s="1">
        <v>46.436</v>
      </c>
      <c r="N28" s="1">
        <v>0</v>
      </c>
      <c r="O28" s="1">
        <v>101.145</v>
      </c>
      <c r="P28" s="1" t="s">
        <v>14</v>
      </c>
      <c r="R28" t="s">
        <v>410</v>
      </c>
      <c r="S28" s="1">
        <v>0.43190276806665301</v>
      </c>
      <c r="T28" s="1">
        <v>0.90241068638095101</v>
      </c>
      <c r="U28" s="1">
        <v>8607.3895738722804</v>
      </c>
      <c r="V28" s="1">
        <v>10.103938893734192</v>
      </c>
      <c r="W28" s="1">
        <v>0.18752905790179433</v>
      </c>
      <c r="X28" s="1">
        <v>2.9076789533701501</v>
      </c>
      <c r="Y28" s="1">
        <v>43.735013956176402</v>
      </c>
      <c r="Z28" s="1">
        <v>9.1549346811439403</v>
      </c>
      <c r="AA28" s="1">
        <v>1.0270737006127799</v>
      </c>
      <c r="AB28" s="1">
        <v>0.33565109930246673</v>
      </c>
      <c r="AC28" s="1">
        <v>0.16422836429652779</v>
      </c>
      <c r="AD28" s="1">
        <v>6.2122764383554498</v>
      </c>
      <c r="AE28" s="1">
        <v>7.5976635133075107E-2</v>
      </c>
      <c r="AF28" s="1">
        <v>0.54604465366870802</v>
      </c>
      <c r="AG28" s="1">
        <v>1.790400699611</v>
      </c>
      <c r="AH28" s="1">
        <v>1.2229487291488801</v>
      </c>
    </row>
    <row r="29" spans="1:34" x14ac:dyDescent="0.3">
      <c r="A29" t="s">
        <v>397</v>
      </c>
      <c r="B29" t="s">
        <v>120</v>
      </c>
      <c r="C29" t="s">
        <v>119</v>
      </c>
      <c r="D29" t="s">
        <v>398</v>
      </c>
      <c r="E29" t="s">
        <v>399</v>
      </c>
      <c r="F29" t="s">
        <v>411</v>
      </c>
      <c r="G29">
        <v>5</v>
      </c>
      <c r="H29" t="s">
        <v>382</v>
      </c>
      <c r="I29" s="1">
        <v>-12.437128005469811</v>
      </c>
      <c r="J29">
        <v>0.7</v>
      </c>
      <c r="K29" s="1"/>
      <c r="L29" s="1"/>
      <c r="M29" s="1"/>
      <c r="N29" s="1"/>
      <c r="O29" s="1"/>
      <c r="R29" t="s">
        <v>411</v>
      </c>
      <c r="S29" s="1">
        <v>3.0376031234302299</v>
      </c>
      <c r="T29" s="1">
        <v>1.4300501840489499</v>
      </c>
      <c r="U29" s="1">
        <v>3428.2458090994</v>
      </c>
      <c r="V29" s="1">
        <v>10.162467247905612</v>
      </c>
      <c r="W29" s="1">
        <v>0.36199092642787495</v>
      </c>
      <c r="X29" s="1">
        <v>18.392963182192201</v>
      </c>
      <c r="Y29" s="1">
        <v>49.128762741970903</v>
      </c>
      <c r="Z29" s="1">
        <v>2.8559858139336298</v>
      </c>
      <c r="AA29" s="1">
        <v>2.7569277835716499</v>
      </c>
      <c r="AB29" s="1">
        <v>0.37582462675915751</v>
      </c>
      <c r="AC29" s="1">
        <v>0.27850940032999399</v>
      </c>
      <c r="AD29" s="1">
        <v>2.4164386447453601</v>
      </c>
      <c r="AE29" s="1">
        <v>0.13079416907215696</v>
      </c>
      <c r="AF29" s="1">
        <v>0.77343989413671699</v>
      </c>
      <c r="AG29" s="1">
        <v>61.107547132948497</v>
      </c>
      <c r="AH29" s="1">
        <v>3.0280351046973374E-2</v>
      </c>
    </row>
    <row r="30" spans="1:34" x14ac:dyDescent="0.3">
      <c r="A30" t="s">
        <v>397</v>
      </c>
      <c r="B30" t="s">
        <v>120</v>
      </c>
      <c r="C30" t="s">
        <v>119</v>
      </c>
      <c r="D30" t="s">
        <v>398</v>
      </c>
      <c r="E30" t="s">
        <v>399</v>
      </c>
      <c r="F30" t="s">
        <v>412</v>
      </c>
      <c r="G30">
        <v>6</v>
      </c>
      <c r="H30" t="s">
        <v>380</v>
      </c>
      <c r="I30" s="1">
        <v>-11.959870783560088</v>
      </c>
      <c r="J30">
        <v>0.7</v>
      </c>
      <c r="K30" s="1">
        <v>53.243000000000002</v>
      </c>
      <c r="L30" s="1">
        <v>1.444</v>
      </c>
      <c r="M30" s="1">
        <v>45.218000000000004</v>
      </c>
      <c r="N30" s="1">
        <v>1E-3</v>
      </c>
      <c r="O30" s="1">
        <v>100.01600000000001</v>
      </c>
      <c r="P30" s="1" t="s">
        <v>14</v>
      </c>
      <c r="R30" t="s">
        <v>412</v>
      </c>
      <c r="S30" s="1">
        <v>7.58720090975239</v>
      </c>
      <c r="T30" s="1">
        <v>3.3451668349783699</v>
      </c>
      <c r="U30" s="1">
        <v>12757.699283772199</v>
      </c>
      <c r="V30" s="1">
        <v>5.1327175150694018</v>
      </c>
      <c r="W30" s="1">
        <v>0.18249490010135402</v>
      </c>
      <c r="X30" s="1">
        <v>2.0685189115712399</v>
      </c>
      <c r="Y30" s="1">
        <v>20.673483597001201</v>
      </c>
      <c r="Z30" s="1">
        <v>7.21015866688</v>
      </c>
      <c r="AA30" s="1">
        <v>0.76190366245538799</v>
      </c>
      <c r="AB30" s="1">
        <v>0.2484996048757076</v>
      </c>
      <c r="AC30" s="1">
        <v>0.21570251312223701</v>
      </c>
      <c r="AD30" s="1">
        <v>3.3790835328505602</v>
      </c>
      <c r="AE30" s="1">
        <v>5.6467855345630001E-2</v>
      </c>
      <c r="AF30" s="1">
        <v>0.570314239676464</v>
      </c>
      <c r="AG30" s="1">
        <v>2.1567303007768701</v>
      </c>
      <c r="AH30" s="1">
        <v>1.37322498469774</v>
      </c>
    </row>
    <row r="31" spans="1:34" x14ac:dyDescent="0.3">
      <c r="A31" t="s">
        <v>397</v>
      </c>
      <c r="B31" t="s">
        <v>120</v>
      </c>
      <c r="C31" t="s">
        <v>119</v>
      </c>
      <c r="D31" t="s">
        <v>398</v>
      </c>
      <c r="E31" t="s">
        <v>399</v>
      </c>
      <c r="F31" t="s">
        <v>413</v>
      </c>
      <c r="G31">
        <v>6</v>
      </c>
      <c r="H31" t="s">
        <v>382</v>
      </c>
      <c r="I31" s="1">
        <v>-8.2455155694893811</v>
      </c>
      <c r="J31">
        <v>0.7</v>
      </c>
      <c r="K31" s="1">
        <v>53.537999999999997</v>
      </c>
      <c r="L31" s="1">
        <v>0.156</v>
      </c>
      <c r="M31" s="1">
        <v>46.554000000000002</v>
      </c>
      <c r="N31" s="1">
        <v>0</v>
      </c>
      <c r="O31" s="1">
        <v>100.354</v>
      </c>
      <c r="P31" s="1" t="s">
        <v>14</v>
      </c>
      <c r="R31" t="s">
        <v>413</v>
      </c>
      <c r="S31" s="1">
        <v>9.2938017315055905</v>
      </c>
      <c r="T31" s="1">
        <v>2.0293176955628698</v>
      </c>
      <c r="U31" s="1">
        <v>3921.61694443429</v>
      </c>
      <c r="V31" s="1">
        <v>4.144485817237646</v>
      </c>
      <c r="W31" s="1">
        <v>0.12804839647191968</v>
      </c>
      <c r="X31" s="1">
        <v>14.456726158601899</v>
      </c>
      <c r="Y31" s="1">
        <v>22.142179137189601</v>
      </c>
      <c r="Z31" s="1">
        <v>2.4235736621542499</v>
      </c>
      <c r="AA31" s="1">
        <v>1.5208331208077699</v>
      </c>
      <c r="AB31" s="1">
        <v>0.25992546383432014</v>
      </c>
      <c r="AC31" s="1">
        <v>0.98946895428262105</v>
      </c>
      <c r="AD31" s="1">
        <v>0.79520619129821302</v>
      </c>
      <c r="AE31" s="1">
        <v>6.4803093874110845E-2</v>
      </c>
      <c r="AF31" s="1">
        <v>0.41337379595130802</v>
      </c>
      <c r="AG31" s="1">
        <v>13.1107191069324</v>
      </c>
      <c r="AH31" s="1">
        <v>0.26933235001092498</v>
      </c>
    </row>
    <row r="32" spans="1:34" x14ac:dyDescent="0.3">
      <c r="A32" t="s">
        <v>246</v>
      </c>
      <c r="B32" t="s">
        <v>122</v>
      </c>
      <c r="C32" t="s">
        <v>247</v>
      </c>
      <c r="D32" t="s">
        <v>414</v>
      </c>
      <c r="E32" t="s">
        <v>415</v>
      </c>
      <c r="F32" t="s">
        <v>416</v>
      </c>
      <c r="G32">
        <v>1</v>
      </c>
      <c r="H32" t="s">
        <v>380</v>
      </c>
      <c r="I32" s="1">
        <v>-1.8754730270772457</v>
      </c>
      <c r="J32">
        <v>0.7</v>
      </c>
      <c r="K32" s="1">
        <v>52.594000000000001</v>
      </c>
      <c r="L32" s="1">
        <v>1.7999999999999999E-2</v>
      </c>
      <c r="M32" s="1">
        <v>46.148000000000003</v>
      </c>
      <c r="N32" s="1">
        <v>2.9000000000000001E-2</v>
      </c>
      <c r="O32" s="1">
        <v>99.123999999999995</v>
      </c>
      <c r="P32" t="s">
        <v>167</v>
      </c>
      <c r="R32" t="s">
        <v>416</v>
      </c>
      <c r="S32" s="1">
        <v>4.1375502067354381E-2</v>
      </c>
      <c r="T32" s="1">
        <v>0.25982920077478294</v>
      </c>
      <c r="U32" s="1">
        <v>7.5928077742168396</v>
      </c>
      <c r="V32" s="1">
        <v>10.274378163922901</v>
      </c>
      <c r="W32" s="1">
        <v>6.302254138333245E-2</v>
      </c>
      <c r="X32" s="1">
        <v>1284.1085325809099</v>
      </c>
      <c r="Y32" s="1">
        <v>1.5865031104936422</v>
      </c>
      <c r="Z32" s="1">
        <v>0.17374574027803699</v>
      </c>
      <c r="AA32" s="1">
        <v>0.140881802284473</v>
      </c>
      <c r="AB32" s="1">
        <v>0.12556802373599724</v>
      </c>
      <c r="AC32" s="1">
        <v>2.40644471928002</v>
      </c>
      <c r="AD32" s="1">
        <v>0.26441203952079917</v>
      </c>
      <c r="AE32" s="1">
        <v>3.6241783212704382E-2</v>
      </c>
      <c r="AF32" s="1">
        <v>27.1168828647853</v>
      </c>
      <c r="AG32" s="1">
        <v>21.787051495673001</v>
      </c>
      <c r="AH32" s="1">
        <v>1.8061434322601672E-2</v>
      </c>
    </row>
    <row r="33" spans="1:34" x14ac:dyDescent="0.3">
      <c r="A33" t="s">
        <v>246</v>
      </c>
      <c r="B33" t="s">
        <v>122</v>
      </c>
      <c r="C33" t="s">
        <v>247</v>
      </c>
      <c r="D33" t="s">
        <v>414</v>
      </c>
      <c r="E33" t="s">
        <v>415</v>
      </c>
      <c r="F33" t="s">
        <v>417</v>
      </c>
      <c r="G33">
        <v>2</v>
      </c>
      <c r="H33" t="s">
        <v>380</v>
      </c>
      <c r="I33" s="1">
        <v>-3.4174850241786014</v>
      </c>
      <c r="J33">
        <v>0.7</v>
      </c>
      <c r="K33" s="1">
        <v>52.826999999999998</v>
      </c>
      <c r="L33" s="1">
        <v>1E-3</v>
      </c>
      <c r="M33" s="1">
        <v>46.478000000000002</v>
      </c>
      <c r="N33" s="1">
        <v>0</v>
      </c>
      <c r="O33" s="1">
        <v>99.837000000000003</v>
      </c>
      <c r="P33" t="s">
        <v>168</v>
      </c>
      <c r="R33" t="s">
        <v>417</v>
      </c>
      <c r="S33" s="1">
        <v>7.9679194625902672E-2</v>
      </c>
      <c r="T33" s="1">
        <v>0.46473322939246448</v>
      </c>
      <c r="U33" s="1">
        <v>0.84563749252497999</v>
      </c>
      <c r="V33" s="1">
        <v>4.9808101864214507</v>
      </c>
      <c r="W33" s="1">
        <v>9.5045737228411531E-2</v>
      </c>
      <c r="X33" s="1">
        <v>770.65812181356296</v>
      </c>
      <c r="Y33" s="1">
        <v>0.99249043798581293</v>
      </c>
      <c r="Z33" s="1">
        <v>0.11738062984618362</v>
      </c>
      <c r="AA33" s="1">
        <v>3.5500923770694248E-2</v>
      </c>
      <c r="AB33" s="1">
        <v>0.12406567705706227</v>
      </c>
      <c r="AC33" s="1">
        <v>0.28444220433567502</v>
      </c>
      <c r="AD33" s="1">
        <v>0.24388039986147114</v>
      </c>
      <c r="AE33" s="1">
        <v>5.9521454653709963E-2</v>
      </c>
      <c r="AF33" s="1">
        <v>5.8743271906788399</v>
      </c>
      <c r="AG33" s="1">
        <v>2.1056950933223701</v>
      </c>
      <c r="AH33" s="1">
        <v>1.1711680502283453E-2</v>
      </c>
    </row>
    <row r="34" spans="1:34" x14ac:dyDescent="0.3">
      <c r="A34" t="s">
        <v>246</v>
      </c>
      <c r="B34" t="s">
        <v>122</v>
      </c>
      <c r="C34" t="s">
        <v>247</v>
      </c>
      <c r="D34" t="s">
        <v>414</v>
      </c>
      <c r="E34" t="s">
        <v>415</v>
      </c>
      <c r="F34" t="s">
        <v>418</v>
      </c>
      <c r="G34">
        <v>2</v>
      </c>
      <c r="H34" t="s">
        <v>382</v>
      </c>
      <c r="I34" s="1">
        <v>-1.0300717128767234</v>
      </c>
      <c r="J34">
        <v>0.7</v>
      </c>
      <c r="K34" s="1">
        <v>52.25</v>
      </c>
      <c r="L34" s="1">
        <v>3.5999999999999997E-2</v>
      </c>
      <c r="M34" s="1">
        <v>46.476999999999997</v>
      </c>
      <c r="N34" s="1">
        <v>1.7000000000000001E-2</v>
      </c>
      <c r="O34" s="1">
        <v>99.19</v>
      </c>
      <c r="P34" t="s">
        <v>169</v>
      </c>
      <c r="R34" t="s">
        <v>418</v>
      </c>
      <c r="S34" s="1">
        <v>5.2277775886298297E-2</v>
      </c>
      <c r="T34" s="1">
        <v>0.61352875646037996</v>
      </c>
      <c r="U34" s="1">
        <v>21.6753805990312</v>
      </c>
      <c r="V34" s="1">
        <v>4.6248451507334734</v>
      </c>
      <c r="W34" s="1">
        <v>0.18176961260582625</v>
      </c>
      <c r="X34" s="1">
        <v>1379.35360181229</v>
      </c>
      <c r="Y34" s="1">
        <v>1.3181369581959146</v>
      </c>
      <c r="Z34" s="1">
        <v>0.67012800751429802</v>
      </c>
      <c r="AA34" s="1">
        <v>0.163093603402273</v>
      </c>
      <c r="AB34" s="1">
        <v>0.21694367902312434</v>
      </c>
      <c r="AC34" s="1">
        <v>1.54880572182415</v>
      </c>
      <c r="AD34" s="1">
        <v>0.2991074853279207</v>
      </c>
      <c r="AE34" s="1">
        <v>3.2610622042489247E-2</v>
      </c>
      <c r="AF34" s="1">
        <v>24.786149347043601</v>
      </c>
      <c r="AG34" s="1">
        <v>33.226719491528897</v>
      </c>
      <c r="AH34" s="1">
        <v>1.3930364106803447E-2</v>
      </c>
    </row>
    <row r="35" spans="1:34" x14ac:dyDescent="0.3">
      <c r="A35" t="s">
        <v>246</v>
      </c>
      <c r="B35" t="s">
        <v>122</v>
      </c>
      <c r="C35" t="s">
        <v>247</v>
      </c>
      <c r="D35" t="s">
        <v>414</v>
      </c>
      <c r="E35" t="s">
        <v>415</v>
      </c>
      <c r="F35" t="s">
        <v>419</v>
      </c>
      <c r="G35">
        <v>3</v>
      </c>
      <c r="H35" t="s">
        <v>380</v>
      </c>
      <c r="I35" s="1">
        <v>-1.7453939448656142</v>
      </c>
      <c r="J35">
        <v>0.7</v>
      </c>
      <c r="K35" s="1">
        <v>53.091999999999999</v>
      </c>
      <c r="L35" s="1">
        <v>2.1000000000000001E-2</v>
      </c>
      <c r="M35" s="1">
        <v>47.088000000000001</v>
      </c>
      <c r="N35" s="1">
        <v>1.7999999999999999E-2</v>
      </c>
      <c r="O35" s="1">
        <v>100.64400000000001</v>
      </c>
      <c r="P35" t="s">
        <v>157</v>
      </c>
      <c r="R35" t="s">
        <v>419</v>
      </c>
      <c r="S35" s="1">
        <v>1.8675283180242433E-2</v>
      </c>
      <c r="T35" s="1">
        <v>0.23929677751951267</v>
      </c>
      <c r="U35" s="1">
        <v>6.1627996560547498</v>
      </c>
      <c r="V35" s="1">
        <v>14.508001391401599</v>
      </c>
      <c r="W35" s="1">
        <v>8.3651627679969698E-2</v>
      </c>
      <c r="X35" s="1">
        <v>902.72162952347196</v>
      </c>
      <c r="Y35" s="1">
        <v>0.700203208941516</v>
      </c>
      <c r="Z35" s="1">
        <v>5.9110013663009511E-2</v>
      </c>
      <c r="AA35" s="1">
        <v>0.190913633857662</v>
      </c>
      <c r="AB35" s="1">
        <v>7.9322075611190701E-2</v>
      </c>
      <c r="AC35" s="1">
        <v>0.59366995533665801</v>
      </c>
      <c r="AD35" s="1">
        <v>8.2769447173552224E-2</v>
      </c>
      <c r="AE35" s="1">
        <v>7.8876261321235694E-2</v>
      </c>
      <c r="AF35" s="1">
        <v>21.551464272434401</v>
      </c>
      <c r="AG35" s="1">
        <v>5.6135423486752902</v>
      </c>
      <c r="AH35" s="1">
        <v>6.1444523688992982E-3</v>
      </c>
    </row>
    <row r="36" spans="1:34" x14ac:dyDescent="0.3">
      <c r="A36" t="s">
        <v>246</v>
      </c>
      <c r="B36" t="s">
        <v>122</v>
      </c>
      <c r="C36" t="s">
        <v>247</v>
      </c>
      <c r="D36" t="s">
        <v>414</v>
      </c>
      <c r="E36" t="s">
        <v>415</v>
      </c>
      <c r="F36" t="s">
        <v>420</v>
      </c>
      <c r="G36">
        <v>4</v>
      </c>
      <c r="H36" t="s">
        <v>382</v>
      </c>
      <c r="I36" s="1">
        <v>-2.0096100355970758</v>
      </c>
      <c r="J36">
        <v>0.7</v>
      </c>
      <c r="K36" s="1">
        <v>52.341999999999999</v>
      </c>
      <c r="L36" s="1">
        <v>0.05</v>
      </c>
      <c r="M36" s="1">
        <v>46.311999999999998</v>
      </c>
      <c r="N36" s="1">
        <v>2.5999999999999999E-2</v>
      </c>
      <c r="O36" s="1">
        <v>99.263999999999996</v>
      </c>
      <c r="P36" t="s">
        <v>166</v>
      </c>
      <c r="R36" t="s">
        <v>420</v>
      </c>
      <c r="S36" s="1">
        <v>1.9448283143132763E-2</v>
      </c>
      <c r="T36" s="1">
        <v>0.14687662390487033</v>
      </c>
      <c r="U36" s="1">
        <v>3.70374260243352</v>
      </c>
      <c r="V36" s="1">
        <v>3.1989501091002501</v>
      </c>
      <c r="W36" s="1">
        <v>3.2305733863284995E-2</v>
      </c>
      <c r="X36" s="1">
        <v>524.85578190212595</v>
      </c>
      <c r="Y36" s="1">
        <v>0.32054044873695736</v>
      </c>
      <c r="Z36" s="1">
        <v>3.0797196288139126E-2</v>
      </c>
      <c r="AA36" s="1">
        <v>0.131948384984031</v>
      </c>
      <c r="AB36" s="1">
        <v>7.2202712604423833E-2</v>
      </c>
      <c r="AC36" s="1">
        <v>0.48705251213241202</v>
      </c>
      <c r="AD36" s="1">
        <v>0.12382509191532308</v>
      </c>
      <c r="AE36" s="1">
        <v>1.7596909758617402E-2</v>
      </c>
      <c r="AF36" s="1">
        <v>3.1334562529436898</v>
      </c>
      <c r="AG36" s="1">
        <v>5.2042091463387701</v>
      </c>
      <c r="AH36" s="1">
        <v>9.1432311800177801E-3</v>
      </c>
    </row>
    <row r="37" spans="1:34" x14ac:dyDescent="0.3">
      <c r="A37" t="s">
        <v>246</v>
      </c>
      <c r="B37" t="s">
        <v>122</v>
      </c>
      <c r="C37" t="s">
        <v>247</v>
      </c>
      <c r="D37" t="s">
        <v>414</v>
      </c>
      <c r="E37" t="s">
        <v>415</v>
      </c>
      <c r="F37" t="s">
        <v>421</v>
      </c>
      <c r="G37">
        <v>5</v>
      </c>
      <c r="H37" t="s">
        <v>380</v>
      </c>
      <c r="I37" s="1">
        <v>-1.8200147008656797</v>
      </c>
      <c r="J37">
        <v>0.7</v>
      </c>
      <c r="K37" s="1">
        <v>52.372</v>
      </c>
      <c r="L37" s="1">
        <v>3.5000000000000003E-2</v>
      </c>
      <c r="M37" s="1">
        <v>46.787999999999997</v>
      </c>
      <c r="N37" s="1">
        <v>0</v>
      </c>
      <c r="O37" s="1">
        <v>99.872</v>
      </c>
      <c r="P37" t="s">
        <v>163</v>
      </c>
      <c r="R37" t="s">
        <v>421</v>
      </c>
      <c r="S37" s="1">
        <v>3.1965479867614464E-2</v>
      </c>
      <c r="T37" s="1">
        <v>0.20481661044495197</v>
      </c>
      <c r="U37" s="1">
        <v>3.42281854779527</v>
      </c>
      <c r="V37" s="1">
        <v>2.9684992300255408</v>
      </c>
      <c r="W37" s="1">
        <v>0.17366737672447533</v>
      </c>
      <c r="X37" s="1">
        <v>1217.5261406340801</v>
      </c>
      <c r="Y37" s="1">
        <v>0.76118498253839095</v>
      </c>
      <c r="Z37" s="1">
        <v>0.14464354562972401</v>
      </c>
      <c r="AA37" s="1">
        <v>2.5247450876486291E-2</v>
      </c>
      <c r="AB37" s="1">
        <v>0.10729455803436633</v>
      </c>
      <c r="AC37" s="1">
        <v>0.40076372707350899</v>
      </c>
      <c r="AD37" s="1">
        <v>0.14324704240279959</v>
      </c>
      <c r="AE37" s="1">
        <v>1.7610794136156502E-2</v>
      </c>
      <c r="AF37" s="1">
        <v>17.975050900623</v>
      </c>
      <c r="AG37" s="1">
        <v>1.8272571194862199</v>
      </c>
      <c r="AH37" s="1">
        <v>6.0152983997445158E-3</v>
      </c>
    </row>
    <row r="38" spans="1:34" x14ac:dyDescent="0.3">
      <c r="A38" t="s">
        <v>246</v>
      </c>
      <c r="B38" t="s">
        <v>122</v>
      </c>
      <c r="C38" t="s">
        <v>247</v>
      </c>
      <c r="D38" t="s">
        <v>414</v>
      </c>
      <c r="E38" t="s">
        <v>415</v>
      </c>
      <c r="F38" t="s">
        <v>422</v>
      </c>
      <c r="G38">
        <v>6</v>
      </c>
      <c r="H38" t="s">
        <v>382</v>
      </c>
      <c r="I38" s="1">
        <v>-2.0098354759474635</v>
      </c>
      <c r="J38">
        <v>0.7</v>
      </c>
      <c r="K38" s="1">
        <v>52.988999999999997</v>
      </c>
      <c r="L38" s="1">
        <v>0.24399999999999999</v>
      </c>
      <c r="M38" s="1">
        <v>46.341999999999999</v>
      </c>
      <c r="N38" s="1">
        <v>0</v>
      </c>
      <c r="O38" s="1">
        <v>100.682</v>
      </c>
      <c r="P38" t="s">
        <v>158</v>
      </c>
      <c r="R38" t="s">
        <v>422</v>
      </c>
      <c r="S38" s="1">
        <v>3.567249948959085E-2</v>
      </c>
      <c r="T38" s="1">
        <v>0.34307803974990675</v>
      </c>
      <c r="U38" s="1">
        <v>8.0089852930088092</v>
      </c>
      <c r="V38" s="1">
        <v>3.9656421333494101</v>
      </c>
      <c r="W38" s="1">
        <v>8.4885916673098971E-2</v>
      </c>
      <c r="X38" s="1">
        <v>1531.9665310185101</v>
      </c>
      <c r="Y38" s="1">
        <v>0.57043973870310738</v>
      </c>
      <c r="Z38" s="1">
        <v>0.66093890290903801</v>
      </c>
      <c r="AA38" s="1">
        <v>0.10585537671071001</v>
      </c>
      <c r="AB38" s="1">
        <v>0.10035527151226041</v>
      </c>
      <c r="AC38" s="1">
        <v>1.00904446276071</v>
      </c>
      <c r="AD38" s="1">
        <v>0.1022183555725955</v>
      </c>
      <c r="AE38" s="1">
        <v>3.5209428008782476E-2</v>
      </c>
      <c r="AF38" s="1">
        <v>20.692391282649801</v>
      </c>
      <c r="AG38" s="1">
        <v>22.157158849792399</v>
      </c>
      <c r="AH38" s="1">
        <v>8.9001186682430566E-3</v>
      </c>
    </row>
    <row r="39" spans="1:34" x14ac:dyDescent="0.3">
      <c r="A39" t="s">
        <v>246</v>
      </c>
      <c r="B39" t="s">
        <v>122</v>
      </c>
      <c r="C39" t="s">
        <v>247</v>
      </c>
      <c r="D39" t="s">
        <v>414</v>
      </c>
      <c r="E39" t="s">
        <v>415</v>
      </c>
      <c r="F39" t="s">
        <v>423</v>
      </c>
      <c r="G39">
        <v>7</v>
      </c>
      <c r="H39" t="s">
        <v>382</v>
      </c>
      <c r="I39" s="1">
        <v>0.47384086499802081</v>
      </c>
      <c r="J39">
        <v>0.7</v>
      </c>
      <c r="K39" s="1"/>
      <c r="L39" s="1"/>
      <c r="M39" s="1"/>
      <c r="N39" s="1"/>
      <c r="O39" s="1"/>
      <c r="R39" t="s">
        <v>423</v>
      </c>
      <c r="S39" s="1">
        <v>0.160122782171123</v>
      </c>
      <c r="T39" s="1">
        <v>0.66122383801899121</v>
      </c>
      <c r="U39" s="1">
        <v>53.556084317056602</v>
      </c>
      <c r="V39" s="1">
        <v>17.026146223293001</v>
      </c>
      <c r="W39" s="1">
        <v>0.15957100315019596</v>
      </c>
      <c r="X39" s="1">
        <v>1815.2804992253</v>
      </c>
      <c r="Y39" s="1">
        <v>1.581178017010185</v>
      </c>
      <c r="Z39" s="1">
        <v>17.914275104421399</v>
      </c>
      <c r="AA39" s="1">
        <v>0.21169957672297601</v>
      </c>
      <c r="AB39" s="1">
        <v>0.22255321454080038</v>
      </c>
      <c r="AC39" s="1">
        <v>3.6882602930341601</v>
      </c>
      <c r="AD39" s="1">
        <v>0.49757745498076567</v>
      </c>
      <c r="AE39" s="1">
        <v>4.0756027025835521E-2</v>
      </c>
      <c r="AF39" s="1">
        <v>61.235431432263901</v>
      </c>
      <c r="AG39" s="1">
        <v>80.767238529535803</v>
      </c>
      <c r="AH39" s="1">
        <v>1.4035924011711512E-2</v>
      </c>
    </row>
    <row r="40" spans="1:34" x14ac:dyDescent="0.3">
      <c r="A40" t="s">
        <v>246</v>
      </c>
      <c r="B40" t="s">
        <v>122</v>
      </c>
      <c r="C40" t="s">
        <v>247</v>
      </c>
      <c r="D40" t="s">
        <v>414</v>
      </c>
      <c r="E40" t="s">
        <v>415</v>
      </c>
      <c r="F40" t="s">
        <v>424</v>
      </c>
      <c r="G40">
        <v>7</v>
      </c>
      <c r="H40" t="s">
        <v>380</v>
      </c>
      <c r="I40" s="1">
        <v>-0.60601841367380338</v>
      </c>
      <c r="J40">
        <v>0.7</v>
      </c>
      <c r="K40" s="1"/>
      <c r="L40" s="1"/>
      <c r="M40" s="1"/>
      <c r="N40" s="1"/>
      <c r="O40" s="1"/>
      <c r="R40" t="s">
        <v>424</v>
      </c>
      <c r="S40" s="1">
        <v>0.149071918052184</v>
      </c>
      <c r="T40" s="1">
        <v>0.45900061912763862</v>
      </c>
      <c r="U40" s="1">
        <v>68.705999503262106</v>
      </c>
      <c r="V40" s="1">
        <v>36.057597983836501</v>
      </c>
      <c r="W40" s="1">
        <v>0.11267340714037156</v>
      </c>
      <c r="X40" s="1">
        <v>2743.0343631852802</v>
      </c>
      <c r="Y40" s="1">
        <v>1.2972225070253587</v>
      </c>
      <c r="Z40" s="1">
        <v>6.5706340878906202</v>
      </c>
      <c r="AA40" s="1">
        <v>1.0472722528212199</v>
      </c>
      <c r="AB40" s="1">
        <v>0.20819720895234536</v>
      </c>
      <c r="AC40" s="1">
        <v>4.7455447927184</v>
      </c>
      <c r="AD40" s="1">
        <v>0.26528109081739165</v>
      </c>
      <c r="AE40" s="1">
        <v>6.4955691017278022E-2</v>
      </c>
      <c r="AF40" s="1">
        <v>53.123932301185903</v>
      </c>
      <c r="AG40" s="1">
        <v>92.776762855993695</v>
      </c>
      <c r="AH40" s="1">
        <v>9.9499456537368598E-3</v>
      </c>
    </row>
    <row r="41" spans="1:34" x14ac:dyDescent="0.3">
      <c r="A41" t="s">
        <v>246</v>
      </c>
      <c r="B41" t="s">
        <v>122</v>
      </c>
      <c r="C41" t="s">
        <v>247</v>
      </c>
      <c r="D41" t="s">
        <v>414</v>
      </c>
      <c r="E41" t="s">
        <v>415</v>
      </c>
      <c r="F41" t="s">
        <v>425</v>
      </c>
      <c r="G41">
        <v>8</v>
      </c>
      <c r="H41" t="s">
        <v>382</v>
      </c>
      <c r="I41" s="1">
        <v>-0.8007988764657803</v>
      </c>
      <c r="J41">
        <v>0.7</v>
      </c>
      <c r="K41" s="1"/>
      <c r="L41" s="1"/>
      <c r="M41" s="1"/>
      <c r="N41" s="1"/>
      <c r="O41" s="1"/>
      <c r="R41" t="s">
        <v>425</v>
      </c>
      <c r="S41" s="1">
        <v>5.3287849458928511E-2</v>
      </c>
      <c r="T41" s="1">
        <v>0.38432338562223728</v>
      </c>
      <c r="U41" s="1">
        <v>38.478139445109903</v>
      </c>
      <c r="V41" s="1">
        <v>37.552732286332599</v>
      </c>
      <c r="W41" s="1">
        <v>0.13213734504589145</v>
      </c>
      <c r="X41" s="1">
        <v>3447.9410030505201</v>
      </c>
      <c r="Y41" s="1">
        <v>1.4637552976033121</v>
      </c>
      <c r="Z41" s="1">
        <v>1.49128452101875</v>
      </c>
      <c r="AA41" s="1">
        <v>0.45393490735837</v>
      </c>
      <c r="AB41" s="1">
        <v>0.19923134301420012</v>
      </c>
      <c r="AC41" s="1">
        <v>4.4156481106118397</v>
      </c>
      <c r="AD41" s="1">
        <v>0.19843029369926635</v>
      </c>
      <c r="AE41" s="1">
        <v>4.2487285318155293E-2</v>
      </c>
      <c r="AF41" s="1">
        <v>80.978981062951505</v>
      </c>
      <c r="AG41" s="1">
        <v>53.198808856878998</v>
      </c>
      <c r="AH41" s="1">
        <v>2.71466461123764E-2</v>
      </c>
    </row>
    <row r="42" spans="1:34" x14ac:dyDescent="0.3">
      <c r="A42" t="s">
        <v>246</v>
      </c>
      <c r="B42" t="s">
        <v>122</v>
      </c>
      <c r="C42" t="s">
        <v>247</v>
      </c>
      <c r="D42" t="s">
        <v>414</v>
      </c>
      <c r="E42" t="s">
        <v>415</v>
      </c>
      <c r="F42" t="s">
        <v>426</v>
      </c>
      <c r="G42">
        <v>8</v>
      </c>
      <c r="H42" t="s">
        <v>380</v>
      </c>
      <c r="I42" s="1">
        <v>-2.0679990863645692</v>
      </c>
      <c r="J42">
        <v>0.7</v>
      </c>
      <c r="K42" s="1"/>
      <c r="L42" s="1"/>
      <c r="M42" s="1"/>
      <c r="N42" s="1"/>
      <c r="O42" s="1"/>
      <c r="R42" t="s">
        <v>426</v>
      </c>
      <c r="S42" s="1">
        <v>5.7188740531135249E-2</v>
      </c>
      <c r="T42" s="1">
        <v>0.42119557650710393</v>
      </c>
      <c r="U42" s="1">
        <v>12.8468799262152</v>
      </c>
      <c r="V42" s="1">
        <v>26.649828515635299</v>
      </c>
      <c r="W42" s="1">
        <v>0.12680569209310721</v>
      </c>
      <c r="X42" s="1">
        <v>1570.7247635112001</v>
      </c>
      <c r="Y42" s="1">
        <v>1.0339826890506769</v>
      </c>
      <c r="Z42" s="1">
        <v>0.55380110123394399</v>
      </c>
      <c r="AA42" s="1">
        <v>0.12934131288399001</v>
      </c>
      <c r="AB42" s="1">
        <v>0.13794431917032673</v>
      </c>
      <c r="AC42" s="1">
        <v>2.0554407929777399</v>
      </c>
      <c r="AD42" s="1">
        <v>0.17993423498565164</v>
      </c>
      <c r="AE42" s="1">
        <v>3.5140549399915122E-2</v>
      </c>
      <c r="AF42" s="1">
        <v>55.408320486648599</v>
      </c>
      <c r="AG42" s="1">
        <v>22.309196227608201</v>
      </c>
      <c r="AH42" s="1">
        <v>1.3296012571645329E-2</v>
      </c>
    </row>
    <row r="43" spans="1:34" x14ac:dyDescent="0.3">
      <c r="A43" t="s">
        <v>427</v>
      </c>
      <c r="B43" t="s">
        <v>120</v>
      </c>
      <c r="C43" t="s">
        <v>250</v>
      </c>
      <c r="D43" t="s">
        <v>398</v>
      </c>
      <c r="E43" t="s">
        <v>428</v>
      </c>
      <c r="F43" t="s">
        <v>429</v>
      </c>
      <c r="G43">
        <v>1</v>
      </c>
      <c r="H43" t="s">
        <v>382</v>
      </c>
      <c r="I43" s="1">
        <v>-5.4130830063924273</v>
      </c>
      <c r="J43">
        <v>0.7</v>
      </c>
      <c r="K43" s="1"/>
      <c r="L43" s="1"/>
      <c r="M43" s="1"/>
      <c r="N43" s="1"/>
      <c r="O43" s="1"/>
      <c r="R43" t="s">
        <v>429</v>
      </c>
      <c r="S43" s="1">
        <v>9.1575123138613499</v>
      </c>
      <c r="T43" s="1">
        <v>0.42302980183452599</v>
      </c>
      <c r="U43" s="1">
        <v>3.97432099888236</v>
      </c>
      <c r="V43" s="1">
        <v>10.665050369450499</v>
      </c>
      <c r="W43" s="1">
        <v>4.1408339525454821E-2</v>
      </c>
      <c r="X43" s="1">
        <v>486.377441456329</v>
      </c>
      <c r="Y43" s="1">
        <v>11.1902294016783</v>
      </c>
      <c r="Z43" s="1">
        <v>10.0332502011124</v>
      </c>
      <c r="AA43" s="1">
        <v>0.13702357340724999</v>
      </c>
      <c r="AB43" s="1">
        <v>0.14725080745661601</v>
      </c>
      <c r="AC43" s="1">
        <v>3.31349785653858</v>
      </c>
      <c r="AD43" s="1">
        <v>15.878411621401</v>
      </c>
      <c r="AE43" s="1">
        <v>0.10228596605469401</v>
      </c>
      <c r="AF43" s="1">
        <v>6.2836387924018</v>
      </c>
      <c r="AG43" s="1">
        <v>125.31054941187899</v>
      </c>
      <c r="AH43" s="1">
        <v>3.8912845633258543E-3</v>
      </c>
    </row>
    <row r="44" spans="1:34" x14ac:dyDescent="0.3">
      <c r="A44" t="s">
        <v>427</v>
      </c>
      <c r="B44" t="s">
        <v>120</v>
      </c>
      <c r="C44" t="s">
        <v>250</v>
      </c>
      <c r="D44" t="s">
        <v>398</v>
      </c>
      <c r="E44" t="s">
        <v>428</v>
      </c>
      <c r="F44" t="s">
        <v>430</v>
      </c>
      <c r="G44">
        <v>1</v>
      </c>
      <c r="H44" t="s">
        <v>380</v>
      </c>
      <c r="I44" s="1">
        <v>-5.6883456742959915</v>
      </c>
      <c r="J44">
        <v>0.7</v>
      </c>
      <c r="K44" s="1"/>
      <c r="L44" s="1"/>
      <c r="M44" s="1"/>
      <c r="N44" s="1"/>
      <c r="O44" s="1"/>
      <c r="R44" t="s">
        <v>430</v>
      </c>
      <c r="S44" s="1">
        <v>12.749095443894699</v>
      </c>
      <c r="T44" s="1">
        <v>0.26094811203784501</v>
      </c>
      <c r="U44" s="1">
        <v>3.9207497567811598</v>
      </c>
      <c r="V44" s="1">
        <v>25.188203631892801</v>
      </c>
      <c r="W44" s="1">
        <v>3.9579043452048053E-2</v>
      </c>
      <c r="X44" s="1">
        <v>524.81342999336402</v>
      </c>
      <c r="Y44" s="1">
        <v>8.0707314595567698</v>
      </c>
      <c r="Z44" s="1">
        <v>12.8256316081698</v>
      </c>
      <c r="AA44" s="1">
        <v>0.132601750052492</v>
      </c>
      <c r="AB44" s="1">
        <v>0.21199599173786801</v>
      </c>
      <c r="AC44" s="1">
        <v>3.12165855517976</v>
      </c>
      <c r="AD44" s="1">
        <v>14.9681775874853</v>
      </c>
      <c r="AE44" s="1">
        <v>8.96549538158984E-2</v>
      </c>
      <c r="AF44" s="1">
        <v>11.9946089302088</v>
      </c>
      <c r="AG44" s="1">
        <v>92.1619716572405</v>
      </c>
      <c r="AH44" s="1">
        <v>4.4168805616216491E-3</v>
      </c>
    </row>
    <row r="45" spans="1:34" x14ac:dyDescent="0.3">
      <c r="A45" t="s">
        <v>427</v>
      </c>
      <c r="B45" t="s">
        <v>120</v>
      </c>
      <c r="C45" t="s">
        <v>250</v>
      </c>
      <c r="D45" t="s">
        <v>398</v>
      </c>
      <c r="E45" t="s">
        <v>428</v>
      </c>
      <c r="F45" t="s">
        <v>431</v>
      </c>
      <c r="G45">
        <v>2</v>
      </c>
      <c r="H45" t="s">
        <v>380</v>
      </c>
      <c r="I45" s="1">
        <v>-6.089404057752712</v>
      </c>
      <c r="J45">
        <v>0.7</v>
      </c>
      <c r="K45" s="1"/>
      <c r="L45" s="1"/>
      <c r="M45" s="1"/>
      <c r="N45" s="1"/>
      <c r="O45" s="1"/>
      <c r="R45" t="s">
        <v>431</v>
      </c>
      <c r="S45" s="1">
        <v>5.2052869792565204</v>
      </c>
      <c r="T45" s="1">
        <v>0.64795637645220805</v>
      </c>
      <c r="U45" s="1">
        <v>5.0687414497832002</v>
      </c>
      <c r="V45" s="1">
        <v>34.129276306863801</v>
      </c>
      <c r="W45" s="1">
        <v>5.7349750247988919E-2</v>
      </c>
      <c r="X45" s="1">
        <v>669.07342575313999</v>
      </c>
      <c r="Y45" s="1">
        <v>6.22585432294004</v>
      </c>
      <c r="Z45" s="1">
        <v>2.82883575946359</v>
      </c>
      <c r="AA45" s="1">
        <v>0.256994099938335</v>
      </c>
      <c r="AB45" s="1">
        <v>0.25627102494083698</v>
      </c>
      <c r="AC45" s="1">
        <v>2.5331938791750401</v>
      </c>
      <c r="AD45" s="1">
        <v>4.4499588668156402</v>
      </c>
      <c r="AE45" s="1">
        <v>8.48883502021439E-2</v>
      </c>
      <c r="AF45" s="1">
        <v>2.6931601156081402</v>
      </c>
      <c r="AG45" s="1">
        <v>75.903425009685606</v>
      </c>
      <c r="AH45" s="1">
        <v>4.0131118215233023E-3</v>
      </c>
    </row>
    <row r="46" spans="1:34" x14ac:dyDescent="0.3">
      <c r="A46" t="s">
        <v>427</v>
      </c>
      <c r="B46" t="s">
        <v>120</v>
      </c>
      <c r="C46" t="s">
        <v>250</v>
      </c>
      <c r="D46" t="s">
        <v>398</v>
      </c>
      <c r="E46" t="s">
        <v>428</v>
      </c>
      <c r="F46" t="s">
        <v>432</v>
      </c>
      <c r="G46">
        <v>3</v>
      </c>
      <c r="H46" t="s">
        <v>380</v>
      </c>
      <c r="I46" s="1">
        <v>-6.2762941082786794</v>
      </c>
      <c r="J46">
        <v>0.7</v>
      </c>
      <c r="K46" s="1"/>
      <c r="L46" s="1"/>
      <c r="M46" s="1"/>
      <c r="N46" s="1"/>
      <c r="O46" s="1"/>
      <c r="R46" t="s">
        <v>432</v>
      </c>
      <c r="S46" s="1">
        <v>28.76209125227</v>
      </c>
      <c r="T46" s="1">
        <v>1.6072617801553299</v>
      </c>
      <c r="U46" s="1">
        <v>10.356613500247301</v>
      </c>
      <c r="V46" s="1">
        <v>111.629635552948</v>
      </c>
      <c r="W46" s="1">
        <v>6.5221163754035055E-2</v>
      </c>
      <c r="X46" s="1">
        <v>683.69816110262695</v>
      </c>
      <c r="Y46" s="1">
        <v>2.6190409439787401</v>
      </c>
      <c r="Z46" s="1">
        <v>3.7478912042691301</v>
      </c>
      <c r="AA46" s="1">
        <v>0.162073416713851</v>
      </c>
      <c r="AB46" s="1">
        <v>0.36954593773187899</v>
      </c>
      <c r="AC46" s="1">
        <v>1.41563078411779</v>
      </c>
      <c r="AD46" s="1">
        <v>3.8014750281678902</v>
      </c>
      <c r="AE46" s="1">
        <v>2.4945458354630499E-2</v>
      </c>
      <c r="AF46" s="1">
        <v>6.7918779882791496</v>
      </c>
      <c r="AG46" s="1">
        <v>32.765647842288601</v>
      </c>
      <c r="AH46" s="1">
        <v>6.8346032167653599E-3</v>
      </c>
    </row>
    <row r="47" spans="1:34" x14ac:dyDescent="0.3">
      <c r="A47" t="s">
        <v>427</v>
      </c>
      <c r="B47" t="s">
        <v>120</v>
      </c>
      <c r="C47" t="s">
        <v>250</v>
      </c>
      <c r="D47" t="s">
        <v>398</v>
      </c>
      <c r="E47" t="s">
        <v>428</v>
      </c>
      <c r="F47" t="s">
        <v>433</v>
      </c>
      <c r="G47">
        <v>4</v>
      </c>
      <c r="H47" t="s">
        <v>380</v>
      </c>
      <c r="I47" s="1">
        <v>-6.0082455315895178</v>
      </c>
      <c r="J47">
        <v>0.7</v>
      </c>
      <c r="K47" s="1"/>
      <c r="L47" s="1"/>
      <c r="M47" s="1"/>
      <c r="N47" s="1"/>
      <c r="O47" s="1"/>
      <c r="R47" t="s">
        <v>433</v>
      </c>
      <c r="S47" s="1">
        <v>12.4740847928097</v>
      </c>
      <c r="T47" s="1">
        <v>0.31134805645014901</v>
      </c>
      <c r="U47" s="1">
        <v>3.6764735221809399</v>
      </c>
      <c r="V47" s="1">
        <v>33.129188768708303</v>
      </c>
      <c r="W47" s="1">
        <v>5.4382866745047033E-2</v>
      </c>
      <c r="X47" s="1">
        <v>798.49766259851197</v>
      </c>
      <c r="Y47" s="1">
        <v>1.95313032165973</v>
      </c>
      <c r="Z47" s="1">
        <v>1.9835900195968701</v>
      </c>
      <c r="AA47" s="1">
        <v>0.16596191649328501</v>
      </c>
      <c r="AB47" s="1">
        <v>0.140922514912483</v>
      </c>
      <c r="AC47" s="1">
        <v>1.9332992651199401</v>
      </c>
      <c r="AD47" s="1">
        <v>2.29868320098331</v>
      </c>
      <c r="AE47" s="1">
        <v>2.6721635026450401E-2</v>
      </c>
      <c r="AF47" s="1">
        <v>6.2780355497147502</v>
      </c>
      <c r="AG47" s="1">
        <v>17.55361188601</v>
      </c>
      <c r="AH47" s="1">
        <v>5.3961621162430615E-3</v>
      </c>
    </row>
    <row r="48" spans="1:34" x14ac:dyDescent="0.3">
      <c r="A48" t="s">
        <v>427</v>
      </c>
      <c r="B48" t="s">
        <v>120</v>
      </c>
      <c r="C48" t="s">
        <v>250</v>
      </c>
      <c r="D48" t="s">
        <v>398</v>
      </c>
      <c r="E48" t="s">
        <v>428</v>
      </c>
      <c r="F48" t="s">
        <v>434</v>
      </c>
      <c r="G48">
        <v>5</v>
      </c>
      <c r="H48" t="s">
        <v>380</v>
      </c>
      <c r="I48" s="1">
        <v>-6.3315269941396357</v>
      </c>
      <c r="J48">
        <v>0.7</v>
      </c>
      <c r="K48" s="1">
        <v>52.404000000000003</v>
      </c>
      <c r="L48" s="1">
        <v>1.4E-2</v>
      </c>
      <c r="M48" s="1">
        <v>46.287999999999997</v>
      </c>
      <c r="N48" s="1">
        <v>1.7999999999999999E-2</v>
      </c>
      <c r="O48" s="1">
        <v>99.102000000000004</v>
      </c>
      <c r="P48" t="s">
        <v>207</v>
      </c>
      <c r="R48" t="s">
        <v>434</v>
      </c>
      <c r="S48" s="1">
        <v>4.5605289787758396</v>
      </c>
      <c r="T48" s="1">
        <v>0.19461365927585525</v>
      </c>
      <c r="U48" s="1">
        <v>4.5216848758193899</v>
      </c>
      <c r="V48" s="1">
        <v>14.016043974501899</v>
      </c>
      <c r="W48" s="1">
        <v>0.10519588052040793</v>
      </c>
      <c r="X48" s="1">
        <v>1127.10233002618</v>
      </c>
      <c r="Y48" s="1">
        <v>6.2629059598854004</v>
      </c>
      <c r="Z48" s="1">
        <v>5.5230520585153098</v>
      </c>
      <c r="AA48" s="1">
        <v>0.215125865819635</v>
      </c>
      <c r="AB48" s="1">
        <v>0.11019512203137163</v>
      </c>
      <c r="AC48" s="1">
        <v>2.0506134395574001</v>
      </c>
      <c r="AD48" s="1">
        <v>11.995820562863599</v>
      </c>
      <c r="AE48" s="1">
        <v>8.0822299091799804E-2</v>
      </c>
      <c r="AF48" s="1">
        <v>13.190185314376199</v>
      </c>
      <c r="AG48" s="1">
        <v>42.005603286627398</v>
      </c>
      <c r="AH48" s="1">
        <v>7.2831733110266146E-3</v>
      </c>
    </row>
    <row r="49" spans="1:34" x14ac:dyDescent="0.3">
      <c r="A49" t="s">
        <v>427</v>
      </c>
      <c r="B49" t="s">
        <v>120</v>
      </c>
      <c r="C49" t="s">
        <v>250</v>
      </c>
      <c r="D49" t="s">
        <v>398</v>
      </c>
      <c r="E49" t="s">
        <v>428</v>
      </c>
      <c r="F49" t="s">
        <v>435</v>
      </c>
      <c r="G49">
        <v>6</v>
      </c>
      <c r="H49" t="s">
        <v>380</v>
      </c>
      <c r="I49" s="1">
        <v>-6.2275989925807407</v>
      </c>
      <c r="J49">
        <v>0.7</v>
      </c>
      <c r="K49" s="1"/>
      <c r="L49" s="1"/>
      <c r="M49" s="1"/>
      <c r="N49" s="1"/>
      <c r="O49" s="1"/>
      <c r="R49" t="s">
        <v>435</v>
      </c>
      <c r="S49" s="1">
        <v>4.7085107693174502</v>
      </c>
      <c r="T49" s="1">
        <v>0.21059478095214454</v>
      </c>
      <c r="U49" s="1">
        <v>3.2553742064686899</v>
      </c>
      <c r="V49" s="1">
        <v>15.233543849156</v>
      </c>
      <c r="W49" s="1">
        <v>6.4885991783281569E-2</v>
      </c>
      <c r="X49" s="1">
        <v>648.77239708669902</v>
      </c>
      <c r="Y49" s="1">
        <v>6.7664458916562804</v>
      </c>
      <c r="Z49" s="1">
        <v>6.1113070407867101</v>
      </c>
      <c r="AA49" s="1">
        <v>0.158945761112157</v>
      </c>
      <c r="AB49" s="1">
        <v>0.25836719324678298</v>
      </c>
      <c r="AC49" s="1">
        <v>2.4305172110387701</v>
      </c>
      <c r="AD49" s="1">
        <v>12.2980402011984</v>
      </c>
      <c r="AE49" s="1">
        <v>7.6877425314836004E-2</v>
      </c>
      <c r="AF49" s="1">
        <v>7.47144036550434</v>
      </c>
      <c r="AG49" s="1">
        <v>49.9591633029561</v>
      </c>
      <c r="AH49" s="1">
        <v>6.5556250927923778E-3</v>
      </c>
    </row>
    <row r="50" spans="1:34" x14ac:dyDescent="0.3">
      <c r="A50" t="s">
        <v>427</v>
      </c>
      <c r="B50" t="s">
        <v>120</v>
      </c>
      <c r="C50" t="s">
        <v>250</v>
      </c>
      <c r="D50" t="s">
        <v>398</v>
      </c>
      <c r="E50" t="s">
        <v>428</v>
      </c>
      <c r="F50" t="s">
        <v>436</v>
      </c>
      <c r="G50">
        <v>7</v>
      </c>
      <c r="H50" t="s">
        <v>380</v>
      </c>
      <c r="I50" s="1">
        <v>-5.7230634882657894</v>
      </c>
      <c r="J50">
        <v>0.7</v>
      </c>
      <c r="K50" s="1">
        <v>52.343000000000004</v>
      </c>
      <c r="L50" s="1">
        <v>3.1E-2</v>
      </c>
      <c r="M50" s="1">
        <v>46.7</v>
      </c>
      <c r="N50" s="1">
        <v>4.7E-2</v>
      </c>
      <c r="O50" s="1">
        <v>99.650999999999996</v>
      </c>
      <c r="P50" t="s">
        <v>203</v>
      </c>
      <c r="R50" t="s">
        <v>436</v>
      </c>
      <c r="S50" s="1">
        <v>8.3745795601230295</v>
      </c>
      <c r="T50" s="1">
        <v>0.68083184241563799</v>
      </c>
      <c r="U50" s="1">
        <v>9.4820522458472603</v>
      </c>
      <c r="V50" s="1">
        <v>22.7312850257211</v>
      </c>
      <c r="W50" s="1">
        <v>6.7613078446177838E-2</v>
      </c>
      <c r="X50" s="1">
        <v>999.91068477701401</v>
      </c>
      <c r="Y50" s="1">
        <v>3.6882903546068002</v>
      </c>
      <c r="Z50" s="1">
        <v>6.2747520124787597</v>
      </c>
      <c r="AA50" s="1">
        <v>0.14933254025595599</v>
      </c>
      <c r="AB50" s="1">
        <v>0.10276348440568726</v>
      </c>
      <c r="AC50" s="1">
        <v>1.13705056791082</v>
      </c>
      <c r="AD50" s="1">
        <v>14.2096109582696</v>
      </c>
      <c r="AE50" s="1">
        <v>0.109464798491425</v>
      </c>
      <c r="AF50" s="1">
        <v>9.3563003006617596</v>
      </c>
      <c r="AG50" s="1">
        <v>27.131628236330499</v>
      </c>
      <c r="AH50" s="1">
        <v>4.9471408708635515E-3</v>
      </c>
    </row>
    <row r="51" spans="1:34" x14ac:dyDescent="0.3">
      <c r="A51" t="s">
        <v>427</v>
      </c>
      <c r="B51" t="s">
        <v>120</v>
      </c>
      <c r="C51" t="s">
        <v>250</v>
      </c>
      <c r="D51" t="s">
        <v>398</v>
      </c>
      <c r="E51" t="s">
        <v>437</v>
      </c>
      <c r="F51" t="s">
        <v>438</v>
      </c>
      <c r="G51">
        <v>8</v>
      </c>
      <c r="H51" t="s">
        <v>380</v>
      </c>
      <c r="I51" s="1">
        <v>-3.8505559373996912</v>
      </c>
      <c r="J51">
        <v>0.7</v>
      </c>
      <c r="K51" s="1">
        <v>51.884</v>
      </c>
      <c r="L51" s="1">
        <v>0.65700000000000003</v>
      </c>
      <c r="M51" s="1">
        <v>46.048999999999999</v>
      </c>
      <c r="N51" s="1">
        <v>2.5000000000000001E-2</v>
      </c>
      <c r="O51" s="1">
        <v>99.022999999999996</v>
      </c>
      <c r="P51" t="s">
        <v>186</v>
      </c>
      <c r="R51" t="s">
        <v>438</v>
      </c>
      <c r="S51" s="1">
        <v>47.661226320328197</v>
      </c>
      <c r="T51" s="1">
        <v>13.035264643173599</v>
      </c>
      <c r="U51" s="1">
        <v>611.01041714872497</v>
      </c>
      <c r="V51" s="1">
        <v>3.83522001418353</v>
      </c>
      <c r="W51" s="1">
        <v>2.2923270966103446E-2</v>
      </c>
      <c r="X51" s="1">
        <v>472.59197616489899</v>
      </c>
      <c r="Y51" s="1">
        <v>32.091370972934897</v>
      </c>
      <c r="Z51" s="1">
        <v>2.7111189283733301</v>
      </c>
      <c r="AA51" s="1">
        <v>1.5349978340974799</v>
      </c>
      <c r="AB51" s="1">
        <v>3.193254295944796E-2</v>
      </c>
      <c r="AC51" s="1">
        <v>15.2727579040085</v>
      </c>
      <c r="AD51" s="1">
        <v>93.904393653811695</v>
      </c>
      <c r="AE51" s="1">
        <v>0.48992296218676101</v>
      </c>
      <c r="AF51" s="1">
        <v>6.6401160116288396E-2</v>
      </c>
      <c r="AG51" s="1">
        <v>42.876167729923203</v>
      </c>
      <c r="AH51" s="1">
        <v>1.1009094191775499</v>
      </c>
    </row>
    <row r="52" spans="1:34" x14ac:dyDescent="0.3">
      <c r="A52" t="s">
        <v>427</v>
      </c>
      <c r="B52" t="s">
        <v>120</v>
      </c>
      <c r="C52" t="s">
        <v>250</v>
      </c>
      <c r="D52" t="s">
        <v>398</v>
      </c>
      <c r="E52" t="s">
        <v>437</v>
      </c>
      <c r="F52" t="s">
        <v>439</v>
      </c>
      <c r="G52">
        <v>8</v>
      </c>
      <c r="H52" t="s">
        <v>382</v>
      </c>
      <c r="I52" s="1">
        <v>-3.5513965923480439</v>
      </c>
      <c r="J52">
        <v>0.7</v>
      </c>
      <c r="K52" s="1"/>
      <c r="L52" s="1"/>
      <c r="M52" s="1"/>
      <c r="N52" s="1"/>
      <c r="O52" s="1"/>
      <c r="R52" t="s">
        <v>439</v>
      </c>
      <c r="S52" s="1">
        <v>9.9836121440226506</v>
      </c>
      <c r="T52" s="1">
        <v>3.9375835351221098</v>
      </c>
      <c r="U52" s="1">
        <v>153.375078838398</v>
      </c>
      <c r="V52" s="1">
        <v>17.851467559474699</v>
      </c>
      <c r="W52" s="1">
        <v>4.2063325336482084E-2</v>
      </c>
      <c r="X52" s="1">
        <v>731.38477856534598</v>
      </c>
      <c r="Y52" s="1">
        <v>13.5657182337363</v>
      </c>
      <c r="Z52" s="1">
        <v>1.2396168374254399</v>
      </c>
      <c r="AA52" s="1">
        <v>2.0032331152205001</v>
      </c>
      <c r="AB52" s="1">
        <v>9.466511971777633E-2</v>
      </c>
      <c r="AC52" s="1">
        <v>35.6335307963245</v>
      </c>
      <c r="AD52" s="1">
        <v>61.4079109078166</v>
      </c>
      <c r="AE52" s="1">
        <v>0.45932014530829102</v>
      </c>
      <c r="AF52" s="1">
        <v>7.3406919962998002E-2</v>
      </c>
      <c r="AG52" s="1">
        <v>74.708351191872495</v>
      </c>
      <c r="AH52" s="1">
        <v>0.233596451807666</v>
      </c>
    </row>
    <row r="53" spans="1:34" x14ac:dyDescent="0.3">
      <c r="A53" t="s">
        <v>427</v>
      </c>
      <c r="B53" t="s">
        <v>120</v>
      </c>
      <c r="C53" t="s">
        <v>250</v>
      </c>
      <c r="D53" t="s">
        <v>398</v>
      </c>
      <c r="E53" t="s">
        <v>437</v>
      </c>
      <c r="F53" t="s">
        <v>440</v>
      </c>
      <c r="G53">
        <v>9</v>
      </c>
      <c r="H53" t="s">
        <v>380</v>
      </c>
      <c r="I53" s="1">
        <v>-2.6933706185222617</v>
      </c>
      <c r="J53">
        <v>0.7</v>
      </c>
      <c r="K53" s="1">
        <v>51.923000000000002</v>
      </c>
      <c r="L53" s="1">
        <v>5.6000000000000001E-2</v>
      </c>
      <c r="M53" s="1">
        <v>46.773000000000003</v>
      </c>
      <c r="N53" s="1">
        <v>0</v>
      </c>
      <c r="O53" s="1">
        <v>99.418000000000006</v>
      </c>
      <c r="P53" t="s">
        <v>185</v>
      </c>
      <c r="R53" t="s">
        <v>440</v>
      </c>
      <c r="S53" s="1">
        <v>0.28006384261449502</v>
      </c>
      <c r="T53" s="1">
        <v>1.09021151692859</v>
      </c>
      <c r="U53" s="1">
        <v>16.120384762021999</v>
      </c>
      <c r="V53" s="1">
        <v>7.8822926425489497</v>
      </c>
      <c r="W53" s="1">
        <v>2.7833083346671592E-2</v>
      </c>
      <c r="X53" s="1">
        <v>684.124903061037</v>
      </c>
      <c r="Y53" s="1">
        <v>0.674470530126973</v>
      </c>
      <c r="Z53" s="1">
        <v>6.1169735708880499E-2</v>
      </c>
      <c r="AA53" s="1">
        <v>0.48892689365675601</v>
      </c>
      <c r="AB53" s="1">
        <v>4.2200376903131651E-2</v>
      </c>
      <c r="AC53" s="1">
        <v>9.1454767158710393</v>
      </c>
      <c r="AD53" s="1">
        <v>21.092362006908701</v>
      </c>
      <c r="AE53" s="1">
        <v>0.39631338629937601</v>
      </c>
      <c r="AF53" s="1">
        <v>3.7106893280704698E-2</v>
      </c>
      <c r="AG53" s="1">
        <v>28.528377188475702</v>
      </c>
      <c r="AH53" s="1">
        <v>2.7025238080921301E-2</v>
      </c>
    </row>
    <row r="54" spans="1:34" x14ac:dyDescent="0.3">
      <c r="A54" t="s">
        <v>427</v>
      </c>
      <c r="B54" t="s">
        <v>120</v>
      </c>
      <c r="C54" t="s">
        <v>250</v>
      </c>
      <c r="D54" t="s">
        <v>398</v>
      </c>
      <c r="E54" t="s">
        <v>437</v>
      </c>
      <c r="F54" t="s">
        <v>441</v>
      </c>
      <c r="G54">
        <v>10</v>
      </c>
      <c r="H54" t="s">
        <v>380</v>
      </c>
      <c r="I54" s="1">
        <v>-3.6665966114295401</v>
      </c>
      <c r="J54">
        <v>0.7</v>
      </c>
      <c r="K54" s="1">
        <v>52.308</v>
      </c>
      <c r="L54" s="1">
        <v>0.182</v>
      </c>
      <c r="M54" s="1">
        <v>46</v>
      </c>
      <c r="N54" s="1">
        <v>2.7E-2</v>
      </c>
      <c r="O54" s="1">
        <v>98.724000000000004</v>
      </c>
      <c r="P54" t="s">
        <v>189</v>
      </c>
      <c r="R54" t="s">
        <v>441</v>
      </c>
      <c r="S54" s="1">
        <v>17.0273882551345</v>
      </c>
      <c r="T54" s="1">
        <v>2.6028370728749501</v>
      </c>
      <c r="U54" s="1">
        <v>66.236247066649597</v>
      </c>
      <c r="V54" s="1">
        <v>1.1618111303174501</v>
      </c>
      <c r="W54" s="1">
        <v>1.4703850169338542E-2</v>
      </c>
      <c r="X54" s="1">
        <v>364.98225688407899</v>
      </c>
      <c r="Y54" s="1">
        <v>9.5692137675056301</v>
      </c>
      <c r="Z54" s="1">
        <v>1.01863264886109</v>
      </c>
      <c r="AA54" s="1">
        <v>0.95478597757216599</v>
      </c>
      <c r="AB54" s="1">
        <v>2.53909816024541E-2</v>
      </c>
      <c r="AC54" s="1">
        <v>7.4031326916377997</v>
      </c>
      <c r="AD54" s="1">
        <v>19.089339668870501</v>
      </c>
      <c r="AE54" s="1">
        <v>0.336149145484467</v>
      </c>
      <c r="AF54" s="1">
        <v>1.10540154058913E-2</v>
      </c>
      <c r="AG54" s="1">
        <v>17.6397343097041</v>
      </c>
      <c r="AH54" s="1">
        <v>0.196772661491633</v>
      </c>
    </row>
    <row r="55" spans="1:34" x14ac:dyDescent="0.3">
      <c r="A55" t="s">
        <v>427</v>
      </c>
      <c r="B55" t="s">
        <v>120</v>
      </c>
      <c r="C55" t="s">
        <v>250</v>
      </c>
      <c r="D55" t="s">
        <v>398</v>
      </c>
      <c r="E55" t="s">
        <v>437</v>
      </c>
      <c r="F55" t="s">
        <v>442</v>
      </c>
      <c r="G55">
        <v>11</v>
      </c>
      <c r="H55" t="s">
        <v>380</v>
      </c>
      <c r="I55" s="1">
        <v>-3.4321386469582382</v>
      </c>
      <c r="J55">
        <v>0.7</v>
      </c>
      <c r="K55" s="1">
        <v>52.024000000000001</v>
      </c>
      <c r="L55" s="1">
        <v>1.2999999999999999E-2</v>
      </c>
      <c r="M55" s="1">
        <v>46.570999999999998</v>
      </c>
      <c r="N55" s="1">
        <v>0</v>
      </c>
      <c r="O55" s="1">
        <v>98.962000000000003</v>
      </c>
      <c r="P55" t="s">
        <v>193</v>
      </c>
      <c r="R55" t="s">
        <v>442</v>
      </c>
      <c r="S55" s="1">
        <v>2.4251862934810999</v>
      </c>
      <c r="T55" s="1">
        <v>1.5271118451182799</v>
      </c>
      <c r="U55" s="1">
        <v>61.998424388463597</v>
      </c>
      <c r="V55" s="1">
        <v>1.3044862015783953</v>
      </c>
      <c r="W55" s="1">
        <v>3.5115742206446456E-2</v>
      </c>
      <c r="X55" s="1">
        <v>282.28950023166402</v>
      </c>
      <c r="Y55" s="1">
        <v>5.6896302339137703</v>
      </c>
      <c r="Z55" s="1">
        <v>0.224632238459197</v>
      </c>
      <c r="AA55" s="1">
        <v>0.47239134958562001</v>
      </c>
      <c r="AB55" s="1">
        <v>6.5669409632769696E-2</v>
      </c>
      <c r="AC55" s="1">
        <v>28.466992360927801</v>
      </c>
      <c r="AD55" s="1">
        <v>22.833900390384802</v>
      </c>
      <c r="AE55" s="1">
        <v>0.16728977513658999</v>
      </c>
      <c r="AF55" s="1">
        <v>1.3970149846233E-2</v>
      </c>
      <c r="AG55" s="1">
        <v>10.5994686356707</v>
      </c>
      <c r="AH55" s="1">
        <v>9.7473259546266205E-2</v>
      </c>
    </row>
    <row r="56" spans="1:34" x14ac:dyDescent="0.3">
      <c r="A56" t="s">
        <v>427</v>
      </c>
      <c r="B56" t="s">
        <v>120</v>
      </c>
      <c r="C56" t="s">
        <v>250</v>
      </c>
      <c r="D56" t="s">
        <v>398</v>
      </c>
      <c r="E56" t="s">
        <v>437</v>
      </c>
      <c r="F56" t="s">
        <v>443</v>
      </c>
      <c r="G56">
        <v>11</v>
      </c>
      <c r="H56" t="s">
        <v>382</v>
      </c>
      <c r="I56" s="1">
        <v>-2.7682168148728259</v>
      </c>
      <c r="J56">
        <v>0.7</v>
      </c>
      <c r="K56" s="1">
        <v>51.881999999999998</v>
      </c>
      <c r="L56" s="1">
        <v>0.04</v>
      </c>
      <c r="M56" s="1">
        <v>46.691000000000003</v>
      </c>
      <c r="N56" s="1">
        <v>5.0000000000000001E-3</v>
      </c>
      <c r="O56" s="1">
        <v>99.644999999999996</v>
      </c>
      <c r="P56" t="s">
        <v>200</v>
      </c>
      <c r="R56" t="s">
        <v>443</v>
      </c>
      <c r="S56" s="1">
        <v>1.28852394141021E-2</v>
      </c>
      <c r="T56" s="1">
        <v>0.13027724174334701</v>
      </c>
      <c r="U56" s="1">
        <v>3.41305816012094</v>
      </c>
      <c r="V56" s="1">
        <v>3.81689975281824</v>
      </c>
      <c r="W56" s="1">
        <v>1.812315939608097E-2</v>
      </c>
      <c r="X56" s="1">
        <v>402.98353762301002</v>
      </c>
      <c r="Y56" s="1">
        <v>0.16313715816413327</v>
      </c>
      <c r="Z56" s="1">
        <v>2.1164635291658289E-2</v>
      </c>
      <c r="AA56" s="1">
        <v>0.28778027747768198</v>
      </c>
      <c r="AB56" s="1">
        <v>2.5509924630953348E-2</v>
      </c>
      <c r="AC56" s="1">
        <v>0.29454482814195199</v>
      </c>
      <c r="AD56" s="1">
        <v>3.7927999478680099</v>
      </c>
      <c r="AE56" s="1">
        <v>7.7567421532423603E-2</v>
      </c>
      <c r="AF56" s="1">
        <v>0.15927737729254199</v>
      </c>
      <c r="AG56" s="1">
        <v>5.6477468058059799</v>
      </c>
      <c r="AH56" s="1">
        <v>1.6309833651556216E-3</v>
      </c>
    </row>
    <row r="57" spans="1:34" x14ac:dyDescent="0.3">
      <c r="A57" t="s">
        <v>427</v>
      </c>
      <c r="B57" t="s">
        <v>120</v>
      </c>
      <c r="C57" t="s">
        <v>250</v>
      </c>
      <c r="D57" t="s">
        <v>398</v>
      </c>
      <c r="E57" t="s">
        <v>437</v>
      </c>
      <c r="F57" t="s">
        <v>444</v>
      </c>
      <c r="G57">
        <v>12</v>
      </c>
      <c r="H57" t="s">
        <v>380</v>
      </c>
      <c r="I57" s="1">
        <v>-4.1391195859800112</v>
      </c>
      <c r="J57">
        <v>0.7</v>
      </c>
      <c r="K57" s="1">
        <v>52.067</v>
      </c>
      <c r="L57" s="1">
        <v>0.50800000000000001</v>
      </c>
      <c r="M57" s="1">
        <v>46.055</v>
      </c>
      <c r="N57" s="1">
        <v>0</v>
      </c>
      <c r="O57" s="1">
        <v>99.245999999999995</v>
      </c>
      <c r="P57" t="s">
        <v>190</v>
      </c>
      <c r="R57" t="s">
        <v>444</v>
      </c>
      <c r="S57" s="1">
        <v>3.2021055899673398</v>
      </c>
      <c r="T57" s="1">
        <v>0.710180964338887</v>
      </c>
      <c r="U57" s="1">
        <v>18.952969756765299</v>
      </c>
      <c r="V57" s="1">
        <v>2.3050984898384201</v>
      </c>
      <c r="W57" s="1">
        <v>1.6741074906836656E-2</v>
      </c>
      <c r="X57" s="1">
        <v>144.44432413017799</v>
      </c>
      <c r="Y57" s="1">
        <v>3.3749180887725201</v>
      </c>
      <c r="Z57" s="1">
        <v>0.26570267326319003</v>
      </c>
      <c r="AA57" s="1">
        <v>1.0895928800474299</v>
      </c>
      <c r="AB57" s="1">
        <v>7.0076127820621406E-2</v>
      </c>
      <c r="AC57" s="1">
        <v>9.9239538657585307</v>
      </c>
      <c r="AD57" s="1">
        <v>12.4247815432749</v>
      </c>
      <c r="AE57" s="1">
        <v>0.18829306219553699</v>
      </c>
      <c r="AF57" s="1">
        <v>6.0020302812610601E-2</v>
      </c>
      <c r="AG57" s="1">
        <v>83.862758426396297</v>
      </c>
      <c r="AH57" s="1">
        <v>6.7961476371039595E-2</v>
      </c>
    </row>
    <row r="58" spans="1:34" x14ac:dyDescent="0.3">
      <c r="A58" t="s">
        <v>248</v>
      </c>
      <c r="B58" t="s">
        <v>120</v>
      </c>
      <c r="C58" t="s">
        <v>249</v>
      </c>
      <c r="D58" t="s">
        <v>398</v>
      </c>
      <c r="E58" t="s">
        <v>415</v>
      </c>
      <c r="F58" t="s">
        <v>445</v>
      </c>
      <c r="G58">
        <v>1</v>
      </c>
      <c r="H58" t="s">
        <v>380</v>
      </c>
      <c r="I58" s="1">
        <v>-2.6207788256764619</v>
      </c>
      <c r="J58">
        <v>0.7</v>
      </c>
      <c r="K58" s="1">
        <v>52.119</v>
      </c>
      <c r="L58" s="1">
        <v>0</v>
      </c>
      <c r="M58" s="1">
        <v>46.570999999999998</v>
      </c>
      <c r="N58" s="1">
        <v>0</v>
      </c>
      <c r="O58" s="1">
        <v>98.850999999999999</v>
      </c>
      <c r="P58" t="s">
        <v>172</v>
      </c>
      <c r="R58" t="s">
        <v>445</v>
      </c>
      <c r="S58" s="1">
        <v>4.8552975374983802</v>
      </c>
      <c r="T58" s="1">
        <v>0.1078083207786189</v>
      </c>
      <c r="U58" s="1">
        <v>432.46203406925002</v>
      </c>
      <c r="V58" s="1">
        <v>11.6575857169199</v>
      </c>
      <c r="W58" s="1">
        <v>4.6765971784961877E-2</v>
      </c>
      <c r="X58" s="1">
        <v>171.39040287803101</v>
      </c>
      <c r="Y58" s="1">
        <v>15.4064735249452</v>
      </c>
      <c r="Z58" s="1">
        <v>4.5881158020407504</v>
      </c>
      <c r="AA58" s="1">
        <v>0.197859927733681</v>
      </c>
      <c r="AB58" s="1">
        <v>4.9106801271884062E-2</v>
      </c>
      <c r="AC58" s="1">
        <v>0.55992153400446398</v>
      </c>
      <c r="AD58" s="1">
        <v>0.13592007277889467</v>
      </c>
      <c r="AE58" s="1">
        <v>0.20959116280652701</v>
      </c>
      <c r="AF58" s="1">
        <v>4.7498786215598773E-3</v>
      </c>
      <c r="AG58" s="1">
        <v>1.72773513097218</v>
      </c>
      <c r="AH58" s="1">
        <v>5.5133007505230897E-2</v>
      </c>
    </row>
    <row r="59" spans="1:34" x14ac:dyDescent="0.3">
      <c r="A59" t="s">
        <v>248</v>
      </c>
      <c r="B59" t="s">
        <v>120</v>
      </c>
      <c r="C59" t="s">
        <v>249</v>
      </c>
      <c r="D59" t="s">
        <v>398</v>
      </c>
      <c r="E59" t="s">
        <v>415</v>
      </c>
      <c r="F59" t="s">
        <v>446</v>
      </c>
      <c r="G59">
        <v>2</v>
      </c>
      <c r="H59" t="s">
        <v>380</v>
      </c>
      <c r="I59" s="1">
        <v>-0.86798010090094468</v>
      </c>
      <c r="J59">
        <v>0.7</v>
      </c>
      <c r="K59" s="1"/>
      <c r="L59" s="1"/>
      <c r="M59" s="1"/>
      <c r="N59" s="1"/>
      <c r="O59" s="1"/>
      <c r="R59" t="s">
        <v>446</v>
      </c>
      <c r="S59" s="1">
        <v>42.382147387803798</v>
      </c>
      <c r="T59" s="1">
        <v>0.15139466560776016</v>
      </c>
      <c r="U59" s="1">
        <v>178.95580499424801</v>
      </c>
      <c r="V59" s="1">
        <v>1.3377102325784349</v>
      </c>
      <c r="W59" s="1">
        <v>1.0435795041989944</v>
      </c>
      <c r="X59" s="1">
        <v>66.135812452667807</v>
      </c>
      <c r="Y59" s="1">
        <v>46.2974254298557</v>
      </c>
      <c r="Z59" s="1">
        <v>0.70231315575479603</v>
      </c>
      <c r="AA59" s="1">
        <v>4.5170151895292603E-2</v>
      </c>
      <c r="AB59" s="1">
        <v>0.11666989329098162</v>
      </c>
      <c r="AC59" s="1">
        <v>8.8054739576023694E-2</v>
      </c>
      <c r="AD59" s="1">
        <v>0.88847061498197799</v>
      </c>
      <c r="AE59" s="1">
        <v>3.1985822177583501E-2</v>
      </c>
      <c r="AF59" s="1">
        <v>7.5985445958375404E-3</v>
      </c>
      <c r="AG59" s="1">
        <v>1.80935086881414</v>
      </c>
      <c r="AH59" s="1">
        <v>1.6712893928812901E-2</v>
      </c>
    </row>
    <row r="60" spans="1:34" x14ac:dyDescent="0.3">
      <c r="A60" t="s">
        <v>248</v>
      </c>
      <c r="B60" t="s">
        <v>120</v>
      </c>
      <c r="C60" t="s">
        <v>249</v>
      </c>
      <c r="D60" t="s">
        <v>398</v>
      </c>
      <c r="E60" t="s">
        <v>415</v>
      </c>
      <c r="F60" t="s">
        <v>447</v>
      </c>
      <c r="G60">
        <v>4</v>
      </c>
      <c r="H60" t="s">
        <v>380</v>
      </c>
      <c r="I60" s="1">
        <v>-0.98430732173482305</v>
      </c>
      <c r="J60">
        <v>0.7</v>
      </c>
      <c r="K60" s="1"/>
      <c r="L60" s="1"/>
      <c r="M60" s="1"/>
      <c r="N60" s="1"/>
      <c r="O60" s="1"/>
      <c r="R60" t="s">
        <v>447</v>
      </c>
      <c r="S60" s="1">
        <v>69.851295922420704</v>
      </c>
      <c r="T60" s="1">
        <v>0.28372382979507699</v>
      </c>
      <c r="U60" s="1">
        <v>375.16859671735801</v>
      </c>
      <c r="V60" s="1">
        <v>54.516599183732502</v>
      </c>
      <c r="W60" s="1">
        <v>0.58678496479598619</v>
      </c>
      <c r="X60" s="1">
        <v>28.9523835445884</v>
      </c>
      <c r="Y60" s="1">
        <v>36.1372979155284</v>
      </c>
      <c r="Z60" s="1">
        <v>1.26583425054475</v>
      </c>
      <c r="AA60" s="1">
        <v>6.5719985202606301E-2</v>
      </c>
      <c r="AB60" s="1">
        <v>5.5806776753223049E-2</v>
      </c>
      <c r="AC60" s="1">
        <v>0.18720253021031699</v>
      </c>
      <c r="AD60" s="1">
        <v>0.79798710628041203</v>
      </c>
      <c r="AE60" s="1">
        <v>4.2943994002735401E-2</v>
      </c>
      <c r="AF60" s="1">
        <v>5.3432771895940499E-2</v>
      </c>
      <c r="AG60" s="1">
        <v>18.012719298012399</v>
      </c>
      <c r="AH60" s="1">
        <v>1.8099973135589899E-2</v>
      </c>
    </row>
    <row r="61" spans="1:34" x14ac:dyDescent="0.3">
      <c r="A61" t="s">
        <v>248</v>
      </c>
      <c r="B61" t="s">
        <v>120</v>
      </c>
      <c r="C61" t="s">
        <v>249</v>
      </c>
      <c r="D61" t="s">
        <v>398</v>
      </c>
      <c r="E61" t="s">
        <v>415</v>
      </c>
      <c r="F61" t="s">
        <v>448</v>
      </c>
      <c r="G61">
        <v>5</v>
      </c>
      <c r="H61" t="s">
        <v>380</v>
      </c>
      <c r="I61" s="1">
        <v>-2.1331513476455788</v>
      </c>
      <c r="J61">
        <v>0.7</v>
      </c>
      <c r="K61" s="1">
        <v>52.305</v>
      </c>
      <c r="L61" s="1">
        <v>3.5000000000000003E-2</v>
      </c>
      <c r="M61" s="1">
        <v>46.790999999999997</v>
      </c>
      <c r="N61" s="1">
        <v>0</v>
      </c>
      <c r="O61" s="1">
        <v>99.23</v>
      </c>
      <c r="P61" t="s">
        <v>171</v>
      </c>
      <c r="R61" t="s">
        <v>448</v>
      </c>
      <c r="S61" s="1">
        <v>23.068904723766199</v>
      </c>
      <c r="T61" s="1">
        <v>0.28006917513514734</v>
      </c>
      <c r="U61" s="1">
        <v>1598.03417403105</v>
      </c>
      <c r="V61" s="1">
        <v>12.037430042402301</v>
      </c>
      <c r="W61" s="1">
        <v>0.26337976378044747</v>
      </c>
      <c r="X61" s="1">
        <v>70.736268849775598</v>
      </c>
      <c r="Y61" s="1">
        <v>74.227967086023199</v>
      </c>
      <c r="Z61" s="1">
        <v>0.767277514202233</v>
      </c>
      <c r="AA61" s="1">
        <v>0.155645847074566</v>
      </c>
      <c r="AB61" s="1">
        <v>0.10896622253963453</v>
      </c>
      <c r="AC61" s="1">
        <v>0.20584482435908799</v>
      </c>
      <c r="AD61" s="1">
        <v>0.84595776165550796</v>
      </c>
      <c r="AE61" s="1">
        <v>2.5699673101810115E-2</v>
      </c>
      <c r="AF61" s="1">
        <v>8.1217998307223094E-3</v>
      </c>
      <c r="AG61" s="1">
        <v>0.61231884113477097</v>
      </c>
      <c r="AH61" s="1">
        <v>0.13220410897093501</v>
      </c>
    </row>
    <row r="62" spans="1:34" x14ac:dyDescent="0.3">
      <c r="A62" t="s">
        <v>248</v>
      </c>
      <c r="B62" t="s">
        <v>120</v>
      </c>
      <c r="C62" t="s">
        <v>249</v>
      </c>
      <c r="D62" t="s">
        <v>398</v>
      </c>
      <c r="E62" t="s">
        <v>415</v>
      </c>
      <c r="F62" t="s">
        <v>449</v>
      </c>
      <c r="G62">
        <v>6</v>
      </c>
      <c r="H62" t="s">
        <v>380</v>
      </c>
      <c r="I62" s="1">
        <v>-1.7005313151252643</v>
      </c>
      <c r="J62">
        <v>0.7</v>
      </c>
      <c r="K62" s="1">
        <v>51.951000000000001</v>
      </c>
      <c r="L62" s="1">
        <v>0</v>
      </c>
      <c r="M62" s="1">
        <v>46.709000000000003</v>
      </c>
      <c r="N62" s="1">
        <v>1.9E-2</v>
      </c>
      <c r="O62" s="1">
        <v>98.831000000000003</v>
      </c>
      <c r="P62" t="s">
        <v>170</v>
      </c>
      <c r="R62" t="s">
        <v>449</v>
      </c>
      <c r="S62" s="1">
        <v>6.6986320483919899</v>
      </c>
      <c r="T62" s="1">
        <v>7.6374443631300762E-2</v>
      </c>
      <c r="U62" s="1">
        <v>912.15328378405104</v>
      </c>
      <c r="V62" s="1">
        <v>8.0801543249958705</v>
      </c>
      <c r="W62" s="1">
        <v>0.17953478416844318</v>
      </c>
      <c r="X62" s="1">
        <v>102.151771023702</v>
      </c>
      <c r="Y62" s="1">
        <v>17.638631817096499</v>
      </c>
      <c r="Z62" s="1">
        <v>1.69159846656242</v>
      </c>
      <c r="AA62" s="1">
        <v>0.226139827836221</v>
      </c>
      <c r="AB62" s="1">
        <v>4.6317734976529155E-2</v>
      </c>
      <c r="AC62" s="1">
        <v>0.46336180915041902</v>
      </c>
      <c r="AD62" s="1">
        <v>0.30485031389963602</v>
      </c>
      <c r="AE62" s="1">
        <v>0.13755910903173599</v>
      </c>
      <c r="AF62" s="1">
        <v>0.14263102626309801</v>
      </c>
      <c r="AG62" s="1">
        <v>7.1860322586931797</v>
      </c>
      <c r="AH62" s="1">
        <v>0.162601316448442</v>
      </c>
    </row>
    <row r="63" spans="1:34" x14ac:dyDescent="0.3">
      <c r="A63" t="s">
        <v>248</v>
      </c>
      <c r="B63" t="s">
        <v>120</v>
      </c>
      <c r="C63" t="s">
        <v>249</v>
      </c>
      <c r="D63" t="s">
        <v>398</v>
      </c>
      <c r="E63" t="s">
        <v>415</v>
      </c>
      <c r="F63" t="s">
        <v>450</v>
      </c>
      <c r="G63">
        <v>7</v>
      </c>
      <c r="H63" t="s">
        <v>380</v>
      </c>
      <c r="I63" s="1">
        <v>-1.3792788157293012</v>
      </c>
      <c r="J63">
        <v>0.7</v>
      </c>
      <c r="K63" s="1"/>
      <c r="L63" s="1"/>
      <c r="M63" s="1"/>
      <c r="N63" s="1"/>
      <c r="O63" s="1"/>
      <c r="R63" t="s">
        <v>450</v>
      </c>
      <c r="S63" s="1">
        <v>5.7637824791068804</v>
      </c>
      <c r="T63" s="1">
        <v>0.13972944486186636</v>
      </c>
      <c r="U63" s="1">
        <v>22.3156140046334</v>
      </c>
      <c r="V63" s="1">
        <v>34.005496258846897</v>
      </c>
      <c r="W63" s="1">
        <v>0.13796206921839205</v>
      </c>
      <c r="X63" s="1">
        <v>53.548720066212098</v>
      </c>
      <c r="Y63" s="1">
        <v>15.7906582223864</v>
      </c>
      <c r="Z63" s="1">
        <v>0.87969563475149204</v>
      </c>
      <c r="AA63" s="1">
        <v>1.4222176030478397E-2</v>
      </c>
      <c r="AB63" s="1">
        <v>8.0394721079945441E-2</v>
      </c>
      <c r="AC63" s="1">
        <v>2.2612951778119433E-2</v>
      </c>
      <c r="AD63" s="1">
        <v>0.74540403167052505</v>
      </c>
      <c r="AE63" s="1">
        <v>2.4034899034460679E-2</v>
      </c>
      <c r="AF63" s="1">
        <v>2.0976210033492801E-2</v>
      </c>
      <c r="AG63" s="1">
        <v>5.1619829011495399</v>
      </c>
      <c r="AH63" s="1">
        <v>7.1493628310926975E-3</v>
      </c>
    </row>
    <row r="64" spans="1:34" x14ac:dyDescent="0.3">
      <c r="A64" t="s">
        <v>248</v>
      </c>
      <c r="B64" t="s">
        <v>120</v>
      </c>
      <c r="C64" t="s">
        <v>249</v>
      </c>
      <c r="D64" t="s">
        <v>398</v>
      </c>
      <c r="E64" t="s">
        <v>415</v>
      </c>
      <c r="F64" t="s">
        <v>451</v>
      </c>
      <c r="G64">
        <v>8</v>
      </c>
      <c r="H64" t="s">
        <v>380</v>
      </c>
      <c r="I64" s="1">
        <v>-1.1333233933845666</v>
      </c>
      <c r="J64">
        <v>0.7</v>
      </c>
      <c r="K64" s="1"/>
      <c r="L64" s="1"/>
      <c r="M64" s="1"/>
      <c r="N64" s="1"/>
      <c r="O64" s="1"/>
      <c r="R64" t="s">
        <v>451</v>
      </c>
      <c r="S64" s="1">
        <v>8.3821126889195305</v>
      </c>
      <c r="T64" s="1">
        <v>0.2531545100738995</v>
      </c>
      <c r="U64" s="1">
        <v>914.58074893975595</v>
      </c>
      <c r="V64" s="1">
        <v>1.6107009777057526</v>
      </c>
      <c r="W64" s="1">
        <v>0.12420328991242396</v>
      </c>
      <c r="X64" s="1">
        <v>220.638541259882</v>
      </c>
      <c r="Y64" s="1">
        <v>41.617624245871802</v>
      </c>
      <c r="Z64" s="1">
        <v>1.60579013651922</v>
      </c>
      <c r="AA64" s="1">
        <v>8.7851473751900805E-2</v>
      </c>
      <c r="AB64" s="1">
        <v>9.6226868961926448E-2</v>
      </c>
      <c r="AC64" s="1">
        <v>0.327731019475</v>
      </c>
      <c r="AD64" s="1">
        <v>0.223883134821552</v>
      </c>
      <c r="AE64" s="1">
        <v>0.127306673932229</v>
      </c>
      <c r="AF64" s="1">
        <v>5.832600239441061E-3</v>
      </c>
      <c r="AG64" s="1">
        <v>0.60591928865896405</v>
      </c>
      <c r="AH64" s="1">
        <v>0.138763582593808</v>
      </c>
    </row>
    <row r="65" spans="1:34" x14ac:dyDescent="0.3">
      <c r="A65" t="s">
        <v>452</v>
      </c>
      <c r="B65" t="s">
        <v>122</v>
      </c>
      <c r="C65" t="s">
        <v>453</v>
      </c>
      <c r="D65" t="s">
        <v>398</v>
      </c>
      <c r="E65" t="s">
        <v>454</v>
      </c>
      <c r="F65" t="s">
        <v>455</v>
      </c>
      <c r="G65">
        <v>1</v>
      </c>
      <c r="H65" t="s">
        <v>382</v>
      </c>
      <c r="I65" s="1">
        <v>4.0842680775095008</v>
      </c>
      <c r="J65">
        <v>0.7</v>
      </c>
      <c r="K65" s="1">
        <v>52.53</v>
      </c>
      <c r="L65" s="1">
        <v>1.0999999999999999E-2</v>
      </c>
      <c r="M65" s="1">
        <v>46.152000000000001</v>
      </c>
      <c r="N65" s="1">
        <v>2.1999999999999999E-2</v>
      </c>
      <c r="O65" s="1">
        <v>99.781000000000006</v>
      </c>
      <c r="P65" t="s">
        <v>131</v>
      </c>
      <c r="R65" t="s">
        <v>455</v>
      </c>
      <c r="S65" s="1">
        <v>0.16244894933572501</v>
      </c>
      <c r="T65" s="1">
        <v>0.54087724969061401</v>
      </c>
      <c r="U65" s="1">
        <v>3.12084795482702</v>
      </c>
      <c r="V65" s="1">
        <v>15.872845490482099</v>
      </c>
      <c r="W65" s="1">
        <v>0.12922398393652373</v>
      </c>
      <c r="X65" s="1">
        <v>5843.31995544458</v>
      </c>
      <c r="Y65" s="1">
        <v>0.9965724205822768</v>
      </c>
      <c r="Z65" s="1">
        <v>3.1174874954209102</v>
      </c>
      <c r="AA65" s="1">
        <v>124.56152208011299</v>
      </c>
      <c r="AB65" s="1">
        <v>0.14641190954544561</v>
      </c>
      <c r="AC65" s="1">
        <v>224.28079524108301</v>
      </c>
      <c r="AD65" s="1">
        <v>0.19575435097060187</v>
      </c>
      <c r="AE65" s="1">
        <v>0.21131178389907401</v>
      </c>
      <c r="AF65" s="1">
        <v>0.48713856926665899</v>
      </c>
      <c r="AG65" s="1">
        <v>516.41343523381397</v>
      </c>
      <c r="AH65" s="1">
        <v>1.2586857747712864E-2</v>
      </c>
    </row>
    <row r="66" spans="1:34" x14ac:dyDescent="0.3">
      <c r="A66" t="s">
        <v>452</v>
      </c>
      <c r="B66" t="s">
        <v>122</v>
      </c>
      <c r="C66" t="s">
        <v>453</v>
      </c>
      <c r="D66" t="s">
        <v>398</v>
      </c>
      <c r="E66" t="s">
        <v>454</v>
      </c>
      <c r="F66" t="s">
        <v>456</v>
      </c>
      <c r="G66">
        <v>1</v>
      </c>
      <c r="H66" t="s">
        <v>380</v>
      </c>
      <c r="I66" s="1">
        <v>3.7310030483490575</v>
      </c>
      <c r="J66">
        <v>0.7</v>
      </c>
      <c r="K66" s="1">
        <v>52.957999999999998</v>
      </c>
      <c r="L66" s="1">
        <v>0</v>
      </c>
      <c r="M66" s="1">
        <v>46.155000000000001</v>
      </c>
      <c r="N66" s="1">
        <v>8.9999999999999993E-3</v>
      </c>
      <c r="O66" s="1">
        <v>100.239</v>
      </c>
      <c r="P66" t="s">
        <v>132</v>
      </c>
      <c r="R66" t="s">
        <v>456</v>
      </c>
      <c r="S66" s="1">
        <v>0.435262304366968</v>
      </c>
      <c r="T66" s="1">
        <v>2.0788596499341301</v>
      </c>
      <c r="U66" s="1">
        <v>9.2607504096424194</v>
      </c>
      <c r="V66" s="1">
        <v>27.7741924184635</v>
      </c>
      <c r="W66" s="1">
        <v>0.21401642989384959</v>
      </c>
      <c r="X66" s="1">
        <v>5374.0019669623098</v>
      </c>
      <c r="Y66" s="1">
        <v>1.9191222601970104</v>
      </c>
      <c r="Z66" s="1">
        <v>6.6743974153321499</v>
      </c>
      <c r="AA66" s="1">
        <v>395.650909559176</v>
      </c>
      <c r="AB66" s="1">
        <v>0.15189024522707589</v>
      </c>
      <c r="AC66" s="1">
        <v>515.36060722576099</v>
      </c>
      <c r="AD66" s="1">
        <v>0.3975452521786379</v>
      </c>
      <c r="AE66" s="1">
        <v>0.60733594798425194</v>
      </c>
      <c r="AF66" s="1">
        <v>0.89348166262564599</v>
      </c>
      <c r="AG66" s="1">
        <v>1226.4780047839999</v>
      </c>
      <c r="AH66" s="1">
        <v>1.4175635000926501E-2</v>
      </c>
    </row>
    <row r="67" spans="1:34" x14ac:dyDescent="0.3">
      <c r="A67" t="s">
        <v>452</v>
      </c>
      <c r="B67" t="s">
        <v>122</v>
      </c>
      <c r="C67" t="s">
        <v>453</v>
      </c>
      <c r="D67" t="s">
        <v>398</v>
      </c>
      <c r="E67" t="s">
        <v>454</v>
      </c>
      <c r="F67" t="s">
        <v>457</v>
      </c>
      <c r="G67">
        <v>1</v>
      </c>
      <c r="H67" t="s">
        <v>382</v>
      </c>
      <c r="I67" s="1">
        <v>4.1841381527605304</v>
      </c>
      <c r="J67">
        <v>0.7</v>
      </c>
      <c r="K67" s="1">
        <v>52.988</v>
      </c>
      <c r="L67" s="1">
        <v>1.2E-2</v>
      </c>
      <c r="M67" s="1">
        <v>46.031999999999996</v>
      </c>
      <c r="N67" s="1">
        <v>0</v>
      </c>
      <c r="O67" s="1">
        <v>100.123</v>
      </c>
      <c r="P67" t="s">
        <v>133</v>
      </c>
      <c r="R67" t="s">
        <v>457</v>
      </c>
      <c r="S67" s="1">
        <v>0.15397332291466301</v>
      </c>
      <c r="T67" s="1">
        <v>1.88288504679751</v>
      </c>
      <c r="U67" s="1">
        <v>3.0984834141538</v>
      </c>
      <c r="V67" s="1">
        <v>28.445877190970901</v>
      </c>
      <c r="W67" s="1">
        <v>0.44135321691014334</v>
      </c>
      <c r="X67" s="1">
        <v>8925.1845152780406</v>
      </c>
      <c r="Y67" s="1">
        <v>1.724181801515241</v>
      </c>
      <c r="Z67" s="1">
        <v>9.6390904821845993</v>
      </c>
      <c r="AA67" s="1">
        <v>206.351226158228</v>
      </c>
      <c r="AB67" s="1">
        <v>0.16424245179756941</v>
      </c>
      <c r="AC67" s="1">
        <v>510.360398906944</v>
      </c>
      <c r="AD67" s="1">
        <v>0.31342889522261147</v>
      </c>
      <c r="AE67" s="1">
        <v>0.35504930342187802</v>
      </c>
      <c r="AF67" s="1">
        <v>1.4997303686640999</v>
      </c>
      <c r="AG67" s="1">
        <v>1268.0072033625599</v>
      </c>
      <c r="AH67" s="1">
        <v>1.1577299662832089E-2</v>
      </c>
    </row>
    <row r="68" spans="1:34" x14ac:dyDescent="0.3">
      <c r="A68" t="s">
        <v>452</v>
      </c>
      <c r="B68" t="s">
        <v>122</v>
      </c>
      <c r="C68" t="s">
        <v>453</v>
      </c>
      <c r="D68" t="s">
        <v>398</v>
      </c>
      <c r="E68" t="s">
        <v>454</v>
      </c>
      <c r="F68" t="s">
        <v>458</v>
      </c>
      <c r="G68">
        <v>2</v>
      </c>
      <c r="H68" t="s">
        <v>380</v>
      </c>
      <c r="I68" s="1">
        <v>3.766622623720739</v>
      </c>
      <c r="J68">
        <v>0.7</v>
      </c>
      <c r="K68" s="1">
        <v>52.411999999999999</v>
      </c>
      <c r="L68" s="1">
        <v>0</v>
      </c>
      <c r="M68" s="1">
        <v>45.805</v>
      </c>
      <c r="N68" s="1">
        <v>2.8000000000000001E-2</v>
      </c>
      <c r="O68" s="1">
        <v>99.268000000000001</v>
      </c>
      <c r="P68" t="s">
        <v>141</v>
      </c>
      <c r="R68" t="s">
        <v>458</v>
      </c>
      <c r="S68" s="1">
        <v>0.17188126590508401</v>
      </c>
      <c r="T68" s="1">
        <v>1.60489022950806</v>
      </c>
      <c r="U68" s="1">
        <v>5.23207942408402</v>
      </c>
      <c r="V68" s="1">
        <v>16.5089795689093</v>
      </c>
      <c r="W68" s="1">
        <v>7.9737618947806621E-2</v>
      </c>
      <c r="X68" s="1">
        <v>3293.0418940079699</v>
      </c>
      <c r="Y68" s="1">
        <v>0.59125503579453342</v>
      </c>
      <c r="Z68" s="1">
        <v>3.7965892655649598</v>
      </c>
      <c r="AA68" s="1">
        <v>213.119229230857</v>
      </c>
      <c r="AB68" s="1">
        <v>0.19956796475491667</v>
      </c>
      <c r="AC68" s="1">
        <v>256.72387059449102</v>
      </c>
      <c r="AD68" s="1">
        <v>0.20851571922951254</v>
      </c>
      <c r="AE68" s="1">
        <v>0.33812143214315799</v>
      </c>
      <c r="AF68" s="1">
        <v>0.50368232620986197</v>
      </c>
      <c r="AG68" s="1">
        <v>662.60267631567206</v>
      </c>
      <c r="AH68" s="1">
        <v>8.1277678587407514E-3</v>
      </c>
    </row>
    <row r="69" spans="1:34" x14ac:dyDescent="0.3">
      <c r="A69" t="s">
        <v>452</v>
      </c>
      <c r="B69" t="s">
        <v>122</v>
      </c>
      <c r="C69" t="s">
        <v>453</v>
      </c>
      <c r="D69" t="s">
        <v>398</v>
      </c>
      <c r="E69" t="s">
        <v>454</v>
      </c>
      <c r="F69" t="s">
        <v>459</v>
      </c>
      <c r="G69">
        <v>3</v>
      </c>
      <c r="H69" t="s">
        <v>380</v>
      </c>
      <c r="I69" s="1">
        <v>3.6626946221616219</v>
      </c>
      <c r="J69">
        <v>0.7</v>
      </c>
      <c r="K69" s="1">
        <v>52.747</v>
      </c>
      <c r="L69" s="1">
        <v>0.03</v>
      </c>
      <c r="M69" s="1">
        <v>46.279000000000003</v>
      </c>
      <c r="N69" s="1">
        <v>1.0999999999999999E-2</v>
      </c>
      <c r="O69" s="1">
        <v>100.023</v>
      </c>
      <c r="P69" t="s">
        <v>142</v>
      </c>
      <c r="R69" t="s">
        <v>459</v>
      </c>
      <c r="S69" s="1">
        <v>0.303978386914106</v>
      </c>
      <c r="T69" s="1">
        <v>2.88640943460116</v>
      </c>
      <c r="U69" s="1">
        <v>7.4034533717644999</v>
      </c>
      <c r="V69" s="1">
        <v>20.4352971630579</v>
      </c>
      <c r="W69" s="1">
        <v>0.12181502797226987</v>
      </c>
      <c r="X69" s="1">
        <v>2646.7478627553201</v>
      </c>
      <c r="Y69" s="1">
        <v>1.1460982985482615</v>
      </c>
      <c r="Z69" s="1">
        <v>6.1463540259105498</v>
      </c>
      <c r="AA69" s="1">
        <v>287.56815901926802</v>
      </c>
      <c r="AB69" s="1">
        <v>0.16168661765022199</v>
      </c>
      <c r="AC69" s="1">
        <v>388.74084466610299</v>
      </c>
      <c r="AD69" s="1">
        <v>0.24410078572372734</v>
      </c>
      <c r="AE69" s="1">
        <v>0.39727651823277998</v>
      </c>
      <c r="AF69" s="1">
        <v>1.7946552411808001</v>
      </c>
      <c r="AG69" s="1">
        <v>1476.3275930580401</v>
      </c>
      <c r="AH69" s="1">
        <v>1.0859682012263863E-2</v>
      </c>
    </row>
    <row r="70" spans="1:34" x14ac:dyDescent="0.3">
      <c r="A70" t="s">
        <v>452</v>
      </c>
      <c r="B70" t="s">
        <v>122</v>
      </c>
      <c r="C70" t="s">
        <v>453</v>
      </c>
      <c r="D70" t="s">
        <v>398</v>
      </c>
      <c r="E70" t="s">
        <v>454</v>
      </c>
      <c r="F70" t="s">
        <v>460</v>
      </c>
      <c r="G70">
        <v>4</v>
      </c>
      <c r="H70" t="s">
        <v>380</v>
      </c>
      <c r="I70" s="1">
        <v>3.8042711622463532</v>
      </c>
      <c r="J70">
        <v>0.7</v>
      </c>
      <c r="K70" s="1">
        <v>52.356999999999999</v>
      </c>
      <c r="L70" s="1">
        <v>0.04</v>
      </c>
      <c r="M70" s="1">
        <v>46.494999999999997</v>
      </c>
      <c r="N70" s="1">
        <v>0</v>
      </c>
      <c r="O70" s="1">
        <v>99.951999999999998</v>
      </c>
      <c r="P70" t="s">
        <v>143</v>
      </c>
      <c r="R70" t="s">
        <v>460</v>
      </c>
      <c r="S70" s="1">
        <v>0.52676482593539897</v>
      </c>
      <c r="T70" s="1">
        <v>4.8984359887311397</v>
      </c>
      <c r="U70" s="1">
        <v>12.1451134389897</v>
      </c>
      <c r="V70" s="1">
        <v>48.974243298962797</v>
      </c>
      <c r="W70" s="1">
        <v>0.27390796303059251</v>
      </c>
      <c r="X70" s="1">
        <v>5147.5611010779603</v>
      </c>
      <c r="Y70" s="1">
        <v>2.2919174929530879</v>
      </c>
      <c r="Z70" s="1">
        <v>9.2559463489284095</v>
      </c>
      <c r="AA70" s="1">
        <v>440.98350008149799</v>
      </c>
      <c r="AB70" s="1">
        <v>0.38477407934309826</v>
      </c>
      <c r="AC70" s="1">
        <v>607.59049845083905</v>
      </c>
      <c r="AD70" s="1">
        <v>0.39503040242850257</v>
      </c>
      <c r="AE70" s="1">
        <v>0.66388713246312403</v>
      </c>
      <c r="AF70" s="1">
        <v>2.2270355726542701</v>
      </c>
      <c r="AG70" s="1">
        <v>1603.6525187735599</v>
      </c>
      <c r="AH70" s="1">
        <v>2.5480997295327001E-2</v>
      </c>
    </row>
    <row r="71" spans="1:34" x14ac:dyDescent="0.3">
      <c r="A71" t="s">
        <v>452</v>
      </c>
      <c r="B71" t="s">
        <v>122</v>
      </c>
      <c r="C71" t="s">
        <v>453</v>
      </c>
      <c r="D71" t="s">
        <v>398</v>
      </c>
      <c r="E71" t="s">
        <v>454</v>
      </c>
      <c r="F71" t="s">
        <v>461</v>
      </c>
      <c r="G71">
        <v>5</v>
      </c>
      <c r="H71" t="s">
        <v>380</v>
      </c>
      <c r="I71" s="1">
        <v>3.8008895569896506</v>
      </c>
      <c r="J71">
        <v>0.7</v>
      </c>
      <c r="K71" s="1">
        <v>53.027999999999999</v>
      </c>
      <c r="L71" s="1">
        <v>1.4999999999999999E-2</v>
      </c>
      <c r="M71" s="1">
        <v>45.811</v>
      </c>
      <c r="N71" s="1">
        <v>2.4E-2</v>
      </c>
      <c r="O71" s="1">
        <v>99.974000000000004</v>
      </c>
      <c r="P71" t="s">
        <v>134</v>
      </c>
      <c r="R71" t="s">
        <v>461</v>
      </c>
      <c r="S71" s="1">
        <v>0.14343788936128299</v>
      </c>
      <c r="T71" s="1">
        <v>1.11568607734513</v>
      </c>
      <c r="U71" s="1">
        <v>3.5957998342200201</v>
      </c>
      <c r="V71" s="1">
        <v>20.609345755379898</v>
      </c>
      <c r="W71" s="1">
        <v>0.10048293706305676</v>
      </c>
      <c r="X71" s="1">
        <v>3305.67062671945</v>
      </c>
      <c r="Y71" s="1">
        <v>0.80873192457915066</v>
      </c>
      <c r="Z71" s="1">
        <v>4.2248210031144797</v>
      </c>
      <c r="AA71" s="1">
        <v>126.612316435528</v>
      </c>
      <c r="AB71" s="1">
        <v>0.16437865113684585</v>
      </c>
      <c r="AC71" s="1">
        <v>283.878705339475</v>
      </c>
      <c r="AD71" s="1">
        <v>0.25003469812240159</v>
      </c>
      <c r="AE71" s="1">
        <v>0.17415829330787999</v>
      </c>
      <c r="AF71" s="1">
        <v>0.319316153729509</v>
      </c>
      <c r="AG71" s="1">
        <v>511.81678495846398</v>
      </c>
      <c r="AH71" s="1">
        <v>4.8810191348497159E-3</v>
      </c>
    </row>
    <row r="72" spans="1:34" x14ac:dyDescent="0.3">
      <c r="A72" t="s">
        <v>452</v>
      </c>
      <c r="B72" t="s">
        <v>122</v>
      </c>
      <c r="C72" t="s">
        <v>453</v>
      </c>
      <c r="D72" t="s">
        <v>398</v>
      </c>
      <c r="E72" t="s">
        <v>454</v>
      </c>
      <c r="F72" t="s">
        <v>462</v>
      </c>
      <c r="G72">
        <v>5</v>
      </c>
      <c r="H72" t="s">
        <v>382</v>
      </c>
      <c r="I72" s="1">
        <v>4.0055893952013477</v>
      </c>
      <c r="J72">
        <v>0.7</v>
      </c>
      <c r="K72" s="1"/>
      <c r="L72" s="1"/>
      <c r="M72" s="1"/>
      <c r="N72" s="1"/>
      <c r="O72" s="1"/>
      <c r="R72" t="s">
        <v>462</v>
      </c>
      <c r="S72" s="1">
        <v>0.16548825161411401</v>
      </c>
      <c r="T72" s="1">
        <v>1.1194951297778499</v>
      </c>
      <c r="U72" s="1">
        <v>5.2352683048587796</v>
      </c>
      <c r="V72" s="1">
        <v>26.837476472380899</v>
      </c>
      <c r="W72" s="1">
        <v>0.11938160974928361</v>
      </c>
      <c r="X72" s="1">
        <v>5695.8205071575803</v>
      </c>
      <c r="Y72" s="1">
        <v>1.1227058534452974</v>
      </c>
      <c r="Z72" s="1">
        <v>5.3245183868293697</v>
      </c>
      <c r="AA72" s="1">
        <v>212.29485406862901</v>
      </c>
      <c r="AB72" s="1">
        <v>0.30815819831757607</v>
      </c>
      <c r="AC72" s="1">
        <v>346.58143518458201</v>
      </c>
      <c r="AD72" s="1">
        <v>0.28619577370487609</v>
      </c>
      <c r="AE72" s="1">
        <v>0.43593257810715402</v>
      </c>
      <c r="AF72" s="1">
        <v>0.53258335598669404</v>
      </c>
      <c r="AG72" s="1">
        <v>603.136112280774</v>
      </c>
      <c r="AH72" s="1">
        <v>1.5025052697518698E-2</v>
      </c>
    </row>
    <row r="73" spans="1:34" x14ac:dyDescent="0.3">
      <c r="A73" t="s">
        <v>452</v>
      </c>
      <c r="B73" t="s">
        <v>122</v>
      </c>
      <c r="C73" t="s">
        <v>453</v>
      </c>
      <c r="D73" t="s">
        <v>398</v>
      </c>
      <c r="E73" t="s">
        <v>454</v>
      </c>
      <c r="F73" t="s">
        <v>463</v>
      </c>
      <c r="G73">
        <v>6</v>
      </c>
      <c r="H73" t="s">
        <v>380</v>
      </c>
      <c r="I73" s="1">
        <v>3.6782500063428092</v>
      </c>
      <c r="J73">
        <v>0.7</v>
      </c>
      <c r="K73" s="1">
        <v>52.768999999999998</v>
      </c>
      <c r="L73" s="1">
        <v>7.0000000000000001E-3</v>
      </c>
      <c r="M73" s="1">
        <v>46.286000000000001</v>
      </c>
      <c r="N73" s="1">
        <v>0</v>
      </c>
      <c r="O73" s="1">
        <v>100.026</v>
      </c>
      <c r="P73" t="s">
        <v>135</v>
      </c>
      <c r="R73" t="s">
        <v>463</v>
      </c>
      <c r="S73" s="1">
        <v>0.37975064011433302</v>
      </c>
      <c r="T73" s="1">
        <v>1.71853119253746</v>
      </c>
      <c r="U73" s="1">
        <v>7.7364159455081198</v>
      </c>
      <c r="V73" s="1">
        <v>14.6835009672764</v>
      </c>
      <c r="W73" s="1">
        <v>0.13602950499057556</v>
      </c>
      <c r="X73" s="1">
        <v>2708.02905918949</v>
      </c>
      <c r="Y73" s="1">
        <v>0.96919009266386869</v>
      </c>
      <c r="Z73" s="1">
        <v>3.72922552711684</v>
      </c>
      <c r="AA73" s="1">
        <v>289.48861541276301</v>
      </c>
      <c r="AB73" s="1">
        <v>0.13977545158648355</v>
      </c>
      <c r="AC73" s="1">
        <v>367.46299143086998</v>
      </c>
      <c r="AD73" s="1">
        <v>0.17438296318535768</v>
      </c>
      <c r="AE73" s="1">
        <v>0.46339082170124801</v>
      </c>
      <c r="AF73" s="1">
        <v>0.80615026145615298</v>
      </c>
      <c r="AG73" s="1">
        <v>1147.29707701191</v>
      </c>
      <c r="AH73" s="1">
        <v>9.1668313348485624E-3</v>
      </c>
    </row>
    <row r="74" spans="1:34" x14ac:dyDescent="0.3">
      <c r="A74" t="s">
        <v>452</v>
      </c>
      <c r="B74" t="s">
        <v>122</v>
      </c>
      <c r="C74" t="s">
        <v>453</v>
      </c>
      <c r="D74" t="s">
        <v>398</v>
      </c>
      <c r="E74" t="s">
        <v>454</v>
      </c>
      <c r="F74" t="s">
        <v>464</v>
      </c>
      <c r="G74">
        <v>6</v>
      </c>
      <c r="H74" t="s">
        <v>382</v>
      </c>
      <c r="I74" s="1">
        <v>3.8957999445303759</v>
      </c>
      <c r="J74">
        <v>0.7</v>
      </c>
      <c r="K74" s="1"/>
      <c r="L74" s="1"/>
      <c r="M74" s="1"/>
      <c r="N74" s="1"/>
      <c r="O74" s="1"/>
      <c r="R74" t="s">
        <v>464</v>
      </c>
      <c r="S74" s="1">
        <v>0.33843698875609002</v>
      </c>
      <c r="T74" s="1">
        <v>2.1760160708259102</v>
      </c>
      <c r="U74" s="1">
        <v>7.7094760347184099</v>
      </c>
      <c r="V74" s="1">
        <v>31.9059972345826</v>
      </c>
      <c r="W74" s="1">
        <v>0.13246103615779173</v>
      </c>
      <c r="X74" s="1">
        <v>7173.2749404139804</v>
      </c>
      <c r="Y74" s="1">
        <v>1.4894530474482599</v>
      </c>
      <c r="Z74" s="1">
        <v>7.3293625512202798</v>
      </c>
      <c r="AA74" s="1">
        <v>292.35531837103503</v>
      </c>
      <c r="AB74" s="1">
        <v>0.28475615717288383</v>
      </c>
      <c r="AC74" s="1">
        <v>531.21374577434506</v>
      </c>
      <c r="AD74" s="1">
        <v>0.27566375591917719</v>
      </c>
      <c r="AE74" s="1">
        <v>0.46851103705138603</v>
      </c>
      <c r="AF74" s="1">
        <v>1.1232256914733301</v>
      </c>
      <c r="AG74" s="1">
        <v>1152.18718278488</v>
      </c>
      <c r="AH74" s="1">
        <v>1.7047535856968079E-2</v>
      </c>
    </row>
    <row r="75" spans="1:34" x14ac:dyDescent="0.3">
      <c r="A75" t="s">
        <v>452</v>
      </c>
      <c r="B75" t="s">
        <v>122</v>
      </c>
      <c r="C75" t="s">
        <v>453</v>
      </c>
      <c r="D75" t="s">
        <v>398</v>
      </c>
      <c r="E75" t="s">
        <v>454</v>
      </c>
      <c r="F75" t="s">
        <v>465</v>
      </c>
      <c r="G75">
        <v>7</v>
      </c>
      <c r="H75" t="s">
        <v>380</v>
      </c>
      <c r="I75" s="1">
        <v>3.7474601939320173</v>
      </c>
      <c r="J75">
        <v>0.7</v>
      </c>
      <c r="K75" s="1">
        <v>52.965000000000003</v>
      </c>
      <c r="L75" s="1">
        <v>0</v>
      </c>
      <c r="M75" s="1">
        <v>46.226999999999997</v>
      </c>
      <c r="N75" s="1">
        <v>0</v>
      </c>
      <c r="O75" s="1">
        <v>99.959000000000003</v>
      </c>
      <c r="P75" t="s">
        <v>139</v>
      </c>
      <c r="R75" t="s">
        <v>465</v>
      </c>
      <c r="S75" s="1">
        <v>0.13406755417982699</v>
      </c>
      <c r="T75" s="1">
        <v>0.87567876782690202</v>
      </c>
      <c r="U75" s="1">
        <v>3.1832395327058101</v>
      </c>
      <c r="V75" s="1">
        <v>24.492055638186802</v>
      </c>
      <c r="W75" s="1">
        <v>0.18144083632632346</v>
      </c>
      <c r="X75" s="1">
        <v>3396.0441693556299</v>
      </c>
      <c r="Y75" s="1">
        <v>0.66438042856095725</v>
      </c>
      <c r="Z75" s="1">
        <v>4.4102952754017197</v>
      </c>
      <c r="AA75" s="1">
        <v>116.20634866845501</v>
      </c>
      <c r="AB75" s="1">
        <v>0.18953273646949462</v>
      </c>
      <c r="AC75" s="1">
        <v>310.68096708351902</v>
      </c>
      <c r="AD75" s="1">
        <v>0.18326645935847924</v>
      </c>
      <c r="AE75" s="1">
        <v>0.20278233205590199</v>
      </c>
      <c r="AF75" s="1">
        <v>0.72638672428794304</v>
      </c>
      <c r="AG75" s="1">
        <v>576.39700393738303</v>
      </c>
      <c r="AH75" s="1">
        <v>1.130640469493782E-2</v>
      </c>
    </row>
    <row r="76" spans="1:34" x14ac:dyDescent="0.3">
      <c r="A76" t="s">
        <v>452</v>
      </c>
      <c r="B76" t="s">
        <v>122</v>
      </c>
      <c r="C76" t="s">
        <v>453</v>
      </c>
      <c r="D76" t="s">
        <v>398</v>
      </c>
      <c r="E76" t="s">
        <v>454</v>
      </c>
      <c r="F76" t="s">
        <v>466</v>
      </c>
      <c r="G76">
        <v>7</v>
      </c>
      <c r="H76" t="s">
        <v>382</v>
      </c>
      <c r="I76" s="1">
        <v>4.1940575281802506</v>
      </c>
      <c r="J76">
        <v>0.7</v>
      </c>
      <c r="K76" s="1">
        <v>52.658000000000001</v>
      </c>
      <c r="L76" s="1">
        <v>0</v>
      </c>
      <c r="M76" s="1">
        <v>46.356999999999999</v>
      </c>
      <c r="N76" s="1">
        <v>0</v>
      </c>
      <c r="O76" s="1">
        <v>100.378</v>
      </c>
      <c r="P76" t="s">
        <v>140</v>
      </c>
      <c r="R76" t="s">
        <v>466</v>
      </c>
      <c r="S76" s="1">
        <v>3.6079885121393124E-2</v>
      </c>
      <c r="T76" s="1">
        <v>0.23641818325898187</v>
      </c>
      <c r="U76" s="1">
        <v>1.01638485083723</v>
      </c>
      <c r="V76" s="1">
        <v>17.1280276960291</v>
      </c>
      <c r="W76" s="1">
        <v>0.2393249783478848</v>
      </c>
      <c r="X76" s="1">
        <v>6255.4813910022804</v>
      </c>
      <c r="Y76" s="1">
        <v>1.0057310837604714</v>
      </c>
      <c r="Z76" s="1">
        <v>4.8170268679819301</v>
      </c>
      <c r="AA76" s="1">
        <v>45.295503955578901</v>
      </c>
      <c r="AB76" s="1">
        <v>0.20250328215338809</v>
      </c>
      <c r="AC76" s="1">
        <v>187.81013525223199</v>
      </c>
      <c r="AD76" s="1">
        <v>0.21640775113890565</v>
      </c>
      <c r="AE76" s="1">
        <v>2.7213925279985764E-2</v>
      </c>
      <c r="AF76" s="1">
        <v>0.86399024067996699</v>
      </c>
      <c r="AG76" s="1">
        <v>465.28796597104201</v>
      </c>
      <c r="AH76" s="1">
        <v>9.7295461045200718E-3</v>
      </c>
    </row>
    <row r="77" spans="1:34" x14ac:dyDescent="0.3">
      <c r="A77" t="s">
        <v>244</v>
      </c>
      <c r="B77" t="s">
        <v>122</v>
      </c>
      <c r="C77" t="s">
        <v>242</v>
      </c>
      <c r="D77" t="s">
        <v>398</v>
      </c>
      <c r="E77" t="s">
        <v>467</v>
      </c>
      <c r="F77" t="s">
        <v>468</v>
      </c>
      <c r="G77">
        <v>1</v>
      </c>
      <c r="H77" t="s">
        <v>380</v>
      </c>
      <c r="I77" s="1">
        <v>-2.3337932595490773</v>
      </c>
      <c r="J77">
        <v>0.7</v>
      </c>
      <c r="K77" s="1"/>
      <c r="L77" s="1"/>
      <c r="M77" s="1"/>
      <c r="N77" s="1"/>
      <c r="O77" s="1"/>
      <c r="R77" t="s">
        <v>468</v>
      </c>
      <c r="S77" s="1">
        <v>15.7420626058615</v>
      </c>
      <c r="T77" s="1">
        <v>0.59209345178666994</v>
      </c>
      <c r="U77" s="1">
        <v>16224.258150952501</v>
      </c>
      <c r="V77" s="1">
        <v>50.014514107798803</v>
      </c>
      <c r="W77" s="1">
        <v>0.3610242099299491</v>
      </c>
      <c r="X77" s="1">
        <v>15018.1253921558</v>
      </c>
      <c r="Y77" s="1">
        <v>17.163359372879199</v>
      </c>
      <c r="Z77" s="1">
        <v>0.27834267297383386</v>
      </c>
      <c r="AA77" s="1">
        <v>85.148105613103596</v>
      </c>
      <c r="AB77" s="1">
        <v>0.53273445732794</v>
      </c>
      <c r="AC77" s="1">
        <v>41.627041090693801</v>
      </c>
      <c r="AD77" s="1">
        <v>0.398210911655897</v>
      </c>
      <c r="AE77" s="1">
        <v>12.1255337992585</v>
      </c>
      <c r="AF77" s="1">
        <v>0.20278744001997601</v>
      </c>
      <c r="AG77" s="1">
        <v>2479.7652645210901</v>
      </c>
      <c r="AH77" s="1">
        <v>1.7658513388412546E-2</v>
      </c>
    </row>
    <row r="78" spans="1:34" x14ac:dyDescent="0.3">
      <c r="A78" t="s">
        <v>244</v>
      </c>
      <c r="B78" t="s">
        <v>122</v>
      </c>
      <c r="C78" t="s">
        <v>242</v>
      </c>
      <c r="D78" t="s">
        <v>398</v>
      </c>
      <c r="E78" t="s">
        <v>467</v>
      </c>
      <c r="F78" t="s">
        <v>469</v>
      </c>
      <c r="G78">
        <v>2</v>
      </c>
      <c r="H78" t="s">
        <v>380</v>
      </c>
      <c r="I78" s="1">
        <v>-3.3460204330850729</v>
      </c>
      <c r="J78">
        <v>0.7</v>
      </c>
      <c r="K78" s="1"/>
      <c r="L78" s="1"/>
      <c r="M78" s="1"/>
      <c r="N78" s="1"/>
      <c r="O78" s="1"/>
      <c r="R78" t="s">
        <v>469</v>
      </c>
      <c r="S78" s="1">
        <v>15.1165113360632</v>
      </c>
      <c r="T78" s="1">
        <v>0.67263784191320475</v>
      </c>
      <c r="U78" s="1">
        <v>14134.565967944</v>
      </c>
      <c r="V78" s="1">
        <v>5.7790133400969799</v>
      </c>
      <c r="W78" s="1">
        <v>0.27476064580492637</v>
      </c>
      <c r="X78" s="1">
        <v>5955.55590921354</v>
      </c>
      <c r="Y78" s="1">
        <v>12.3495310378476</v>
      </c>
      <c r="Z78" s="1">
        <v>0.74746615916006998</v>
      </c>
      <c r="AA78" s="1">
        <v>117.483567563473</v>
      </c>
      <c r="AB78" s="1">
        <v>0.41065682355685185</v>
      </c>
      <c r="AC78" s="1">
        <v>30.248122579004299</v>
      </c>
      <c r="AD78" s="1">
        <v>0.53393220124301877</v>
      </c>
      <c r="AE78" s="1">
        <v>3.2004935051507601</v>
      </c>
      <c r="AF78" s="1">
        <v>0.14287568433738601</v>
      </c>
      <c r="AG78" s="1">
        <v>1862.43491380817</v>
      </c>
      <c r="AH78" s="1">
        <v>1.9697753267714644E-2</v>
      </c>
    </row>
    <row r="79" spans="1:34" x14ac:dyDescent="0.3">
      <c r="A79" t="s">
        <v>244</v>
      </c>
      <c r="B79" t="s">
        <v>122</v>
      </c>
      <c r="C79" t="s">
        <v>242</v>
      </c>
      <c r="D79" t="s">
        <v>398</v>
      </c>
      <c r="E79" t="s">
        <v>467</v>
      </c>
      <c r="F79" t="s">
        <v>470</v>
      </c>
      <c r="G79">
        <v>3</v>
      </c>
      <c r="H79" t="s">
        <v>380</v>
      </c>
      <c r="I79" s="1">
        <v>-2.6243858712836632</v>
      </c>
      <c r="J79">
        <v>0.7</v>
      </c>
      <c r="K79" s="1"/>
      <c r="L79" s="1"/>
      <c r="M79" s="1"/>
      <c r="N79" s="1"/>
      <c r="O79" s="1"/>
      <c r="R79" t="s">
        <v>470</v>
      </c>
      <c r="S79" s="1">
        <v>22.208865229665001</v>
      </c>
      <c r="T79" s="1">
        <v>0.6421870287824698</v>
      </c>
      <c r="U79" s="1">
        <v>20098.615780260301</v>
      </c>
      <c r="V79" s="1">
        <v>485.78648352601903</v>
      </c>
      <c r="W79" s="1">
        <v>0.2766078135357859</v>
      </c>
      <c r="X79" s="1">
        <v>13033.7073062323</v>
      </c>
      <c r="Y79" s="1">
        <v>12.2737193186844</v>
      </c>
      <c r="Z79" s="1">
        <v>0.64173703077239896</v>
      </c>
      <c r="AA79" s="1">
        <v>77.8459871198841</v>
      </c>
      <c r="AB79" s="1">
        <v>0.42290326764617525</v>
      </c>
      <c r="AC79" s="1">
        <v>58.255645218721902</v>
      </c>
      <c r="AD79" s="1">
        <v>0.4515091751497502</v>
      </c>
      <c r="AE79" s="1">
        <v>10.1485382357241</v>
      </c>
      <c r="AF79" s="1">
        <v>0.213259668273315</v>
      </c>
      <c r="AG79" s="1">
        <v>3620.23056405939</v>
      </c>
      <c r="AH79" s="1">
        <v>1.4339005596317131E-2</v>
      </c>
    </row>
    <row r="80" spans="1:34" x14ac:dyDescent="0.3">
      <c r="A80" t="s">
        <v>244</v>
      </c>
      <c r="B80" t="s">
        <v>122</v>
      </c>
      <c r="C80" t="s">
        <v>242</v>
      </c>
      <c r="D80" t="s">
        <v>398</v>
      </c>
      <c r="E80" t="s">
        <v>467</v>
      </c>
      <c r="F80" t="s">
        <v>471</v>
      </c>
      <c r="G80">
        <v>4</v>
      </c>
      <c r="H80" t="s">
        <v>380</v>
      </c>
      <c r="I80" s="1">
        <v>-3.4564862048073186</v>
      </c>
      <c r="J80">
        <v>0.7</v>
      </c>
      <c r="K80" s="1"/>
      <c r="L80" s="1"/>
      <c r="M80" s="1"/>
      <c r="N80" s="1"/>
      <c r="O80" s="1"/>
      <c r="R80" t="s">
        <v>471</v>
      </c>
      <c r="S80" s="1">
        <v>18.958605059996898</v>
      </c>
      <c r="T80" s="1">
        <v>0.70891609732372718</v>
      </c>
      <c r="U80" s="1">
        <v>14768.722587465199</v>
      </c>
      <c r="V80" s="1">
        <v>46.866790563752801</v>
      </c>
      <c r="W80" s="1">
        <v>0.27385308231790434</v>
      </c>
      <c r="X80" s="1">
        <v>3876.7603407975198</v>
      </c>
      <c r="Y80" s="1">
        <v>18.525305653857799</v>
      </c>
      <c r="Z80" s="1">
        <v>1.73157649123303</v>
      </c>
      <c r="AA80" s="1">
        <v>109.670510607521</v>
      </c>
      <c r="AB80" s="1">
        <v>0.47493864056677088</v>
      </c>
      <c r="AC80" s="1">
        <v>49.109074028517298</v>
      </c>
      <c r="AD80" s="1">
        <v>0.38561436704918411</v>
      </c>
      <c r="AE80" s="1">
        <v>0.65095045475498403</v>
      </c>
      <c r="AF80" s="1">
        <v>0.23246266071446001</v>
      </c>
      <c r="AG80" s="1">
        <v>471.66978792846101</v>
      </c>
      <c r="AH80" s="1">
        <v>1.8825576566034351E-2</v>
      </c>
    </row>
    <row r="81" spans="1:34" x14ac:dyDescent="0.3">
      <c r="A81" t="s">
        <v>244</v>
      </c>
      <c r="B81" t="s">
        <v>122</v>
      </c>
      <c r="C81" t="s">
        <v>242</v>
      </c>
      <c r="D81" t="s">
        <v>398</v>
      </c>
      <c r="E81" t="s">
        <v>467</v>
      </c>
      <c r="F81" t="s">
        <v>472</v>
      </c>
      <c r="G81">
        <v>5</v>
      </c>
      <c r="H81" t="s">
        <v>380</v>
      </c>
      <c r="I81" s="1">
        <v>-3.0134959161662866</v>
      </c>
      <c r="J81">
        <v>0.7</v>
      </c>
      <c r="K81" s="1"/>
      <c r="L81" s="1"/>
      <c r="M81" s="1"/>
      <c r="N81" s="1"/>
      <c r="O81" s="1"/>
      <c r="R81" t="s">
        <v>472</v>
      </c>
      <c r="S81" s="1">
        <v>45.084223339709801</v>
      </c>
      <c r="T81" s="1">
        <v>1.4856625839734201</v>
      </c>
      <c r="U81" s="1">
        <v>22827.9266131941</v>
      </c>
      <c r="V81" s="1">
        <v>395.45140743121902</v>
      </c>
      <c r="W81" s="1">
        <v>0.65888797374208286</v>
      </c>
      <c r="X81" s="1">
        <v>12530.667201484601</v>
      </c>
      <c r="Y81" s="1">
        <v>12.969749871923501</v>
      </c>
      <c r="Z81" s="1">
        <v>0.43574738681772401</v>
      </c>
      <c r="AA81" s="1">
        <v>213.067341140765</v>
      </c>
      <c r="AB81" s="1">
        <v>11.3664346697827</v>
      </c>
      <c r="AC81" s="1">
        <v>61.3442636119131</v>
      </c>
      <c r="AD81" s="1">
        <v>0.30615692943740158</v>
      </c>
      <c r="AE81" s="1">
        <v>25.6865470725504</v>
      </c>
      <c r="AF81" s="1">
        <v>0.16288257282985399</v>
      </c>
      <c r="AG81" s="1">
        <v>3382.6992698060399</v>
      </c>
      <c r="AH81" s="1">
        <v>2.0964688136950474E-2</v>
      </c>
    </row>
    <row r="82" spans="1:34" x14ac:dyDescent="0.3">
      <c r="A82" t="s">
        <v>244</v>
      </c>
      <c r="B82" t="s">
        <v>122</v>
      </c>
      <c r="C82" t="s">
        <v>242</v>
      </c>
      <c r="D82" t="s">
        <v>398</v>
      </c>
      <c r="E82" t="s">
        <v>467</v>
      </c>
      <c r="F82" t="s">
        <v>473</v>
      </c>
      <c r="G82">
        <v>6</v>
      </c>
      <c r="H82" t="s">
        <v>380</v>
      </c>
      <c r="I82" s="1">
        <v>-3.5295288783540046</v>
      </c>
      <c r="J82">
        <v>0.7</v>
      </c>
      <c r="K82" s="1"/>
      <c r="L82" s="1"/>
      <c r="M82" s="1"/>
      <c r="N82" s="1"/>
      <c r="O82" s="1"/>
      <c r="R82" t="s">
        <v>473</v>
      </c>
      <c r="S82" s="1">
        <v>47.493717741532599</v>
      </c>
      <c r="T82" s="1">
        <v>1.2005126069702401</v>
      </c>
      <c r="U82" s="1">
        <v>6441.9367902918502</v>
      </c>
      <c r="V82" s="1">
        <v>8.3354014163767456</v>
      </c>
      <c r="W82" s="1">
        <v>0.28579640580867605</v>
      </c>
      <c r="X82" s="1">
        <v>5611.9251266235296</v>
      </c>
      <c r="Y82" s="1">
        <v>26.901579639402801</v>
      </c>
      <c r="Z82" s="1">
        <v>1.40957740182703</v>
      </c>
      <c r="AA82" s="1">
        <v>23.397073379363501</v>
      </c>
      <c r="AB82" s="1">
        <v>0.47829806803343278</v>
      </c>
      <c r="AC82" s="1">
        <v>15.345814350561</v>
      </c>
      <c r="AD82" s="1">
        <v>0.24691453590539628</v>
      </c>
      <c r="AE82" s="1">
        <v>0.71726828936269305</v>
      </c>
      <c r="AF82" s="1">
        <v>7.1222592300047599E-2</v>
      </c>
      <c r="AG82" s="1">
        <v>1740.9018175047399</v>
      </c>
      <c r="AH82" s="1">
        <v>1.8900118550778937E-2</v>
      </c>
    </row>
    <row r="83" spans="1:34" x14ac:dyDescent="0.3">
      <c r="A83" t="s">
        <v>244</v>
      </c>
      <c r="B83" t="s">
        <v>122</v>
      </c>
      <c r="C83" t="s">
        <v>242</v>
      </c>
      <c r="D83" t="s">
        <v>398</v>
      </c>
      <c r="E83" t="s">
        <v>467</v>
      </c>
      <c r="F83" t="s">
        <v>474</v>
      </c>
      <c r="G83">
        <v>7</v>
      </c>
      <c r="H83" t="s">
        <v>380</v>
      </c>
      <c r="I83" s="1">
        <v>-3.035363630160326</v>
      </c>
      <c r="J83">
        <v>0.7</v>
      </c>
      <c r="K83" s="1"/>
      <c r="L83" s="1"/>
      <c r="M83" s="1"/>
      <c r="N83" s="1"/>
      <c r="O83" s="1"/>
      <c r="R83" t="s">
        <v>474</v>
      </c>
      <c r="S83" s="1">
        <v>27.87357380081</v>
      </c>
      <c r="T83" s="1">
        <v>0.94383696788790872</v>
      </c>
      <c r="U83" s="1">
        <v>16170.689407870799</v>
      </c>
      <c r="V83" s="1">
        <v>223.498302200719</v>
      </c>
      <c r="W83" s="1">
        <v>0.84902078764367361</v>
      </c>
      <c r="X83" s="1">
        <v>17334.5472488997</v>
      </c>
      <c r="Y83" s="1">
        <v>17.611373070061401</v>
      </c>
      <c r="Z83" s="1">
        <v>0.925184642519565</v>
      </c>
      <c r="AA83" s="1">
        <v>49.339397110786301</v>
      </c>
      <c r="AB83" s="1">
        <v>0.76242640432531406</v>
      </c>
      <c r="AC83" s="1">
        <v>43.4606818717496</v>
      </c>
      <c r="AD83" s="1">
        <v>0.33141303795547278</v>
      </c>
      <c r="AE83" s="1">
        <v>14.2451126855438</v>
      </c>
      <c r="AF83" s="1">
        <v>0.593463322658484</v>
      </c>
      <c r="AG83" s="1">
        <v>757.180241420779</v>
      </c>
      <c r="AH83" s="1">
        <v>2.1039606021405151E-2</v>
      </c>
    </row>
    <row r="84" spans="1:34" x14ac:dyDescent="0.3">
      <c r="A84" t="s">
        <v>244</v>
      </c>
      <c r="B84" t="s">
        <v>122</v>
      </c>
      <c r="C84" t="s">
        <v>242</v>
      </c>
      <c r="D84" t="s">
        <v>398</v>
      </c>
      <c r="E84" t="s">
        <v>467</v>
      </c>
      <c r="F84" t="s">
        <v>475</v>
      </c>
      <c r="G84">
        <v>8</v>
      </c>
      <c r="H84" t="s">
        <v>380</v>
      </c>
      <c r="I84" s="1">
        <v>-2.8764281830905292</v>
      </c>
      <c r="J84">
        <v>0.7</v>
      </c>
      <c r="K84" s="1"/>
      <c r="L84" s="1"/>
      <c r="M84" s="1"/>
      <c r="N84" s="1"/>
      <c r="O84" s="1"/>
      <c r="R84" t="s">
        <v>475</v>
      </c>
      <c r="S84" s="1">
        <v>8.8152974023211392</v>
      </c>
      <c r="T84" s="1">
        <v>0.65799504614891768</v>
      </c>
      <c r="U84" s="1">
        <v>19878.379223597</v>
      </c>
      <c r="V84" s="1">
        <v>51.0477486939565</v>
      </c>
      <c r="W84" s="1">
        <v>0.3036725891088925</v>
      </c>
      <c r="X84" s="1">
        <v>5950.8584058637798</v>
      </c>
      <c r="Y84" s="1">
        <v>7.9092811989702199</v>
      </c>
      <c r="Z84" s="1">
        <v>0.20056389964572521</v>
      </c>
      <c r="AA84" s="1">
        <v>260.83333431746001</v>
      </c>
      <c r="AB84" s="1">
        <v>0.45952069690845043</v>
      </c>
      <c r="AC84" s="1">
        <v>25.9480865626082</v>
      </c>
      <c r="AD84" s="1">
        <v>0.42239395935783347</v>
      </c>
      <c r="AE84" s="1">
        <v>18.2087873013114</v>
      </c>
      <c r="AF84" s="1">
        <v>0.26496622802622699</v>
      </c>
      <c r="AG84" s="1">
        <v>1915.0616501688601</v>
      </c>
      <c r="AH84" s="1">
        <v>2.2308684982541863E-2</v>
      </c>
    </row>
    <row r="85" spans="1:34" x14ac:dyDescent="0.3">
      <c r="A85" t="s">
        <v>244</v>
      </c>
      <c r="B85" t="s">
        <v>122</v>
      </c>
      <c r="C85" t="s">
        <v>242</v>
      </c>
      <c r="D85" t="s">
        <v>398</v>
      </c>
      <c r="E85" t="s">
        <v>467</v>
      </c>
      <c r="F85" t="s">
        <v>476</v>
      </c>
      <c r="G85">
        <v>9</v>
      </c>
      <c r="H85" t="s">
        <v>380</v>
      </c>
      <c r="I85" s="1">
        <v>-3.1135914317675928</v>
      </c>
      <c r="J85">
        <v>0.7</v>
      </c>
      <c r="K85" s="1"/>
      <c r="L85" s="1"/>
      <c r="M85" s="1"/>
      <c r="N85" s="1"/>
      <c r="O85" s="1"/>
      <c r="R85" t="s">
        <v>476</v>
      </c>
      <c r="S85" s="1">
        <v>11.5273233945651</v>
      </c>
      <c r="T85" s="1">
        <v>0.73826818875856304</v>
      </c>
      <c r="U85" s="1">
        <v>11292.370648517301</v>
      </c>
      <c r="V85" s="1">
        <v>6.6457555116842109</v>
      </c>
      <c r="W85" s="1">
        <v>0.17946526873517238</v>
      </c>
      <c r="X85" s="1">
        <v>5082.8352900894097</v>
      </c>
      <c r="Y85" s="1">
        <v>11.9669526741217</v>
      </c>
      <c r="Z85" s="1">
        <v>0.82737449770659499</v>
      </c>
      <c r="AA85" s="1">
        <v>125.452901835994</v>
      </c>
      <c r="AB85" s="1">
        <v>0.24454910450990988</v>
      </c>
      <c r="AC85" s="1">
        <v>9.6072423438537502</v>
      </c>
      <c r="AD85" s="1">
        <v>0.43563971434113069</v>
      </c>
      <c r="AE85" s="1">
        <v>2.3016341715032098</v>
      </c>
      <c r="AF85" s="1">
        <v>6.6073938201177795E-2</v>
      </c>
      <c r="AG85" s="1">
        <v>1237.3802299081401</v>
      </c>
      <c r="AH85" s="1">
        <v>2.3024838096338273E-2</v>
      </c>
    </row>
    <row r="86" spans="1:34" x14ac:dyDescent="0.3">
      <c r="A86" t="s">
        <v>244</v>
      </c>
      <c r="B86" t="s">
        <v>122</v>
      </c>
      <c r="C86" t="s">
        <v>242</v>
      </c>
      <c r="D86" t="s">
        <v>398</v>
      </c>
      <c r="E86" t="s">
        <v>467</v>
      </c>
      <c r="F86" t="s">
        <v>477</v>
      </c>
      <c r="G86">
        <v>10</v>
      </c>
      <c r="H86" t="s">
        <v>380</v>
      </c>
      <c r="I86" s="1">
        <v>-2.5335334100508033</v>
      </c>
      <c r="J86">
        <v>0.7</v>
      </c>
      <c r="K86" s="1"/>
      <c r="L86" s="1"/>
      <c r="M86" s="1"/>
      <c r="N86" s="1"/>
      <c r="O86" s="1"/>
      <c r="R86" t="s">
        <v>477</v>
      </c>
      <c r="S86" s="1">
        <v>15.671684118173999</v>
      </c>
      <c r="T86" s="1">
        <v>1.0241186235418427</v>
      </c>
      <c r="U86" s="1">
        <v>11971.240647532501</v>
      </c>
      <c r="V86" s="1">
        <v>36.760779756460998</v>
      </c>
      <c r="W86" s="1">
        <v>0.49989545934695645</v>
      </c>
      <c r="X86" s="1">
        <v>11820.108843772399</v>
      </c>
      <c r="Y86" s="1">
        <v>12.244190485557599</v>
      </c>
      <c r="Z86" s="1">
        <v>0.70189953522392801</v>
      </c>
      <c r="AA86" s="1">
        <v>61.322566227943497</v>
      </c>
      <c r="AB86" s="1">
        <v>0.39433253837128557</v>
      </c>
      <c r="AC86" s="1">
        <v>46.059832801176597</v>
      </c>
      <c r="AD86" s="1">
        <v>0.48131858766220087</v>
      </c>
      <c r="AE86" s="1">
        <v>14.5043277747187</v>
      </c>
      <c r="AF86" s="1">
        <v>0.24397996828360799</v>
      </c>
      <c r="AG86" s="1">
        <v>1966.9302114449699</v>
      </c>
      <c r="AH86" s="1">
        <v>2.3346498985105994E-2</v>
      </c>
    </row>
    <row r="87" spans="1:34" x14ac:dyDescent="0.3">
      <c r="A87" t="s">
        <v>244</v>
      </c>
      <c r="B87" t="s">
        <v>122</v>
      </c>
      <c r="C87" t="s">
        <v>242</v>
      </c>
      <c r="D87" t="s">
        <v>398</v>
      </c>
      <c r="E87" t="s">
        <v>467</v>
      </c>
      <c r="F87" t="s">
        <v>478</v>
      </c>
      <c r="G87">
        <v>11</v>
      </c>
      <c r="H87" t="s">
        <v>380</v>
      </c>
      <c r="I87" s="1">
        <v>-2.9136258409152571</v>
      </c>
      <c r="J87">
        <v>0.7</v>
      </c>
      <c r="K87" s="1"/>
      <c r="L87" s="1"/>
      <c r="M87" s="1"/>
      <c r="N87" s="1"/>
      <c r="O87" s="1"/>
      <c r="R87" t="s">
        <v>478</v>
      </c>
      <c r="S87" s="1">
        <v>20.2593008875055</v>
      </c>
      <c r="T87" s="1">
        <v>0.59003412968183311</v>
      </c>
      <c r="U87" s="1">
        <v>17138.425543245899</v>
      </c>
      <c r="V87" s="1">
        <v>34.683407991460001</v>
      </c>
      <c r="W87" s="1">
        <v>0.64196095668377273</v>
      </c>
      <c r="X87" s="1">
        <v>6554.6415321161703</v>
      </c>
      <c r="Y87" s="1">
        <v>35.174134410647902</v>
      </c>
      <c r="Z87" s="1">
        <v>0.78426761668411904</v>
      </c>
      <c r="AA87" s="1">
        <v>312.589628075056</v>
      </c>
      <c r="AB87" s="1">
        <v>0.51032265541775101</v>
      </c>
      <c r="AC87" s="1">
        <v>34.045362203616001</v>
      </c>
      <c r="AD87" s="1">
        <v>0.6052421542585511</v>
      </c>
      <c r="AE87" s="1">
        <v>34.684072805084398</v>
      </c>
      <c r="AF87" s="1">
        <v>0.28895948868399701</v>
      </c>
      <c r="AG87" s="1">
        <v>2344.3950049976402</v>
      </c>
      <c r="AH87" s="1">
        <v>1.7996463235960828E-2</v>
      </c>
    </row>
    <row r="88" spans="1:34" x14ac:dyDescent="0.3">
      <c r="A88" t="s">
        <v>123</v>
      </c>
      <c r="B88" t="s">
        <v>120</v>
      </c>
      <c r="C88" t="s">
        <v>124</v>
      </c>
      <c r="D88" t="s">
        <v>377</v>
      </c>
      <c r="E88" t="s">
        <v>479</v>
      </c>
      <c r="F88" t="s">
        <v>481</v>
      </c>
      <c r="G88">
        <v>2</v>
      </c>
      <c r="H88" t="s">
        <v>380</v>
      </c>
      <c r="I88" s="1">
        <v>-4.1244659632005964</v>
      </c>
      <c r="J88">
        <v>0.7</v>
      </c>
      <c r="K88" s="1"/>
      <c r="L88" s="1"/>
      <c r="M88" s="1"/>
      <c r="N88" s="1"/>
      <c r="O88" s="1"/>
      <c r="R88" t="s">
        <v>481</v>
      </c>
      <c r="S88" s="1">
        <v>135.89450750430399</v>
      </c>
      <c r="T88" s="1">
        <v>13.3241736650555</v>
      </c>
      <c r="U88" s="1">
        <v>133.932653043301</v>
      </c>
      <c r="V88" s="1">
        <v>6.2126192404088272</v>
      </c>
      <c r="W88" s="1">
        <v>0.10939663449493398</v>
      </c>
      <c r="X88" s="1">
        <v>1.72352325695979</v>
      </c>
      <c r="Y88" s="1">
        <v>165.0516849338</v>
      </c>
      <c r="Z88" s="1">
        <v>4.3377292949888302</v>
      </c>
      <c r="AA88" s="1">
        <v>1.64246993032766</v>
      </c>
      <c r="AB88" s="1">
        <v>0.16256413916101456</v>
      </c>
      <c r="AC88" s="1">
        <v>6.0664334250289588E-2</v>
      </c>
      <c r="AD88" s="1">
        <v>5.72831050960529</v>
      </c>
      <c r="AE88" s="1">
        <v>0.226151355120248</v>
      </c>
      <c r="AF88" s="1">
        <v>1.1272764795415944E-2</v>
      </c>
      <c r="AG88" s="1">
        <v>1.1946377709862199</v>
      </c>
      <c r="AH88" s="1">
        <v>1.4051778527079454E-2</v>
      </c>
    </row>
    <row r="89" spans="1:34" x14ac:dyDescent="0.3">
      <c r="A89" t="s">
        <v>123</v>
      </c>
      <c r="B89" t="s">
        <v>120</v>
      </c>
      <c r="C89" t="s">
        <v>124</v>
      </c>
      <c r="D89" t="s">
        <v>377</v>
      </c>
      <c r="E89" t="s">
        <v>479</v>
      </c>
      <c r="F89" t="s">
        <v>483</v>
      </c>
      <c r="G89">
        <v>4</v>
      </c>
      <c r="H89" t="s">
        <v>380</v>
      </c>
      <c r="I89" s="1">
        <v>-5.2929232996008491</v>
      </c>
      <c r="J89">
        <v>0.7</v>
      </c>
      <c r="K89" s="1">
        <v>53.896000000000001</v>
      </c>
      <c r="L89" s="1">
        <v>0</v>
      </c>
      <c r="M89" s="1">
        <v>46.784999999999997</v>
      </c>
      <c r="N89" s="1">
        <v>7.0000000000000001E-3</v>
      </c>
      <c r="O89" s="1">
        <v>100.83499999999999</v>
      </c>
      <c r="P89" s="1" t="s">
        <v>35</v>
      </c>
      <c r="R89" t="s">
        <v>483</v>
      </c>
      <c r="S89" s="1">
        <v>179.56366625497199</v>
      </c>
      <c r="T89" s="1">
        <v>12.213917430333201</v>
      </c>
      <c r="U89" s="1">
        <v>99.161841839915397</v>
      </c>
      <c r="V89" s="1">
        <v>12.709237362199504</v>
      </c>
      <c r="W89" s="1">
        <v>0.50685935119196701</v>
      </c>
      <c r="X89" s="1">
        <v>9.6424154787464502</v>
      </c>
      <c r="Y89" s="1">
        <v>197.27564248637901</v>
      </c>
      <c r="Z89" s="1">
        <v>59.617297748929403</v>
      </c>
      <c r="AA89" s="1">
        <v>0.11675023237081152</v>
      </c>
      <c r="AB89" s="1">
        <v>0.41317102605279843</v>
      </c>
      <c r="AC89" s="1">
        <v>0.15058562945108514</v>
      </c>
      <c r="AD89" s="1">
        <v>17.614595723971</v>
      </c>
      <c r="AE89" s="1">
        <v>0.48185632835099701</v>
      </c>
      <c r="AF89" s="1">
        <v>4.0315410625685416E-2</v>
      </c>
      <c r="AG89" s="1">
        <v>0.83560993498140501</v>
      </c>
      <c r="AH89" s="1">
        <v>2.2823337984427601E-2</v>
      </c>
    </row>
    <row r="90" spans="1:34" x14ac:dyDescent="0.3">
      <c r="A90" t="s">
        <v>123</v>
      </c>
      <c r="B90" t="s">
        <v>120</v>
      </c>
      <c r="C90" t="s">
        <v>124</v>
      </c>
      <c r="D90" t="s">
        <v>377</v>
      </c>
      <c r="E90" t="s">
        <v>479</v>
      </c>
      <c r="F90" t="s">
        <v>484</v>
      </c>
      <c r="G90">
        <v>5</v>
      </c>
      <c r="H90" t="s">
        <v>380</v>
      </c>
      <c r="I90" s="1">
        <v>-5.0634250228391853</v>
      </c>
      <c r="J90">
        <v>0.7</v>
      </c>
      <c r="K90" s="1"/>
      <c r="L90" s="1"/>
      <c r="M90" s="1"/>
      <c r="N90" s="1"/>
      <c r="O90" s="1"/>
      <c r="R90" t="s">
        <v>484</v>
      </c>
      <c r="S90" s="1">
        <v>72.801573690558101</v>
      </c>
      <c r="T90" s="1">
        <v>6.8524342483683798</v>
      </c>
      <c r="U90" s="1">
        <v>53.984836371255199</v>
      </c>
      <c r="V90" s="1">
        <v>5.444034213810486</v>
      </c>
      <c r="W90" s="1">
        <v>0.19516063571422287</v>
      </c>
      <c r="X90" s="1">
        <v>0.40759163310139301</v>
      </c>
      <c r="Y90" s="1">
        <v>110.986986806495</v>
      </c>
      <c r="Z90" s="1">
        <v>8.6943132653849595</v>
      </c>
      <c r="AA90" s="1">
        <v>4.9920245411961973E-2</v>
      </c>
      <c r="AB90" s="1">
        <v>0.24270306474090908</v>
      </c>
      <c r="AC90" s="1">
        <v>9.49414845773002E-2</v>
      </c>
      <c r="AD90" s="1">
        <v>1.64294734148308</v>
      </c>
      <c r="AE90" s="1">
        <v>5.0223189392842683E-2</v>
      </c>
      <c r="AF90" s="1">
        <v>2.0837528161645517E-2</v>
      </c>
      <c r="AG90" s="1">
        <v>8.6848975189532981E-2</v>
      </c>
      <c r="AH90" s="1">
        <v>3.2406044687081997E-2</v>
      </c>
    </row>
    <row r="91" spans="1:34" x14ac:dyDescent="0.3">
      <c r="A91" t="s">
        <v>123</v>
      </c>
      <c r="B91" t="s">
        <v>120</v>
      </c>
      <c r="C91" t="s">
        <v>124</v>
      </c>
      <c r="D91" t="s">
        <v>377</v>
      </c>
      <c r="E91" t="s">
        <v>479</v>
      </c>
      <c r="F91" t="s">
        <v>480</v>
      </c>
      <c r="G91">
        <v>1</v>
      </c>
      <c r="H91" t="s">
        <v>380</v>
      </c>
      <c r="I91" s="1">
        <v>-5.6026783411238235</v>
      </c>
      <c r="J91">
        <v>0.7</v>
      </c>
      <c r="K91" s="1">
        <v>52.91</v>
      </c>
      <c r="L91" s="1">
        <v>0.01</v>
      </c>
      <c r="M91" s="1">
        <v>46.097000000000001</v>
      </c>
      <c r="N91" s="1">
        <v>2.3E-2</v>
      </c>
      <c r="O91" s="1">
        <v>99.183999999999997</v>
      </c>
      <c r="P91" s="1" t="s">
        <v>36</v>
      </c>
      <c r="R91" t="s">
        <v>480</v>
      </c>
      <c r="S91" s="1">
        <v>117.914956778381</v>
      </c>
      <c r="T91" s="1">
        <v>7.9308634621042904</v>
      </c>
      <c r="U91" s="1">
        <v>616.70868976912402</v>
      </c>
      <c r="V91" s="1">
        <v>8.6132326233593588</v>
      </c>
      <c r="W91" s="1">
        <v>0.62018583339420497</v>
      </c>
      <c r="X91" s="1">
        <v>10.390112658111599</v>
      </c>
      <c r="Y91" s="1">
        <v>332.88447200936798</v>
      </c>
      <c r="Z91" s="1">
        <v>6.9037346532704698</v>
      </c>
      <c r="AA91" s="1">
        <v>8.9699958874635897</v>
      </c>
      <c r="AB91" s="1">
        <v>0.56224546352378846</v>
      </c>
      <c r="AC91" s="1">
        <v>0.17154600539917395</v>
      </c>
      <c r="AD91" s="1">
        <v>29.377231574563499</v>
      </c>
      <c r="AE91" s="1">
        <v>1.7629831454651701</v>
      </c>
      <c r="AF91" s="1">
        <v>5.3203459728311496E-2</v>
      </c>
      <c r="AG91" s="1">
        <v>1.3233312959596699</v>
      </c>
      <c r="AH91" s="1">
        <v>2.7504750463267804E-2</v>
      </c>
    </row>
    <row r="92" spans="1:34" x14ac:dyDescent="0.3">
      <c r="A92" t="s">
        <v>123</v>
      </c>
      <c r="B92" t="s">
        <v>120</v>
      </c>
      <c r="C92" t="s">
        <v>124</v>
      </c>
      <c r="D92" t="s">
        <v>377</v>
      </c>
      <c r="E92" t="s">
        <v>479</v>
      </c>
      <c r="F92" t="s">
        <v>482</v>
      </c>
      <c r="G92">
        <v>3</v>
      </c>
      <c r="H92" t="s">
        <v>380</v>
      </c>
      <c r="I92" s="1">
        <v>-5.182682968228991</v>
      </c>
      <c r="J92">
        <v>0.7</v>
      </c>
      <c r="K92" s="1"/>
      <c r="L92" s="1"/>
      <c r="M92" s="1"/>
      <c r="N92" s="1"/>
      <c r="O92" s="1"/>
      <c r="R92" t="s">
        <v>482</v>
      </c>
      <c r="S92" s="1">
        <v>49.4104064782492</v>
      </c>
      <c r="T92" s="1">
        <v>2.3454245394057001</v>
      </c>
      <c r="U92" s="1">
        <v>805.82792372653</v>
      </c>
      <c r="V92" s="1">
        <v>6.7055437318005753</v>
      </c>
      <c r="W92" s="1">
        <v>0.12652303127983006</v>
      </c>
      <c r="X92" s="1">
        <v>6.6349713352780197</v>
      </c>
      <c r="Y92" s="1">
        <v>215.85428812971901</v>
      </c>
      <c r="Z92" s="1">
        <v>3.8675739529623701</v>
      </c>
      <c r="AA92" s="1">
        <v>7.2507370395941906E-2</v>
      </c>
      <c r="AB92" s="1">
        <v>0.20629161579938488</v>
      </c>
      <c r="AC92" s="1">
        <v>7.5462324469953976E-2</v>
      </c>
      <c r="AD92" s="1">
        <v>23.460723097566301</v>
      </c>
      <c r="AE92" s="1">
        <v>2.4465071679846302</v>
      </c>
      <c r="AF92" s="1">
        <v>2.7446616578484347E-2</v>
      </c>
      <c r="AG92" s="1">
        <v>0.538149329616599</v>
      </c>
      <c r="AH92" s="1">
        <v>9.6736760316113394E-3</v>
      </c>
    </row>
    <row r="93" spans="1:34" x14ac:dyDescent="0.3">
      <c r="A93" t="s">
        <v>485</v>
      </c>
      <c r="B93" t="s">
        <v>120</v>
      </c>
      <c r="C93" t="s">
        <v>253</v>
      </c>
      <c r="D93" t="s">
        <v>398</v>
      </c>
      <c r="E93" t="s">
        <v>467</v>
      </c>
      <c r="F93" t="s">
        <v>486</v>
      </c>
      <c r="G93">
        <v>1</v>
      </c>
      <c r="H93" t="s">
        <v>380</v>
      </c>
      <c r="I93" s="1">
        <v>2.7755868431273978</v>
      </c>
      <c r="J93">
        <v>0.7</v>
      </c>
      <c r="K93" s="1">
        <v>52.930999999999997</v>
      </c>
      <c r="L93" s="1">
        <v>3.9E-2</v>
      </c>
      <c r="M93" s="1">
        <v>46.389000000000003</v>
      </c>
      <c r="N93" s="1">
        <v>6.0000000000000001E-3</v>
      </c>
      <c r="O93" s="1">
        <v>99.680999999999997</v>
      </c>
      <c r="P93" t="s">
        <v>210</v>
      </c>
      <c r="R93" t="s">
        <v>486</v>
      </c>
      <c r="S93" s="1">
        <v>5.9573596278414409E-2</v>
      </c>
      <c r="T93" s="1">
        <v>0.39345112998883069</v>
      </c>
      <c r="U93" s="1">
        <v>8.2840929444183793</v>
      </c>
      <c r="V93" s="1">
        <v>6.0040500214547299</v>
      </c>
      <c r="W93" s="1">
        <v>0.1364603429276994</v>
      </c>
      <c r="X93" s="1">
        <v>1671.67037556284</v>
      </c>
      <c r="Y93" s="1">
        <v>448.42876399474898</v>
      </c>
      <c r="Z93" s="1">
        <v>0.15316945679324792</v>
      </c>
      <c r="AA93" s="1">
        <v>4.081816590320525E-2</v>
      </c>
      <c r="AB93" s="1">
        <v>0.23288888167879293</v>
      </c>
      <c r="AC93" s="1">
        <v>7.3700598779243398E-2</v>
      </c>
      <c r="AD93" s="1">
        <v>0.24840297782640416</v>
      </c>
      <c r="AE93" s="1">
        <v>4.9365577503678003E-2</v>
      </c>
      <c r="AF93" s="1">
        <v>9.9600020617872376E-3</v>
      </c>
      <c r="AG93" s="1">
        <v>0.98815284246045898</v>
      </c>
      <c r="AH93" s="1">
        <v>9.4475946796883058E-3</v>
      </c>
    </row>
    <row r="94" spans="1:34" x14ac:dyDescent="0.3">
      <c r="A94" t="s">
        <v>485</v>
      </c>
      <c r="B94" t="s">
        <v>120</v>
      </c>
      <c r="C94" t="s">
        <v>253</v>
      </c>
      <c r="D94" t="s">
        <v>398</v>
      </c>
      <c r="E94" t="s">
        <v>467</v>
      </c>
      <c r="F94" t="s">
        <v>487</v>
      </c>
      <c r="G94">
        <v>1</v>
      </c>
      <c r="H94" t="s">
        <v>382</v>
      </c>
      <c r="I94" s="1">
        <v>3.087370847804527</v>
      </c>
      <c r="J94">
        <v>0.7</v>
      </c>
      <c r="K94" s="1">
        <v>52.930999999999997</v>
      </c>
      <c r="L94" s="1">
        <v>3.9E-2</v>
      </c>
      <c r="M94" s="1">
        <v>46.389000000000003</v>
      </c>
      <c r="N94" s="1">
        <v>6.0000000000000001E-3</v>
      </c>
      <c r="O94" s="1">
        <v>99.680999999999997</v>
      </c>
      <c r="P94" t="s">
        <v>210</v>
      </c>
      <c r="R94" t="s">
        <v>487</v>
      </c>
      <c r="S94" s="1">
        <v>1.15486024114358</v>
      </c>
      <c r="T94" s="1">
        <v>0.52983065034578758</v>
      </c>
      <c r="U94" s="1">
        <v>1360.2841919583</v>
      </c>
      <c r="V94" s="1">
        <v>2307.74076798847</v>
      </c>
      <c r="W94" s="1">
        <v>0.15966044738124102</v>
      </c>
      <c r="X94" s="1">
        <v>1471.6403067912099</v>
      </c>
      <c r="Y94" s="1">
        <v>484.78351105008801</v>
      </c>
      <c r="Z94" s="1">
        <v>0.14928473086403451</v>
      </c>
      <c r="AA94" s="1">
        <v>9.3463000283305302</v>
      </c>
      <c r="AB94" s="1">
        <v>14.134023912703899</v>
      </c>
      <c r="AC94" s="1">
        <v>19.699847709998998</v>
      </c>
      <c r="AD94" s="1">
        <v>0.24254327739168244</v>
      </c>
      <c r="AE94" s="1">
        <v>0.19652634139573</v>
      </c>
      <c r="AF94" s="1">
        <v>1.5170913586466868E-2</v>
      </c>
      <c r="AG94" s="1">
        <v>275.03977608948202</v>
      </c>
      <c r="AH94" s="1">
        <v>4.2133245177521102E-2</v>
      </c>
    </row>
    <row r="95" spans="1:34" x14ac:dyDescent="0.3">
      <c r="A95" t="s">
        <v>485</v>
      </c>
      <c r="B95" t="s">
        <v>120</v>
      </c>
      <c r="C95" t="s">
        <v>253</v>
      </c>
      <c r="D95" t="s">
        <v>398</v>
      </c>
      <c r="E95" t="s">
        <v>467</v>
      </c>
      <c r="F95" t="s">
        <v>488</v>
      </c>
      <c r="G95">
        <v>2</v>
      </c>
      <c r="H95" t="s">
        <v>380</v>
      </c>
      <c r="I95" s="1">
        <v>2.9620260129523679</v>
      </c>
      <c r="J95">
        <v>0.7</v>
      </c>
      <c r="K95" s="1">
        <v>53.152999999999999</v>
      </c>
      <c r="L95" s="1">
        <v>3.9E-2</v>
      </c>
      <c r="M95" s="1">
        <v>46.186999999999998</v>
      </c>
      <c r="N95" s="1">
        <v>5.6000000000000001E-2</v>
      </c>
      <c r="O95" s="1">
        <v>99.834000000000003</v>
      </c>
      <c r="P95" t="s">
        <v>211</v>
      </c>
      <c r="R95" t="s">
        <v>488</v>
      </c>
      <c r="S95" s="1">
        <v>8.7718284154611817E-2</v>
      </c>
      <c r="T95" s="1">
        <v>0.54255827839563397</v>
      </c>
      <c r="U95" s="1">
        <v>1759.6696053068599</v>
      </c>
      <c r="V95" s="1">
        <v>85800.011650892397</v>
      </c>
      <c r="W95" s="1">
        <v>0.69011618045981571</v>
      </c>
      <c r="X95" s="1">
        <v>980.56261867714204</v>
      </c>
      <c r="Y95" s="1">
        <v>665.61350272052402</v>
      </c>
      <c r="Z95" s="1">
        <v>0.30629553220662697</v>
      </c>
      <c r="AA95" s="1">
        <v>9.0989628064265595</v>
      </c>
      <c r="AB95" s="1">
        <v>498.71084527710502</v>
      </c>
      <c r="AC95" s="1">
        <v>1.1575995198884299</v>
      </c>
      <c r="AD95" s="1">
        <v>0.46355628909151025</v>
      </c>
      <c r="AE95" s="1">
        <v>0.206746458240954</v>
      </c>
      <c r="AF95" s="1">
        <v>2.6527168511040089E-2</v>
      </c>
      <c r="AG95" s="1">
        <v>105.183092871456</v>
      </c>
      <c r="AH95" s="1">
        <v>2.0618149461895038E-2</v>
      </c>
    </row>
    <row r="96" spans="1:34" x14ac:dyDescent="0.3">
      <c r="A96" t="s">
        <v>485</v>
      </c>
      <c r="B96" t="s">
        <v>120</v>
      </c>
      <c r="C96" t="s">
        <v>253</v>
      </c>
      <c r="D96" t="s">
        <v>398</v>
      </c>
      <c r="E96" t="s">
        <v>467</v>
      </c>
      <c r="F96" t="s">
        <v>489</v>
      </c>
      <c r="G96">
        <v>2</v>
      </c>
      <c r="H96" t="s">
        <v>382</v>
      </c>
      <c r="I96" s="1">
        <v>3.0416064566625156</v>
      </c>
      <c r="J96">
        <v>0.7</v>
      </c>
      <c r="K96" s="1">
        <v>53.152999999999999</v>
      </c>
      <c r="L96" s="1">
        <v>3.9E-2</v>
      </c>
      <c r="M96" s="1">
        <v>46.186999999999998</v>
      </c>
      <c r="N96" s="1">
        <v>5.6000000000000001E-2</v>
      </c>
      <c r="O96" s="1">
        <v>99.834000000000003</v>
      </c>
      <c r="P96" t="s">
        <v>211</v>
      </c>
      <c r="R96" t="s">
        <v>489</v>
      </c>
      <c r="S96" s="1">
        <v>6.6092841561912183E-2</v>
      </c>
      <c r="T96" s="1">
        <v>0.4987959863893906</v>
      </c>
      <c r="U96" s="1">
        <v>61.5572760144589</v>
      </c>
      <c r="V96" s="1">
        <v>5034.9077816879399</v>
      </c>
      <c r="W96" s="1">
        <v>0.17770814080030223</v>
      </c>
      <c r="X96" s="1">
        <v>1360.5884688321401</v>
      </c>
      <c r="Y96" s="1">
        <v>750.74247532220704</v>
      </c>
      <c r="Z96" s="1">
        <v>0.31207612239391952</v>
      </c>
      <c r="AA96" s="1">
        <v>1.8576945195427801</v>
      </c>
      <c r="AB96" s="1">
        <v>17.368439620126001</v>
      </c>
      <c r="AC96" s="1">
        <v>0.36594152643863698</v>
      </c>
      <c r="AD96" s="1">
        <v>0.58960158460186096</v>
      </c>
      <c r="AE96" s="1">
        <v>6.3272852370146335E-2</v>
      </c>
      <c r="AF96" s="1">
        <v>1.5079147264567629E-2</v>
      </c>
      <c r="AG96" s="1">
        <v>15.116652073421999</v>
      </c>
      <c r="AH96" s="1">
        <v>1.9465442937064932E-2</v>
      </c>
    </row>
    <row r="97" spans="1:34" x14ac:dyDescent="0.3">
      <c r="A97" t="s">
        <v>485</v>
      </c>
      <c r="B97" t="s">
        <v>120</v>
      </c>
      <c r="C97" t="s">
        <v>253</v>
      </c>
      <c r="D97" t="s">
        <v>398</v>
      </c>
      <c r="E97" t="s">
        <v>467</v>
      </c>
      <c r="F97" t="s">
        <v>490</v>
      </c>
      <c r="G97">
        <v>3</v>
      </c>
      <c r="H97" t="s">
        <v>380</v>
      </c>
      <c r="I97" s="1">
        <v>3.0900761320098447</v>
      </c>
      <c r="J97">
        <v>0.7</v>
      </c>
      <c r="K97" s="1"/>
      <c r="L97" s="1"/>
      <c r="M97" s="1"/>
      <c r="N97" s="1"/>
      <c r="O97" s="1"/>
      <c r="R97" t="s">
        <v>490</v>
      </c>
      <c r="S97" s="1">
        <v>0.16707900607132889</v>
      </c>
      <c r="T97" s="1">
        <v>0.8475268069280627</v>
      </c>
      <c r="U97" s="1">
        <v>576.55046371149797</v>
      </c>
      <c r="V97" s="1">
        <v>4239.6671852673398</v>
      </c>
      <c r="W97" s="1">
        <v>0.37463371935856049</v>
      </c>
      <c r="X97" s="1">
        <v>511.58617980308799</v>
      </c>
      <c r="Y97" s="1">
        <v>640.95959253149999</v>
      </c>
      <c r="Z97" s="1">
        <v>0.25409500143346481</v>
      </c>
      <c r="AA97" s="1">
        <v>8.7294193779889202</v>
      </c>
      <c r="AB97" s="1">
        <v>29.242161014255199</v>
      </c>
      <c r="AC97" s="1">
        <v>1.8088780969810201</v>
      </c>
      <c r="AD97" s="1">
        <v>0.53223118173419004</v>
      </c>
      <c r="AE97" s="1">
        <v>6.5057293095783952E-2</v>
      </c>
      <c r="AF97" s="1">
        <v>3.3576230921218017E-2</v>
      </c>
      <c r="AG97" s="1">
        <v>82.119155719655694</v>
      </c>
      <c r="AH97" s="1">
        <v>1.4894532165232496E-2</v>
      </c>
    </row>
    <row r="98" spans="1:34" x14ac:dyDescent="0.3">
      <c r="A98" t="s">
        <v>485</v>
      </c>
      <c r="B98" t="s">
        <v>120</v>
      </c>
      <c r="C98" t="s">
        <v>253</v>
      </c>
      <c r="D98" t="s">
        <v>398</v>
      </c>
      <c r="E98" t="s">
        <v>467</v>
      </c>
      <c r="F98" t="s">
        <v>491</v>
      </c>
      <c r="G98">
        <v>4</v>
      </c>
      <c r="H98" t="s">
        <v>380</v>
      </c>
      <c r="I98" s="1">
        <v>2.8810929271394503</v>
      </c>
      <c r="J98">
        <v>0.7</v>
      </c>
      <c r="K98" s="1">
        <v>53.642000000000003</v>
      </c>
      <c r="L98" s="1">
        <v>1.7999999999999999E-2</v>
      </c>
      <c r="M98" s="1">
        <v>46.451000000000001</v>
      </c>
      <c r="N98" s="1">
        <v>0.17199999999999999</v>
      </c>
      <c r="O98" s="1">
        <v>100.423</v>
      </c>
      <c r="P98" t="s">
        <v>218</v>
      </c>
      <c r="R98" t="s">
        <v>491</v>
      </c>
      <c r="S98" s="1">
        <v>7.5111380196531671E-2</v>
      </c>
      <c r="T98" s="1">
        <v>0.94770031043226377</v>
      </c>
      <c r="U98" s="1">
        <v>241.530653059765</v>
      </c>
      <c r="V98" s="1">
        <v>1206.1246727524101</v>
      </c>
      <c r="W98" s="1">
        <v>0.27079711126268768</v>
      </c>
      <c r="X98" s="1">
        <v>895.98368433053997</v>
      </c>
      <c r="Y98" s="1">
        <v>663.018609789263</v>
      </c>
      <c r="Z98" s="1">
        <v>0.30371134548985945</v>
      </c>
      <c r="AA98" s="1">
        <v>4.6955464591491003</v>
      </c>
      <c r="AB98" s="1">
        <v>5.4598313106392498</v>
      </c>
      <c r="AC98" s="1">
        <v>0.96889483737510596</v>
      </c>
      <c r="AD98" s="1">
        <v>0.44400752406481447</v>
      </c>
      <c r="AE98" s="1">
        <v>3.9480527584524895E-2</v>
      </c>
      <c r="AF98" s="1">
        <v>4.5995092287901891E-2</v>
      </c>
      <c r="AG98" s="1">
        <v>56.391621555387303</v>
      </c>
      <c r="AH98" s="1">
        <v>1.7341705321618103E-2</v>
      </c>
    </row>
    <row r="99" spans="1:34" x14ac:dyDescent="0.3">
      <c r="A99" t="s">
        <v>485</v>
      </c>
      <c r="B99" t="s">
        <v>120</v>
      </c>
      <c r="C99" t="s">
        <v>253</v>
      </c>
      <c r="D99" t="s">
        <v>398</v>
      </c>
      <c r="E99" t="s">
        <v>467</v>
      </c>
      <c r="F99" t="s">
        <v>492</v>
      </c>
      <c r="G99">
        <v>5</v>
      </c>
      <c r="H99" t="s">
        <v>380</v>
      </c>
      <c r="I99" s="1">
        <v>2.7803210904868703</v>
      </c>
      <c r="J99">
        <v>0.7</v>
      </c>
      <c r="K99" s="1">
        <v>53.698999999999998</v>
      </c>
      <c r="L99" s="1">
        <v>6.2E-2</v>
      </c>
      <c r="M99" s="1">
        <v>46.326000000000001</v>
      </c>
      <c r="N99" s="1">
        <v>4.1000000000000002E-2</v>
      </c>
      <c r="O99" s="1">
        <v>100.43300000000001</v>
      </c>
      <c r="P99" t="s">
        <v>216</v>
      </c>
      <c r="R99" t="s">
        <v>492</v>
      </c>
      <c r="S99" s="1">
        <v>8.4960426576686066E-2</v>
      </c>
      <c r="T99" s="1">
        <v>0.69941063194441799</v>
      </c>
      <c r="U99" s="1">
        <v>467.39238687608503</v>
      </c>
      <c r="V99" s="1">
        <v>402.93442031626898</v>
      </c>
      <c r="W99" s="1">
        <v>0.18795642629221962</v>
      </c>
      <c r="X99" s="1">
        <v>3262.3143932193898</v>
      </c>
      <c r="Y99" s="1">
        <v>1235.36759053938</v>
      </c>
      <c r="Z99" s="1">
        <v>0.41343248477896499</v>
      </c>
      <c r="AA99" s="1">
        <v>6.15964501058889</v>
      </c>
      <c r="AB99" s="1">
        <v>1.22000982892316</v>
      </c>
      <c r="AC99" s="1">
        <v>2.1957040603115598</v>
      </c>
      <c r="AD99" s="1">
        <v>4.0822157475769796</v>
      </c>
      <c r="AE99" s="1">
        <v>0.28730503124928097</v>
      </c>
      <c r="AF99" s="1">
        <v>4.790393009531687E-2</v>
      </c>
      <c r="AG99" s="1">
        <v>82.192035056159597</v>
      </c>
      <c r="AH99" s="1">
        <v>1.5734213412127173E-2</v>
      </c>
    </row>
    <row r="100" spans="1:34" x14ac:dyDescent="0.3">
      <c r="A100" t="s">
        <v>485</v>
      </c>
      <c r="B100" t="s">
        <v>120</v>
      </c>
      <c r="C100" t="s">
        <v>253</v>
      </c>
      <c r="D100" t="s">
        <v>398</v>
      </c>
      <c r="E100" t="s">
        <v>467</v>
      </c>
      <c r="F100" t="s">
        <v>493</v>
      </c>
      <c r="G100">
        <v>6</v>
      </c>
      <c r="H100" t="s">
        <v>380</v>
      </c>
      <c r="I100" s="1">
        <v>3.2025708668861341</v>
      </c>
      <c r="J100">
        <v>0.7</v>
      </c>
      <c r="K100" s="1">
        <v>53.796999999999997</v>
      </c>
      <c r="L100" s="1">
        <v>1.9E-2</v>
      </c>
      <c r="M100" s="1">
        <v>46.654000000000003</v>
      </c>
      <c r="N100" s="1">
        <v>0.26700000000000002</v>
      </c>
      <c r="O100" s="1">
        <v>100.887</v>
      </c>
      <c r="P100" t="s">
        <v>217</v>
      </c>
      <c r="R100" t="s">
        <v>493</v>
      </c>
      <c r="S100" s="1">
        <v>8.3104387842258695E-2</v>
      </c>
      <c r="T100" s="1">
        <v>0.43412667756628004</v>
      </c>
      <c r="U100" s="1">
        <v>545.85574844837197</v>
      </c>
      <c r="V100" s="1">
        <v>116565.517219348</v>
      </c>
      <c r="W100" s="1">
        <v>0.76300188703613969</v>
      </c>
      <c r="X100" s="1">
        <v>1338.10332231711</v>
      </c>
      <c r="Y100" s="1">
        <v>1062.02825751349</v>
      </c>
      <c r="Z100" s="1">
        <v>0.15235706345328862</v>
      </c>
      <c r="AA100" s="1">
        <v>19.484120574641199</v>
      </c>
      <c r="AB100" s="1">
        <v>729.59205851663501</v>
      </c>
      <c r="AC100" s="1">
        <v>6.11154279361243</v>
      </c>
      <c r="AD100" s="1">
        <v>0.66278041107166796</v>
      </c>
      <c r="AE100" s="1">
        <v>0.122155119580341</v>
      </c>
      <c r="AF100" s="1">
        <v>2.6377511125773079E-2</v>
      </c>
      <c r="AG100" s="1">
        <v>444.320435201294</v>
      </c>
      <c r="AH100" s="1">
        <v>2.4168249885796984E-2</v>
      </c>
    </row>
    <row r="101" spans="1:34" x14ac:dyDescent="0.3">
      <c r="A101" t="s">
        <v>485</v>
      </c>
      <c r="B101" t="s">
        <v>120</v>
      </c>
      <c r="C101" t="s">
        <v>253</v>
      </c>
      <c r="D101" t="s">
        <v>398</v>
      </c>
      <c r="E101" t="s">
        <v>467</v>
      </c>
      <c r="F101" t="s">
        <v>494</v>
      </c>
      <c r="G101">
        <v>7</v>
      </c>
      <c r="H101" t="s">
        <v>380</v>
      </c>
      <c r="I101" s="1">
        <v>2.5224173295681496</v>
      </c>
      <c r="J101">
        <v>0.7</v>
      </c>
      <c r="K101" s="1">
        <v>53.642000000000003</v>
      </c>
      <c r="L101" s="1">
        <v>1.7999999999999999E-2</v>
      </c>
      <c r="M101" s="1">
        <v>46.451000000000001</v>
      </c>
      <c r="N101" s="1">
        <v>0.17199999999999999</v>
      </c>
      <c r="O101" s="1">
        <v>100.423</v>
      </c>
      <c r="P101" t="s">
        <v>218</v>
      </c>
      <c r="R101" t="s">
        <v>494</v>
      </c>
      <c r="S101" s="1">
        <v>1.2326541858711999</v>
      </c>
      <c r="T101" s="1">
        <v>0.73992696630168275</v>
      </c>
      <c r="U101" s="1">
        <v>614.27388852796105</v>
      </c>
      <c r="V101" s="1">
        <v>3373.2874247766799</v>
      </c>
      <c r="W101" s="1">
        <v>1.6367305058876003</v>
      </c>
      <c r="X101" s="1">
        <v>3615.9426180811001</v>
      </c>
      <c r="Y101" s="1">
        <v>1097.1625354779101</v>
      </c>
      <c r="Z101" s="1">
        <v>1.0103107460331899</v>
      </c>
      <c r="AA101" s="1">
        <v>13.662397747728599</v>
      </c>
      <c r="AB101" s="1">
        <v>5.6884453725161697</v>
      </c>
      <c r="AC101" s="1">
        <v>24.3614893300449</v>
      </c>
      <c r="AD101" s="1">
        <v>0.53996649857614087</v>
      </c>
      <c r="AE101" s="1">
        <v>0.28065681593913799</v>
      </c>
      <c r="AF101" s="1">
        <v>6.6280538547151394E-2</v>
      </c>
      <c r="AG101" s="1">
        <v>1452.8946234385401</v>
      </c>
      <c r="AH101" s="1">
        <v>2.2745888658476616E-2</v>
      </c>
    </row>
    <row r="102" spans="1:34" x14ac:dyDescent="0.3">
      <c r="A102" t="s">
        <v>485</v>
      </c>
      <c r="B102" t="s">
        <v>120</v>
      </c>
      <c r="C102" t="s">
        <v>253</v>
      </c>
      <c r="D102" t="s">
        <v>398</v>
      </c>
      <c r="E102" t="s">
        <v>467</v>
      </c>
      <c r="F102" t="s">
        <v>495</v>
      </c>
      <c r="G102">
        <v>8</v>
      </c>
      <c r="H102" t="s">
        <v>380</v>
      </c>
      <c r="I102" s="1">
        <v>2.5740431698220156</v>
      </c>
      <c r="J102">
        <v>0.7</v>
      </c>
      <c r="K102" s="1"/>
      <c r="L102" s="1"/>
      <c r="M102" s="1"/>
      <c r="N102" s="1"/>
      <c r="O102" s="1"/>
      <c r="R102" t="s">
        <v>495</v>
      </c>
      <c r="S102" s="1">
        <v>0.15778078348311425</v>
      </c>
      <c r="T102" s="1">
        <v>1.0597537506251415</v>
      </c>
      <c r="U102" s="1">
        <v>138.09884105349499</v>
      </c>
      <c r="V102" s="1">
        <v>518.99964755567601</v>
      </c>
      <c r="W102" s="1">
        <v>0.25621205203455583</v>
      </c>
      <c r="X102" s="1">
        <v>429.345831364064</v>
      </c>
      <c r="Y102" s="1">
        <v>578.86524680009097</v>
      </c>
      <c r="Z102" s="1">
        <v>0.20492731977230369</v>
      </c>
      <c r="AA102" s="1">
        <v>4.0136135345973196</v>
      </c>
      <c r="AB102" s="1">
        <v>4.2080658423482804</v>
      </c>
      <c r="AC102" s="1">
        <v>0.63227297820617501</v>
      </c>
      <c r="AD102" s="1">
        <v>0.42512521046197183</v>
      </c>
      <c r="AE102" s="1">
        <v>5.5512715440224493E-2</v>
      </c>
      <c r="AF102" s="1">
        <v>3.0803093897309348E-2</v>
      </c>
      <c r="AG102" s="1">
        <v>33.447722803708501</v>
      </c>
      <c r="AH102" s="1">
        <v>2.6496661764254054E-2</v>
      </c>
    </row>
    <row r="103" spans="1:34" x14ac:dyDescent="0.3">
      <c r="A103" t="s">
        <v>485</v>
      </c>
      <c r="B103" t="s">
        <v>120</v>
      </c>
      <c r="C103" t="s">
        <v>253</v>
      </c>
      <c r="D103" t="s">
        <v>398</v>
      </c>
      <c r="E103" t="s">
        <v>467</v>
      </c>
      <c r="F103" t="s">
        <v>496</v>
      </c>
      <c r="G103">
        <v>9</v>
      </c>
      <c r="H103" t="s">
        <v>380</v>
      </c>
      <c r="I103" s="1">
        <v>3.109464002149176</v>
      </c>
      <c r="J103">
        <v>0.7</v>
      </c>
      <c r="K103" s="1">
        <v>53.823</v>
      </c>
      <c r="L103" s="1">
        <v>3.3000000000000002E-2</v>
      </c>
      <c r="M103" s="1">
        <v>46.67</v>
      </c>
      <c r="N103" s="1">
        <v>7.0999999999999994E-2</v>
      </c>
      <c r="O103" s="1">
        <v>100.68899999999999</v>
      </c>
      <c r="P103" t="s">
        <v>221</v>
      </c>
      <c r="R103" t="s">
        <v>496</v>
      </c>
      <c r="S103" s="1">
        <v>0.11561316730391692</v>
      </c>
      <c r="T103" s="1">
        <v>0.77270601103601</v>
      </c>
      <c r="U103" s="1">
        <v>539.891847745929</v>
      </c>
      <c r="V103" s="1">
        <v>1227.9064556068399</v>
      </c>
      <c r="W103" s="1">
        <v>2.1146535520795648</v>
      </c>
      <c r="X103" s="1">
        <v>1913.87136847485</v>
      </c>
      <c r="Y103" s="1">
        <v>1218.0931338642399</v>
      </c>
      <c r="Z103" s="1">
        <v>0.42148601664262264</v>
      </c>
      <c r="AA103" s="1">
        <v>12.1535950793442</v>
      </c>
      <c r="AB103" s="1">
        <v>7.6602247822291796</v>
      </c>
      <c r="AC103" s="1">
        <v>1.1042144691001201</v>
      </c>
      <c r="AD103" s="1">
        <v>1.9132853793178299</v>
      </c>
      <c r="AE103" s="1">
        <v>7.2741156876762178E-2</v>
      </c>
      <c r="AF103" s="1">
        <v>2.6933391551933569E-2</v>
      </c>
      <c r="AG103" s="1">
        <v>85.934394085917305</v>
      </c>
      <c r="AH103" s="1">
        <v>3.0946737031340502E-2</v>
      </c>
    </row>
    <row r="104" spans="1:34" x14ac:dyDescent="0.3">
      <c r="A104" t="s">
        <v>485</v>
      </c>
      <c r="B104" t="s">
        <v>120</v>
      </c>
      <c r="C104" t="s">
        <v>253</v>
      </c>
      <c r="D104" t="s">
        <v>398</v>
      </c>
      <c r="E104" t="s">
        <v>467</v>
      </c>
      <c r="F104" t="s">
        <v>497</v>
      </c>
      <c r="G104">
        <v>10</v>
      </c>
      <c r="H104" t="s">
        <v>380</v>
      </c>
      <c r="I104" s="1">
        <v>3.0159062567107764</v>
      </c>
      <c r="J104">
        <v>0.7</v>
      </c>
      <c r="K104" s="1">
        <v>53.823</v>
      </c>
      <c r="L104" s="1">
        <v>3.3000000000000002E-2</v>
      </c>
      <c r="M104" s="1">
        <v>46.67</v>
      </c>
      <c r="N104" s="1">
        <v>7.0999999999999994E-2</v>
      </c>
      <c r="O104" s="1">
        <v>100.68899999999999</v>
      </c>
      <c r="P104" t="s">
        <v>221</v>
      </c>
      <c r="R104" t="s">
        <v>497</v>
      </c>
      <c r="S104" s="1">
        <v>0.27959622731433498</v>
      </c>
      <c r="T104" s="1">
        <v>2.9951530117974001</v>
      </c>
      <c r="U104" s="1">
        <v>1538.6133494363501</v>
      </c>
      <c r="V104" s="1">
        <v>15800.633123994599</v>
      </c>
      <c r="W104" s="1">
        <v>0.18197889361668457</v>
      </c>
      <c r="X104" s="1">
        <v>230.49479866300899</v>
      </c>
      <c r="Y104" s="1">
        <v>488.836409027228</v>
      </c>
      <c r="Z104" s="1">
        <v>0.13340302937722781</v>
      </c>
      <c r="AA104" s="1">
        <v>11.158715444558</v>
      </c>
      <c r="AB104" s="1">
        <v>68.4974952919966</v>
      </c>
      <c r="AC104" s="1">
        <v>9.0392325915394807</v>
      </c>
      <c r="AD104" s="1">
        <v>0.28507044874851623</v>
      </c>
      <c r="AE104" s="1">
        <v>6.4072682080327334E-2</v>
      </c>
      <c r="AF104" s="1">
        <v>2.1342521284156299E-2</v>
      </c>
      <c r="AG104" s="1">
        <v>222.57145195790201</v>
      </c>
      <c r="AH104" s="1">
        <v>6.8730935302409799E-2</v>
      </c>
    </row>
    <row r="105" spans="1:34" x14ac:dyDescent="0.3">
      <c r="A105" t="s">
        <v>485</v>
      </c>
      <c r="B105" t="s">
        <v>120</v>
      </c>
      <c r="C105" t="s">
        <v>253</v>
      </c>
      <c r="D105" t="s">
        <v>398</v>
      </c>
      <c r="E105" t="s">
        <v>467</v>
      </c>
      <c r="F105" t="s">
        <v>498</v>
      </c>
      <c r="G105">
        <v>11</v>
      </c>
      <c r="H105" t="s">
        <v>380</v>
      </c>
      <c r="I105" s="1">
        <v>2.4836415892903752</v>
      </c>
      <c r="J105">
        <v>0.7</v>
      </c>
      <c r="K105" s="1">
        <v>53.177</v>
      </c>
      <c r="L105" s="1">
        <v>3.6999999999999998E-2</v>
      </c>
      <c r="M105" s="1">
        <v>46.084000000000003</v>
      </c>
      <c r="N105" s="1">
        <v>0.221</v>
      </c>
      <c r="O105" s="1">
        <v>99.641000000000005</v>
      </c>
      <c r="P105" t="s">
        <v>220</v>
      </c>
      <c r="R105" t="s">
        <v>498</v>
      </c>
      <c r="S105" s="1">
        <v>7.4187818685884505E-2</v>
      </c>
      <c r="T105" s="1">
        <v>0.73632106986056622</v>
      </c>
      <c r="U105" s="1">
        <v>112.138964612823</v>
      </c>
      <c r="V105" s="1">
        <v>1182.72664486903</v>
      </c>
      <c r="W105" s="1">
        <v>0.15888038477610181</v>
      </c>
      <c r="X105" s="1">
        <v>1414.8995435588399</v>
      </c>
      <c r="Y105" s="1">
        <v>732.17364376746195</v>
      </c>
      <c r="Z105" s="1">
        <v>0.33411190048627398</v>
      </c>
      <c r="AA105" s="1">
        <v>7.2188228658540403</v>
      </c>
      <c r="AB105" s="1">
        <v>7.8275568680957299</v>
      </c>
      <c r="AC105" s="1">
        <v>2.53074538027471</v>
      </c>
      <c r="AD105" s="1">
        <v>0.67737806036123305</v>
      </c>
      <c r="AE105" s="1">
        <v>4.4210296936561803E-2</v>
      </c>
      <c r="AF105" s="1">
        <v>2.03459009288555E-2</v>
      </c>
      <c r="AG105" s="1">
        <v>147.67070296602901</v>
      </c>
      <c r="AH105" s="1">
        <v>1.5864907473947757E-2</v>
      </c>
    </row>
    <row r="106" spans="1:34" x14ac:dyDescent="0.3">
      <c r="A106" t="s">
        <v>485</v>
      </c>
      <c r="B106" t="s">
        <v>120</v>
      </c>
      <c r="C106" t="s">
        <v>253</v>
      </c>
      <c r="D106" t="s">
        <v>398</v>
      </c>
      <c r="E106" t="s">
        <v>467</v>
      </c>
      <c r="F106" t="s">
        <v>499</v>
      </c>
      <c r="G106">
        <v>12</v>
      </c>
      <c r="H106" t="s">
        <v>380</v>
      </c>
      <c r="I106" s="1">
        <v>2.5510482540758161</v>
      </c>
      <c r="J106">
        <v>0.7</v>
      </c>
      <c r="K106" s="1"/>
      <c r="L106" s="1"/>
      <c r="M106" s="1"/>
      <c r="N106" s="1"/>
      <c r="O106" s="1"/>
      <c r="R106" t="s">
        <v>499</v>
      </c>
      <c r="S106" s="1">
        <v>0.49225538618453002</v>
      </c>
      <c r="T106" s="1">
        <v>0.76042681445318261</v>
      </c>
      <c r="U106" s="1">
        <v>3133.4821074595002</v>
      </c>
      <c r="V106" s="1">
        <v>2217.5188488834301</v>
      </c>
      <c r="W106" s="1">
        <v>5.536891239084361</v>
      </c>
      <c r="X106" s="1">
        <v>3668.4777107345599</v>
      </c>
      <c r="Y106" s="1">
        <v>697.57472593118405</v>
      </c>
      <c r="Z106" s="1">
        <v>0.25375561977108729</v>
      </c>
      <c r="AA106" s="1">
        <v>48.734977797181799</v>
      </c>
      <c r="AB106" s="1">
        <v>7.9155455051986001</v>
      </c>
      <c r="AC106" s="1">
        <v>32.9214305841761</v>
      </c>
      <c r="AD106" s="1">
        <v>0.75220582512523704</v>
      </c>
      <c r="AE106" s="1">
        <v>64.451720833939007</v>
      </c>
      <c r="AF106" s="1">
        <v>0.12233905274979701</v>
      </c>
      <c r="AG106" s="1">
        <v>801.62334869425501</v>
      </c>
      <c r="AH106" s="1">
        <v>1.0454158477545914E-2</v>
      </c>
    </row>
    <row r="107" spans="1:34" x14ac:dyDescent="0.3">
      <c r="A107" t="s">
        <v>500</v>
      </c>
      <c r="B107" t="s">
        <v>120</v>
      </c>
      <c r="C107" t="s">
        <v>128</v>
      </c>
      <c r="D107" t="s">
        <v>377</v>
      </c>
      <c r="E107" t="s">
        <v>479</v>
      </c>
      <c r="F107" t="s">
        <v>501</v>
      </c>
      <c r="G107">
        <v>1</v>
      </c>
      <c r="H107" t="s">
        <v>380</v>
      </c>
      <c r="I107" s="1">
        <v>-4.3442703048927056</v>
      </c>
      <c r="J107">
        <v>0.7</v>
      </c>
      <c r="K107" s="1">
        <v>53.701999999999998</v>
      </c>
      <c r="L107" s="1">
        <v>1.5649999999999999</v>
      </c>
      <c r="M107" s="1">
        <v>45.618000000000002</v>
      </c>
      <c r="N107" s="1">
        <v>0</v>
      </c>
      <c r="O107" s="1">
        <v>100.991</v>
      </c>
      <c r="P107" s="1" t="s">
        <v>73</v>
      </c>
      <c r="R107" t="s">
        <v>501</v>
      </c>
      <c r="S107" s="1">
        <v>72.904482176302196</v>
      </c>
      <c r="T107" s="1">
        <v>8.9762860063048606</v>
      </c>
      <c r="U107" s="1">
        <v>8893.2285028816696</v>
      </c>
      <c r="V107" s="1">
        <v>16.946151103861901</v>
      </c>
      <c r="W107" s="1">
        <v>0.23256963145493634</v>
      </c>
      <c r="X107" s="1">
        <v>108.868949842671</v>
      </c>
      <c r="Y107" s="1">
        <v>22.177252015918501</v>
      </c>
      <c r="Z107" s="1">
        <v>7.7676649306365304</v>
      </c>
      <c r="AA107" s="1">
        <v>0.21144639312612701</v>
      </c>
      <c r="AB107" s="1">
        <v>0.33443465149180496</v>
      </c>
      <c r="AC107" s="1">
        <v>0.43820173509210097</v>
      </c>
      <c r="AD107" s="1">
        <v>0.990938013178984</v>
      </c>
      <c r="AE107" s="1">
        <v>0.21790690800541099</v>
      </c>
      <c r="AF107" s="1">
        <v>7.3439608977658305E-2</v>
      </c>
      <c r="AG107" s="1">
        <v>9.1288147472863699</v>
      </c>
      <c r="AH107" s="1">
        <v>0.100608321444037</v>
      </c>
    </row>
    <row r="108" spans="1:34" x14ac:dyDescent="0.3">
      <c r="A108" t="s">
        <v>500</v>
      </c>
      <c r="B108" t="s">
        <v>120</v>
      </c>
      <c r="C108" t="s">
        <v>128</v>
      </c>
      <c r="D108" t="s">
        <v>377</v>
      </c>
      <c r="E108" t="s">
        <v>479</v>
      </c>
      <c r="F108" t="s">
        <v>502</v>
      </c>
      <c r="G108">
        <v>2</v>
      </c>
      <c r="H108" t="s">
        <v>380</v>
      </c>
      <c r="I108" s="1">
        <v>-4.7834281075759266</v>
      </c>
      <c r="J108">
        <v>0.7</v>
      </c>
      <c r="K108" s="1">
        <v>53.216999999999999</v>
      </c>
      <c r="L108" s="1">
        <v>5.0000000000000001E-3</v>
      </c>
      <c r="M108" s="1">
        <v>47.225999999999999</v>
      </c>
      <c r="N108" s="1">
        <v>0</v>
      </c>
      <c r="O108" s="1">
        <v>100.616</v>
      </c>
      <c r="P108" s="1" t="s">
        <v>72</v>
      </c>
      <c r="R108" t="s">
        <v>502</v>
      </c>
      <c r="S108" s="1">
        <v>379.03589329010902</v>
      </c>
      <c r="T108" s="1">
        <v>45.025448481382099</v>
      </c>
      <c r="U108" s="1">
        <v>1667.32408135487</v>
      </c>
      <c r="V108" s="1">
        <v>9.3688033368018608</v>
      </c>
      <c r="W108" s="1">
        <v>0.28945913581759736</v>
      </c>
      <c r="X108" s="1">
        <v>22.6500262373048</v>
      </c>
      <c r="Y108" s="1">
        <v>5.3358979972914504</v>
      </c>
      <c r="Z108" s="1">
        <v>31.778628560636498</v>
      </c>
      <c r="AA108" s="1">
        <v>0.395671657458042</v>
      </c>
      <c r="AB108" s="1">
        <v>0.44298899515201506</v>
      </c>
      <c r="AC108" s="1">
        <v>0.736745296528038</v>
      </c>
      <c r="AD108" s="1">
        <v>4.8376019805492403</v>
      </c>
      <c r="AE108" s="1">
        <v>0.47275919088448998</v>
      </c>
      <c r="AF108" s="1">
        <v>0.58410456942501898</v>
      </c>
      <c r="AG108" s="1">
        <v>30.592463109447898</v>
      </c>
      <c r="AH108" s="1">
        <v>0.45239116247727701</v>
      </c>
    </row>
    <row r="109" spans="1:34" x14ac:dyDescent="0.3">
      <c r="A109" t="s">
        <v>500</v>
      </c>
      <c r="B109" t="s">
        <v>120</v>
      </c>
      <c r="C109" t="s">
        <v>128</v>
      </c>
      <c r="D109" t="s">
        <v>377</v>
      </c>
      <c r="E109" t="s">
        <v>479</v>
      </c>
      <c r="F109" t="s">
        <v>503</v>
      </c>
      <c r="G109">
        <v>3</v>
      </c>
      <c r="H109" t="s">
        <v>380</v>
      </c>
      <c r="I109" s="1">
        <v>-4.7791447409173404</v>
      </c>
      <c r="J109">
        <v>0.7</v>
      </c>
      <c r="K109" s="1">
        <v>53.901000000000003</v>
      </c>
      <c r="L109" s="1">
        <v>0.46700000000000003</v>
      </c>
      <c r="M109" s="1">
        <v>46.512999999999998</v>
      </c>
      <c r="N109" s="1">
        <v>0</v>
      </c>
      <c r="O109" s="1">
        <v>101.033</v>
      </c>
      <c r="P109" s="1" t="s">
        <v>81</v>
      </c>
      <c r="R109" t="s">
        <v>503</v>
      </c>
      <c r="S109" s="1">
        <v>0.18516469161941609</v>
      </c>
      <c r="T109" s="1">
        <v>1.0655795359173039</v>
      </c>
      <c r="U109" s="1">
        <v>1.0208821433821562</v>
      </c>
      <c r="V109" s="1">
        <v>9.6385578658369564</v>
      </c>
      <c r="W109" s="1">
        <v>0.37475226073032436</v>
      </c>
      <c r="X109" s="1">
        <v>0.53038928294007015</v>
      </c>
      <c r="Y109" s="1">
        <v>2.4574135225977072</v>
      </c>
      <c r="Z109" s="1">
        <v>0.50022766836367571</v>
      </c>
      <c r="AA109" s="1">
        <v>14.574486659067199</v>
      </c>
      <c r="AB109" s="1">
        <v>0.42451996828281846</v>
      </c>
      <c r="AC109" s="1">
        <v>0.15611443389077148</v>
      </c>
      <c r="AD109" s="1">
        <v>0.3399653101319598</v>
      </c>
      <c r="AE109" s="1">
        <v>6.8053204786045304E-2</v>
      </c>
      <c r="AF109" s="1">
        <v>4.5262019979894603</v>
      </c>
      <c r="AG109" s="1">
        <v>0.14455652311312772</v>
      </c>
      <c r="AH109" s="1">
        <v>1.6156226857091609E-2</v>
      </c>
    </row>
    <row r="110" spans="1:34" x14ac:dyDescent="0.3">
      <c r="A110" t="s">
        <v>500</v>
      </c>
      <c r="B110" t="s">
        <v>120</v>
      </c>
      <c r="C110" t="s">
        <v>128</v>
      </c>
      <c r="D110" t="s">
        <v>377</v>
      </c>
      <c r="E110" t="s">
        <v>479</v>
      </c>
      <c r="F110" t="s">
        <v>504</v>
      </c>
      <c r="G110">
        <v>4</v>
      </c>
      <c r="H110" t="s">
        <v>380</v>
      </c>
      <c r="I110" s="1">
        <v>-4.1325818158168826</v>
      </c>
      <c r="J110">
        <v>0.7</v>
      </c>
      <c r="K110" s="1">
        <v>53.530999999999999</v>
      </c>
      <c r="L110" s="1">
        <v>2.4E-2</v>
      </c>
      <c r="M110" s="1">
        <v>46.844000000000001</v>
      </c>
      <c r="N110" s="1">
        <v>0</v>
      </c>
      <c r="O110" s="1">
        <v>100.47499999999999</v>
      </c>
      <c r="P110" s="1" t="s">
        <v>80</v>
      </c>
      <c r="R110" t="s">
        <v>504</v>
      </c>
      <c r="S110" s="1">
        <v>92.173394426189205</v>
      </c>
      <c r="T110" s="1">
        <v>2.5505648422742699</v>
      </c>
      <c r="U110" s="1">
        <v>174.994929005241</v>
      </c>
      <c r="V110" s="1">
        <v>9.558070849880119</v>
      </c>
      <c r="W110" s="1">
        <v>0.33154281847411954</v>
      </c>
      <c r="X110" s="1">
        <v>28.192283105080001</v>
      </c>
      <c r="Y110" s="1">
        <v>2.7378971211765566</v>
      </c>
      <c r="Z110" s="1">
        <v>3.4473410869930801</v>
      </c>
      <c r="AA110" s="1">
        <v>0.11752731306409515</v>
      </c>
      <c r="AB110" s="1">
        <v>0.69013011058582319</v>
      </c>
      <c r="AC110" s="1">
        <v>0.256920872647176</v>
      </c>
      <c r="AD110" s="1">
        <v>0.55502388224336607</v>
      </c>
      <c r="AE110" s="1">
        <v>0.10345111106802828</v>
      </c>
      <c r="AF110" s="1">
        <v>4.020613993105087E-2</v>
      </c>
      <c r="AG110" s="1">
        <v>5.9783798919782098</v>
      </c>
      <c r="AH110" s="1">
        <v>3.4572131264914645E-2</v>
      </c>
    </row>
    <row r="111" spans="1:34" x14ac:dyDescent="0.3">
      <c r="A111" t="s">
        <v>500</v>
      </c>
      <c r="B111" t="s">
        <v>120</v>
      </c>
      <c r="C111" t="s">
        <v>128</v>
      </c>
      <c r="D111" t="s">
        <v>377</v>
      </c>
      <c r="E111" t="s">
        <v>479</v>
      </c>
      <c r="F111" t="s">
        <v>505</v>
      </c>
      <c r="G111">
        <v>5</v>
      </c>
      <c r="H111" t="s">
        <v>380</v>
      </c>
      <c r="I111" s="1">
        <v>-4.9610751037333367</v>
      </c>
      <c r="J111">
        <v>0.7</v>
      </c>
      <c r="K111" s="1">
        <v>53.69</v>
      </c>
      <c r="L111" s="1">
        <v>4.0000000000000001E-3</v>
      </c>
      <c r="M111" s="1">
        <v>46.691000000000003</v>
      </c>
      <c r="N111" s="1">
        <v>4.2999999999999997E-2</v>
      </c>
      <c r="O111" s="1">
        <v>100.55200000000001</v>
      </c>
      <c r="P111" s="1" t="s">
        <v>78</v>
      </c>
      <c r="R111" t="s">
        <v>505</v>
      </c>
      <c r="S111" s="1">
        <v>184.43945250041401</v>
      </c>
      <c r="T111" s="1">
        <v>15.708548081643899</v>
      </c>
      <c r="U111" s="1">
        <v>792.06462481693404</v>
      </c>
      <c r="V111" s="1">
        <v>19.3010885040269</v>
      </c>
      <c r="W111" s="1">
        <v>0.32716457598743243</v>
      </c>
      <c r="X111" s="1">
        <v>44.846997603661499</v>
      </c>
      <c r="Y111" s="1">
        <v>4.4557929170679422</v>
      </c>
      <c r="Z111" s="1">
        <v>15.336466627796501</v>
      </c>
      <c r="AA111" s="1">
        <v>0.45910483802387198</v>
      </c>
      <c r="AB111" s="1">
        <v>0.41358829595350832</v>
      </c>
      <c r="AC111" s="1">
        <v>0.65553312485161397</v>
      </c>
      <c r="AD111" s="1">
        <v>1.3808584599757501</v>
      </c>
      <c r="AE111" s="1">
        <v>0.18541291855691691</v>
      </c>
      <c r="AF111" s="1">
        <v>0.36325616981437098</v>
      </c>
      <c r="AG111" s="1">
        <v>24.389802935921999</v>
      </c>
      <c r="AH111" s="1">
        <v>9.8780196760531097E-2</v>
      </c>
    </row>
    <row r="112" spans="1:34" x14ac:dyDescent="0.3">
      <c r="A112" t="s">
        <v>500</v>
      </c>
      <c r="B112" t="s">
        <v>120</v>
      </c>
      <c r="C112" t="s">
        <v>128</v>
      </c>
      <c r="D112" t="s">
        <v>377</v>
      </c>
      <c r="E112" t="s">
        <v>479</v>
      </c>
      <c r="F112" t="s">
        <v>506</v>
      </c>
      <c r="G112">
        <v>6</v>
      </c>
      <c r="H112" t="s">
        <v>380</v>
      </c>
      <c r="I112" s="1">
        <v>-5.0562109316246717</v>
      </c>
      <c r="J112">
        <v>0.7</v>
      </c>
      <c r="K112" s="1">
        <v>54.088999999999999</v>
      </c>
      <c r="L112" s="1">
        <v>4.8000000000000001E-2</v>
      </c>
      <c r="M112" s="1">
        <v>46.963000000000001</v>
      </c>
      <c r="N112" s="1">
        <v>1.0999999999999999E-2</v>
      </c>
      <c r="O112" s="1">
        <v>101.232</v>
      </c>
      <c r="P112" s="1" t="s">
        <v>83</v>
      </c>
      <c r="R112" t="s">
        <v>506</v>
      </c>
      <c r="S112" s="1">
        <v>1809.3061929127</v>
      </c>
      <c r="T112" s="1">
        <v>221.768608694714</v>
      </c>
      <c r="U112" s="1">
        <v>7265.5747675503599</v>
      </c>
      <c r="V112" s="1">
        <v>94.996351357930493</v>
      </c>
      <c r="W112" s="1">
        <v>0.3997239186750296</v>
      </c>
      <c r="X112" s="1">
        <v>19.5852756948204</v>
      </c>
      <c r="Y112" s="1">
        <v>31.5559209017546</v>
      </c>
      <c r="Z112" s="1">
        <v>32.023068340456099</v>
      </c>
      <c r="AA112" s="1">
        <v>1.0756958835233601</v>
      </c>
      <c r="AB112" s="1">
        <v>1.37091742360186</v>
      </c>
      <c r="AC112" s="1">
        <v>0.36837672343586209</v>
      </c>
      <c r="AD112" s="1">
        <v>4.5102371896799802</v>
      </c>
      <c r="AE112" s="1">
        <v>0.69154175768612403</v>
      </c>
      <c r="AF112" s="1">
        <v>1.39902776964945</v>
      </c>
      <c r="AG112" s="1">
        <v>68.635305561716706</v>
      </c>
      <c r="AH112" s="1">
        <v>1.1330956158565599</v>
      </c>
    </row>
    <row r="113" spans="1:34" x14ac:dyDescent="0.3">
      <c r="A113" t="s">
        <v>500</v>
      </c>
      <c r="B113" t="s">
        <v>120</v>
      </c>
      <c r="C113" t="s">
        <v>128</v>
      </c>
      <c r="D113" t="s">
        <v>377</v>
      </c>
      <c r="E113" t="s">
        <v>479</v>
      </c>
      <c r="F113" t="s">
        <v>507</v>
      </c>
      <c r="G113">
        <v>7</v>
      </c>
      <c r="H113" t="s">
        <v>380</v>
      </c>
      <c r="I113" s="1">
        <v>-4.2087806542703277</v>
      </c>
      <c r="J113">
        <v>0.7</v>
      </c>
      <c r="K113" s="1">
        <v>54.290999999999997</v>
      </c>
      <c r="L113" s="1">
        <v>1.6E-2</v>
      </c>
      <c r="M113" s="1">
        <v>47.082999999999998</v>
      </c>
      <c r="N113" s="1">
        <v>0</v>
      </c>
      <c r="O113" s="1">
        <v>101.53400000000001</v>
      </c>
      <c r="P113" s="1" t="s">
        <v>92</v>
      </c>
      <c r="R113" t="s">
        <v>507</v>
      </c>
      <c r="S113" s="1">
        <v>40.484453929596</v>
      </c>
      <c r="T113" s="1">
        <v>3.6447085204108101</v>
      </c>
      <c r="U113" s="1">
        <v>1534.82347616786</v>
      </c>
      <c r="V113" s="1">
        <v>10.475376931593297</v>
      </c>
      <c r="W113" s="1">
        <v>0.22714275447445903</v>
      </c>
      <c r="X113" s="1">
        <v>61.431104351956499</v>
      </c>
      <c r="Y113" s="1">
        <v>2.7597856692435307</v>
      </c>
      <c r="Z113" s="1">
        <v>10.333906789119</v>
      </c>
      <c r="AA113" s="1">
        <v>0.14392134918667582</v>
      </c>
      <c r="AB113" s="1">
        <v>0.72264808128935454</v>
      </c>
      <c r="AC113" s="1">
        <v>0.16800568983357189</v>
      </c>
      <c r="AD113" s="1">
        <v>0.79208930171502301</v>
      </c>
      <c r="AE113" s="1">
        <v>8.6903433972104524E-2</v>
      </c>
      <c r="AF113" s="1">
        <v>3.3362087338777595E-2</v>
      </c>
      <c r="AG113" s="1">
        <v>4.9653702664932</v>
      </c>
      <c r="AH113" s="1">
        <v>2.242467540188655E-2</v>
      </c>
    </row>
    <row r="114" spans="1:34" x14ac:dyDescent="0.3">
      <c r="A114" t="s">
        <v>129</v>
      </c>
      <c r="B114" t="s">
        <v>120</v>
      </c>
      <c r="C114" t="s">
        <v>130</v>
      </c>
      <c r="D114" t="s">
        <v>398</v>
      </c>
      <c r="E114" t="s">
        <v>508</v>
      </c>
      <c r="F114" t="s">
        <v>509</v>
      </c>
      <c r="G114">
        <v>1</v>
      </c>
      <c r="H114" t="s">
        <v>380</v>
      </c>
      <c r="I114" s="1">
        <v>-4.447972866101324</v>
      </c>
      <c r="J114">
        <v>0.7</v>
      </c>
      <c r="K114" s="1">
        <v>53.762999999999998</v>
      </c>
      <c r="L114" s="1">
        <v>4.8000000000000001E-2</v>
      </c>
      <c r="M114" s="1">
        <v>46.933</v>
      </c>
      <c r="N114" s="1">
        <v>4.0000000000000001E-3</v>
      </c>
      <c r="O114" s="1">
        <v>101.218</v>
      </c>
      <c r="P114" s="1" t="s">
        <v>97</v>
      </c>
      <c r="R114" t="s">
        <v>509</v>
      </c>
      <c r="S114" s="1">
        <v>0.13425526033924784</v>
      </c>
      <c r="T114" s="1">
        <v>0.82222484336442236</v>
      </c>
      <c r="U114" s="1">
        <v>19.617855459772802</v>
      </c>
      <c r="V114" s="1">
        <v>18.4067841674775</v>
      </c>
      <c r="W114" s="1">
        <v>0.46173160275468161</v>
      </c>
      <c r="X114" s="1">
        <v>3500.6891885616601</v>
      </c>
      <c r="Y114" s="1">
        <v>2.3058529713886928</v>
      </c>
      <c r="Z114" s="1">
        <v>1.1739302470769899</v>
      </c>
      <c r="AA114" s="1">
        <v>0.24617154213932399</v>
      </c>
      <c r="AB114" s="1">
        <v>0.60678158249932679</v>
      </c>
      <c r="AC114" s="1">
        <v>15.519980947095499</v>
      </c>
      <c r="AD114" s="1">
        <v>1.98459321941112</v>
      </c>
      <c r="AE114" s="1">
        <v>2.3393824805956802</v>
      </c>
      <c r="AF114" s="1">
        <v>5.44391895354563</v>
      </c>
      <c r="AG114" s="1">
        <v>344.94324961980999</v>
      </c>
      <c r="AH114" s="1">
        <v>0.199918218391093</v>
      </c>
    </row>
    <row r="115" spans="1:34" x14ac:dyDescent="0.3">
      <c r="A115" t="s">
        <v>129</v>
      </c>
      <c r="B115" t="s">
        <v>120</v>
      </c>
      <c r="C115" t="s">
        <v>130</v>
      </c>
      <c r="D115" t="s">
        <v>398</v>
      </c>
      <c r="E115" t="s">
        <v>508</v>
      </c>
      <c r="F115" t="s">
        <v>510</v>
      </c>
      <c r="G115">
        <v>2</v>
      </c>
      <c r="H115" t="s">
        <v>380</v>
      </c>
      <c r="I115" s="1">
        <v>-5.1558555665252026</v>
      </c>
      <c r="J115">
        <v>0.7</v>
      </c>
      <c r="K115" s="1">
        <v>53.92</v>
      </c>
      <c r="L115" s="1">
        <v>1.6E-2</v>
      </c>
      <c r="M115" s="1">
        <v>47.188000000000002</v>
      </c>
      <c r="N115" s="1">
        <v>2E-3</v>
      </c>
      <c r="O115" s="1">
        <v>101.592</v>
      </c>
      <c r="P115" s="1" t="s">
        <v>95</v>
      </c>
      <c r="R115" t="s">
        <v>510</v>
      </c>
      <c r="S115" s="1">
        <v>0.257523001047059</v>
      </c>
      <c r="T115" s="1">
        <v>1.2300757951570718</v>
      </c>
      <c r="U115" s="1">
        <v>28.267431185051301</v>
      </c>
      <c r="V115" s="1">
        <v>28.073782589934101</v>
      </c>
      <c r="W115" s="1">
        <v>0.58145674274842885</v>
      </c>
      <c r="X115" s="1">
        <v>4092.6674179819902</v>
      </c>
      <c r="Y115" s="1">
        <v>2.3229691101226133</v>
      </c>
      <c r="Z115" s="1">
        <v>0.25177692717243383</v>
      </c>
      <c r="AA115" s="1">
        <v>0.14802545188318977</v>
      </c>
      <c r="AB115" s="1">
        <v>0.52300218260836162</v>
      </c>
      <c r="AC115" s="1">
        <v>19.797775804317801</v>
      </c>
      <c r="AD115" s="1">
        <v>8.7082379898627007</v>
      </c>
      <c r="AE115" s="1">
        <v>2.59905322408718</v>
      </c>
      <c r="AF115" s="1">
        <v>1.23532718441161</v>
      </c>
      <c r="AG115" s="1">
        <v>246.85616766367701</v>
      </c>
      <c r="AH115" s="1">
        <v>0.278136536860637</v>
      </c>
    </row>
    <row r="116" spans="1:34" x14ac:dyDescent="0.3">
      <c r="A116" t="s">
        <v>129</v>
      </c>
      <c r="B116" t="s">
        <v>120</v>
      </c>
      <c r="C116" t="s">
        <v>130</v>
      </c>
      <c r="D116" t="s">
        <v>398</v>
      </c>
      <c r="E116" t="s">
        <v>508</v>
      </c>
      <c r="F116" t="s">
        <v>511</v>
      </c>
      <c r="G116">
        <v>3</v>
      </c>
      <c r="H116" t="s">
        <v>380</v>
      </c>
      <c r="I116" s="1">
        <v>-5.3447745802049917</v>
      </c>
      <c r="J116">
        <v>0.7</v>
      </c>
      <c r="K116" s="1">
        <v>54.854999999999997</v>
      </c>
      <c r="L116" s="1">
        <v>0.127</v>
      </c>
      <c r="M116" s="1">
        <v>46.295000000000002</v>
      </c>
      <c r="N116" s="1">
        <v>8.9999999999999993E-3</v>
      </c>
      <c r="O116" s="1">
        <v>101.822</v>
      </c>
      <c r="P116" s="1" t="s">
        <v>93</v>
      </c>
      <c r="R116" t="s">
        <v>511</v>
      </c>
      <c r="S116" s="1">
        <v>0.15069504589461108</v>
      </c>
      <c r="T116" s="1">
        <v>1.2936187971054525</v>
      </c>
      <c r="U116" s="1">
        <v>75.894810036201093</v>
      </c>
      <c r="V116" s="1">
        <v>260.50493508862201</v>
      </c>
      <c r="W116" s="1">
        <v>5.7423316130879698</v>
      </c>
      <c r="X116" s="1">
        <v>3991.5941285870699</v>
      </c>
      <c r="Y116" s="1">
        <v>2.9018853550011645</v>
      </c>
      <c r="Z116" s="1">
        <v>6.7143162357389201</v>
      </c>
      <c r="AA116" s="1">
        <v>0.53767586407366796</v>
      </c>
      <c r="AB116" s="1">
        <v>1.26045543486232</v>
      </c>
      <c r="AC116" s="1">
        <v>66.638067784743996</v>
      </c>
      <c r="AD116" s="1">
        <v>30.355550924146101</v>
      </c>
      <c r="AE116" s="1">
        <v>8.8834983555436402</v>
      </c>
      <c r="AF116" s="1">
        <v>100.19486909296999</v>
      </c>
      <c r="AG116" s="1">
        <v>419.46937137401699</v>
      </c>
      <c r="AH116" s="1">
        <v>3.2491056139897401</v>
      </c>
    </row>
    <row r="117" spans="1:34" x14ac:dyDescent="0.3">
      <c r="A117" t="s">
        <v>129</v>
      </c>
      <c r="B117" t="s">
        <v>120</v>
      </c>
      <c r="C117" t="s">
        <v>130</v>
      </c>
      <c r="D117" t="s">
        <v>398</v>
      </c>
      <c r="E117" t="s">
        <v>508</v>
      </c>
      <c r="F117" t="s">
        <v>512</v>
      </c>
      <c r="G117">
        <v>4</v>
      </c>
      <c r="H117" t="s">
        <v>380</v>
      </c>
      <c r="I117" s="1">
        <v>-5.1348896139328248</v>
      </c>
      <c r="J117">
        <v>0.7</v>
      </c>
      <c r="K117" s="1">
        <v>53.850999999999999</v>
      </c>
      <c r="L117" s="1">
        <v>0.108</v>
      </c>
      <c r="M117" s="1">
        <v>46.95</v>
      </c>
      <c r="N117" s="1">
        <v>3.5999999999999997E-2</v>
      </c>
      <c r="O117" s="1">
        <v>101.24299999999999</v>
      </c>
      <c r="P117" s="1" t="s">
        <v>98</v>
      </c>
      <c r="R117" t="s">
        <v>512</v>
      </c>
      <c r="S117" s="1">
        <v>0.17756825782808477</v>
      </c>
      <c r="T117" s="1">
        <v>1.0636683399487725</v>
      </c>
      <c r="U117" s="1">
        <v>184.17510412043501</v>
      </c>
      <c r="V117" s="1">
        <v>370.914511057472</v>
      </c>
      <c r="W117" s="1">
        <v>3.2842055085303383</v>
      </c>
      <c r="X117" s="1">
        <v>3149.9550099903699</v>
      </c>
      <c r="Y117" s="1">
        <v>2.9454618973417417</v>
      </c>
      <c r="Z117" s="1">
        <v>6.2889738530942898</v>
      </c>
      <c r="AA117" s="1">
        <v>0.479638596062953</v>
      </c>
      <c r="AB117" s="1">
        <v>1.70207121962376</v>
      </c>
      <c r="AC117" s="1">
        <v>150.83858978051401</v>
      </c>
      <c r="AD117" s="1">
        <v>23.342001047920402</v>
      </c>
      <c r="AE117" s="1">
        <v>2.23697345202774</v>
      </c>
      <c r="AF117" s="1">
        <v>31.775722709680199</v>
      </c>
      <c r="AG117" s="1">
        <v>410.06838681582502</v>
      </c>
      <c r="AH117" s="1">
        <v>1.09555525770339</v>
      </c>
    </row>
    <row r="118" spans="1:34" x14ac:dyDescent="0.3">
      <c r="A118" t="s">
        <v>129</v>
      </c>
      <c r="B118" t="s">
        <v>120</v>
      </c>
      <c r="C118" t="s">
        <v>130</v>
      </c>
      <c r="D118" t="s">
        <v>398</v>
      </c>
      <c r="E118" t="s">
        <v>508</v>
      </c>
      <c r="F118" t="s">
        <v>513</v>
      </c>
      <c r="G118">
        <v>5</v>
      </c>
      <c r="H118" t="s">
        <v>380</v>
      </c>
      <c r="I118" s="1">
        <v>-4.4017575942583154</v>
      </c>
      <c r="J118">
        <v>0.7</v>
      </c>
      <c r="K118" s="1">
        <v>52.853999999999999</v>
      </c>
      <c r="L118" s="1">
        <v>0.17499999999999999</v>
      </c>
      <c r="M118" s="1">
        <v>46.436999999999998</v>
      </c>
      <c r="N118" s="1">
        <v>7.0000000000000001E-3</v>
      </c>
      <c r="O118" s="1">
        <v>99.950999999999993</v>
      </c>
      <c r="P118" s="1" t="s">
        <v>99</v>
      </c>
      <c r="R118" t="s">
        <v>513</v>
      </c>
      <c r="S118" s="1">
        <v>3.5113670466974112E-2</v>
      </c>
      <c r="T118" s="1">
        <v>0.36962594233950596</v>
      </c>
      <c r="U118" s="1">
        <v>57.851655929872102</v>
      </c>
      <c r="V118" s="1">
        <v>18.275766144504399</v>
      </c>
      <c r="W118" s="1">
        <v>0.18183519796619957</v>
      </c>
      <c r="X118" s="1">
        <v>1947.3569887379799</v>
      </c>
      <c r="Y118" s="1">
        <v>1.3340602512455531</v>
      </c>
      <c r="Z118" s="1">
        <v>2.7054965107386399</v>
      </c>
      <c r="AA118" s="1">
        <v>0.86535294365097004</v>
      </c>
      <c r="AB118" s="1">
        <v>0.17194625280816017</v>
      </c>
      <c r="AC118" s="1">
        <v>132.25677777712801</v>
      </c>
      <c r="AD118" s="1">
        <v>15.0330026616538</v>
      </c>
      <c r="AE118" s="1">
        <v>2.38975198101034</v>
      </c>
      <c r="AF118" s="1">
        <v>13.857536646486301</v>
      </c>
      <c r="AG118" s="1">
        <v>296.14629865123197</v>
      </c>
      <c r="AH118" s="1">
        <v>1.00810962940037</v>
      </c>
    </row>
    <row r="119" spans="1:34" x14ac:dyDescent="0.3">
      <c r="A119" t="s">
        <v>129</v>
      </c>
      <c r="B119" t="s">
        <v>120</v>
      </c>
      <c r="C119" t="s">
        <v>130</v>
      </c>
      <c r="D119" t="s">
        <v>398</v>
      </c>
      <c r="E119" t="s">
        <v>508</v>
      </c>
      <c r="F119" t="s">
        <v>514</v>
      </c>
      <c r="G119">
        <v>6</v>
      </c>
      <c r="H119" t="s">
        <v>380</v>
      </c>
      <c r="I119" s="1">
        <v>-5.1680293454494652</v>
      </c>
      <c r="J119">
        <v>0.7</v>
      </c>
      <c r="K119" s="1">
        <v>53.615000000000002</v>
      </c>
      <c r="L119" s="1">
        <v>0.157</v>
      </c>
      <c r="M119" s="1">
        <v>46.866</v>
      </c>
      <c r="N119" s="1">
        <v>0</v>
      </c>
      <c r="O119" s="1">
        <v>100.999</v>
      </c>
      <c r="P119" s="1" t="s">
        <v>102</v>
      </c>
      <c r="R119" t="s">
        <v>514</v>
      </c>
      <c r="S119" s="1">
        <v>0.15008793022205699</v>
      </c>
      <c r="T119" s="1">
        <v>0.98949209708789743</v>
      </c>
      <c r="U119" s="1">
        <v>325.81481307083999</v>
      </c>
      <c r="V119" s="1">
        <v>42.087013726122301</v>
      </c>
      <c r="W119" s="1">
        <v>0.70869017192368089</v>
      </c>
      <c r="X119" s="1">
        <v>4243.0757273521203</v>
      </c>
      <c r="Y119" s="1">
        <v>1.2929282544484357</v>
      </c>
      <c r="Z119" s="1">
        <v>14.182486201688199</v>
      </c>
      <c r="AA119" s="1">
        <v>3.0917924645114701</v>
      </c>
      <c r="AB119" s="1">
        <v>0.38975556409922268</v>
      </c>
      <c r="AC119" s="1">
        <v>160.65671164041299</v>
      </c>
      <c r="AD119" s="1">
        <v>10.358525636392001</v>
      </c>
      <c r="AE119" s="1">
        <v>2.1440146970607299</v>
      </c>
      <c r="AF119" s="1">
        <v>116.20381541414601</v>
      </c>
      <c r="AG119" s="1">
        <v>426.868366073478</v>
      </c>
      <c r="AH119" s="1">
        <v>0.41361701244089499</v>
      </c>
    </row>
    <row r="120" spans="1:34" x14ac:dyDescent="0.3">
      <c r="A120" t="s">
        <v>129</v>
      </c>
      <c r="B120" t="s">
        <v>120</v>
      </c>
      <c r="C120" t="s">
        <v>130</v>
      </c>
      <c r="D120" t="s">
        <v>398</v>
      </c>
      <c r="E120" t="s">
        <v>508</v>
      </c>
      <c r="F120" t="s">
        <v>515</v>
      </c>
      <c r="G120">
        <v>7</v>
      </c>
      <c r="H120" t="s">
        <v>380</v>
      </c>
      <c r="I120" s="1">
        <v>-4.8350539478297927</v>
      </c>
      <c r="J120">
        <v>0.7</v>
      </c>
      <c r="K120" s="1">
        <v>53.402999999999999</v>
      </c>
      <c r="L120" s="1">
        <v>0.26100000000000001</v>
      </c>
      <c r="M120" s="1">
        <v>46.83</v>
      </c>
      <c r="N120" s="1">
        <v>0</v>
      </c>
      <c r="O120" s="1">
        <v>100.88</v>
      </c>
      <c r="P120" s="1" t="s">
        <v>103</v>
      </c>
      <c r="R120" t="s">
        <v>515</v>
      </c>
      <c r="S120" s="1">
        <v>0.393279952659849</v>
      </c>
      <c r="T120" s="1">
        <v>0.64192260930634237</v>
      </c>
      <c r="U120" s="1">
        <v>99.879160973014393</v>
      </c>
      <c r="V120" s="1">
        <v>52.083896289925299</v>
      </c>
      <c r="W120" s="1">
        <v>0.45033120267658378</v>
      </c>
      <c r="X120" s="1">
        <v>1802.96409837228</v>
      </c>
      <c r="Y120" s="1">
        <v>1.4459646349498008</v>
      </c>
      <c r="Z120" s="1">
        <v>0.25503924029614988</v>
      </c>
      <c r="AA120" s="1">
        <v>0.63792012827169697</v>
      </c>
      <c r="AB120" s="1">
        <v>0.65351710220654402</v>
      </c>
      <c r="AC120" s="1">
        <v>9.2853222309094399</v>
      </c>
      <c r="AD120" s="1">
        <v>1.95858422204478</v>
      </c>
      <c r="AE120" s="1">
        <v>1.24823398733791</v>
      </c>
      <c r="AF120" s="1">
        <v>9.4460383902276099</v>
      </c>
      <c r="AG120" s="1">
        <v>202.157438035409</v>
      </c>
      <c r="AH120" s="1">
        <v>7.5159578487827797E-2</v>
      </c>
    </row>
    <row r="121" spans="1:34" x14ac:dyDescent="0.3">
      <c r="A121" t="s">
        <v>129</v>
      </c>
      <c r="B121" t="s">
        <v>120</v>
      </c>
      <c r="C121" t="s">
        <v>130</v>
      </c>
      <c r="D121" t="s">
        <v>398</v>
      </c>
      <c r="E121" t="s">
        <v>508</v>
      </c>
      <c r="F121" t="s">
        <v>516</v>
      </c>
      <c r="G121">
        <v>8</v>
      </c>
      <c r="H121" t="s">
        <v>380</v>
      </c>
      <c r="I121" s="1">
        <v>-3.8404111216293613</v>
      </c>
      <c r="J121">
        <v>0.7</v>
      </c>
      <c r="K121" s="1">
        <v>53.359000000000002</v>
      </c>
      <c r="L121" s="1">
        <v>0.41499999999999998</v>
      </c>
      <c r="M121" s="1">
        <v>46.862000000000002</v>
      </c>
      <c r="N121" s="1">
        <v>1.2999999999999999E-2</v>
      </c>
      <c r="O121" s="1">
        <v>101.056</v>
      </c>
      <c r="P121" s="1" t="s">
        <v>104</v>
      </c>
      <c r="R121" t="s">
        <v>516</v>
      </c>
      <c r="S121" s="1">
        <v>2.5632846538402498</v>
      </c>
      <c r="T121" s="1">
        <v>1.234188597225014</v>
      </c>
      <c r="U121" s="1">
        <v>4218.7040183140098</v>
      </c>
      <c r="V121" s="1">
        <v>10.156364156342683</v>
      </c>
      <c r="W121" s="1">
        <v>0.26428147616819053</v>
      </c>
      <c r="X121" s="1">
        <v>4029.5003388937498</v>
      </c>
      <c r="Y121" s="1">
        <v>2.4933078362314909</v>
      </c>
      <c r="Z121" s="1">
        <v>28.0942355140429</v>
      </c>
      <c r="AA121" s="1">
        <v>1.84189324839734</v>
      </c>
      <c r="AB121" s="1">
        <v>0.43471165418937779</v>
      </c>
      <c r="AC121" s="1">
        <v>47.209790457310604</v>
      </c>
      <c r="AD121" s="1">
        <v>20.559208876719499</v>
      </c>
      <c r="AE121" s="1">
        <v>3.35891079402455</v>
      </c>
      <c r="AF121" s="1">
        <v>1.0724875353843899</v>
      </c>
      <c r="AG121" s="1">
        <v>1617.22127520412</v>
      </c>
      <c r="AH121" s="1">
        <v>5.2050608742577502</v>
      </c>
    </row>
    <row r="122" spans="1:34" x14ac:dyDescent="0.3">
      <c r="A122" t="s">
        <v>129</v>
      </c>
      <c r="B122" t="s">
        <v>120</v>
      </c>
      <c r="C122" t="s">
        <v>130</v>
      </c>
      <c r="D122" t="s">
        <v>398</v>
      </c>
      <c r="E122" t="s">
        <v>508</v>
      </c>
      <c r="F122" t="s">
        <v>517</v>
      </c>
      <c r="G122">
        <v>8</v>
      </c>
      <c r="H122" t="s">
        <v>382</v>
      </c>
      <c r="I122" s="1">
        <v>-3.9130029144753831</v>
      </c>
      <c r="J122">
        <v>0.7</v>
      </c>
      <c r="K122" s="1">
        <v>53.359000000000002</v>
      </c>
      <c r="L122" s="1">
        <v>0.41499999999999998</v>
      </c>
      <c r="M122" s="1">
        <v>46.862000000000002</v>
      </c>
      <c r="N122" s="1">
        <v>1.2999999999999999E-2</v>
      </c>
      <c r="O122" s="1">
        <v>101.056</v>
      </c>
      <c r="P122" s="1" t="s">
        <v>104</v>
      </c>
      <c r="R122" t="s">
        <v>517</v>
      </c>
      <c r="S122" s="1">
        <v>29.788002637834101</v>
      </c>
      <c r="T122" s="1">
        <v>1.3874698060995767</v>
      </c>
      <c r="U122" s="1">
        <v>6580.9984338049899</v>
      </c>
      <c r="V122" s="1">
        <v>122.117088360805</v>
      </c>
      <c r="W122" s="1">
        <v>0.5471729030799457</v>
      </c>
      <c r="X122" s="1">
        <v>5921.2674435512799</v>
      </c>
      <c r="Y122" s="1">
        <v>3.6566144242763277</v>
      </c>
      <c r="Z122" s="1">
        <v>51.070425750298398</v>
      </c>
      <c r="AA122" s="1">
        <v>3.6180428971115002</v>
      </c>
      <c r="AB122" s="1">
        <v>0.80128843593596721</v>
      </c>
      <c r="AC122" s="1">
        <v>62.488405948879702</v>
      </c>
      <c r="AD122" s="1">
        <v>25.3074563717696</v>
      </c>
      <c r="AE122" s="1">
        <v>4.71563783702618</v>
      </c>
      <c r="AF122" s="1">
        <v>26.1083796243968</v>
      </c>
      <c r="AG122" s="1">
        <v>854.24426902529603</v>
      </c>
      <c r="AH122" s="1">
        <v>23.675330162010201</v>
      </c>
    </row>
    <row r="123" spans="1:34" x14ac:dyDescent="0.3">
      <c r="A123" t="s">
        <v>129</v>
      </c>
      <c r="B123" t="s">
        <v>120</v>
      </c>
      <c r="C123" t="s">
        <v>130</v>
      </c>
      <c r="D123" t="s">
        <v>398</v>
      </c>
      <c r="E123" t="s">
        <v>508</v>
      </c>
      <c r="F123" t="s">
        <v>518</v>
      </c>
      <c r="G123">
        <v>9</v>
      </c>
      <c r="H123" t="s">
        <v>380</v>
      </c>
      <c r="I123" s="1">
        <v>-3.873325412795614</v>
      </c>
      <c r="J123">
        <v>0.7</v>
      </c>
      <c r="K123" s="1">
        <v>54.03</v>
      </c>
      <c r="L123" s="1">
        <v>0.60199999999999998</v>
      </c>
      <c r="M123" s="1">
        <v>46.375</v>
      </c>
      <c r="N123" s="1">
        <v>3.1E-2</v>
      </c>
      <c r="O123" s="1">
        <v>101.458</v>
      </c>
      <c r="P123" s="1" t="s">
        <v>105</v>
      </c>
      <c r="R123" t="s">
        <v>518</v>
      </c>
      <c r="S123" s="1">
        <v>2.9971969917053198</v>
      </c>
      <c r="T123" s="1">
        <v>1.1158733866124761</v>
      </c>
      <c r="U123" s="1">
        <v>3725.3442212485202</v>
      </c>
      <c r="V123" s="1">
        <v>17.1713096743131</v>
      </c>
      <c r="W123" s="1">
        <v>0.26229386662084947</v>
      </c>
      <c r="X123" s="1">
        <v>4680.7567619515303</v>
      </c>
      <c r="Y123" s="1">
        <v>2.6035759570479273</v>
      </c>
      <c r="Z123" s="1">
        <v>30.102234508501301</v>
      </c>
      <c r="AA123" s="1">
        <v>1.6570839075508299</v>
      </c>
      <c r="AB123" s="1">
        <v>0.47664795324715531</v>
      </c>
      <c r="AC123" s="1">
        <v>49.600375860502197</v>
      </c>
      <c r="AD123" s="1">
        <v>12.1191507018236</v>
      </c>
      <c r="AE123" s="1">
        <v>3.17827485745857</v>
      </c>
      <c r="AF123" s="1">
        <v>3.1953257887390998</v>
      </c>
      <c r="AG123" s="1">
        <v>1340.6798608355</v>
      </c>
      <c r="AH123" s="1">
        <v>15.3875611195008</v>
      </c>
    </row>
    <row r="124" spans="1:34" x14ac:dyDescent="0.3">
      <c r="A124" t="s">
        <v>129</v>
      </c>
      <c r="B124" t="s">
        <v>120</v>
      </c>
      <c r="C124" t="s">
        <v>130</v>
      </c>
      <c r="D124" t="s">
        <v>398</v>
      </c>
      <c r="E124" t="s">
        <v>508</v>
      </c>
      <c r="F124" t="s">
        <v>519</v>
      </c>
      <c r="G124">
        <v>10</v>
      </c>
      <c r="H124" t="s">
        <v>380</v>
      </c>
      <c r="I124" s="1">
        <v>-4.6168276885909521</v>
      </c>
      <c r="J124">
        <v>0.7</v>
      </c>
      <c r="K124" s="1">
        <v>54.140999999999998</v>
      </c>
      <c r="L124" s="1">
        <v>0.16</v>
      </c>
      <c r="M124" s="1">
        <v>46.929000000000002</v>
      </c>
      <c r="N124" s="1">
        <v>3.2000000000000001E-2</v>
      </c>
      <c r="O124" s="1">
        <v>101.626</v>
      </c>
      <c r="P124" s="1" t="s">
        <v>111</v>
      </c>
      <c r="R124" t="s">
        <v>519</v>
      </c>
      <c r="S124" s="1">
        <v>0.56280667458705302</v>
      </c>
      <c r="T124" s="1">
        <v>1.4404121666469347</v>
      </c>
      <c r="U124" s="1">
        <v>348.60171184403799</v>
      </c>
      <c r="V124" s="1">
        <v>136.26077881212601</v>
      </c>
      <c r="W124" s="1">
        <v>0.41692479392524195</v>
      </c>
      <c r="X124" s="1">
        <v>5404.3525241700199</v>
      </c>
      <c r="Y124" s="1">
        <v>3.1493625796813975</v>
      </c>
      <c r="Z124" s="1">
        <v>31.2530896331854</v>
      </c>
      <c r="AA124" s="1">
        <v>0.27216939213691799</v>
      </c>
      <c r="AB124" s="1">
        <v>0.52372792849484895</v>
      </c>
      <c r="AC124" s="1">
        <v>46.326436782408997</v>
      </c>
      <c r="AD124" s="1">
        <v>46.679217291323802</v>
      </c>
      <c r="AE124" s="1">
        <v>4.7944274014417498</v>
      </c>
      <c r="AF124" s="1">
        <v>23.529416702809598</v>
      </c>
      <c r="AG124" s="1">
        <v>449.77516111275099</v>
      </c>
      <c r="AH124" s="1">
        <v>6.6727938794742698</v>
      </c>
    </row>
    <row r="125" spans="1:34" x14ac:dyDescent="0.3">
      <c r="A125" t="s">
        <v>129</v>
      </c>
      <c r="B125" t="s">
        <v>120</v>
      </c>
      <c r="C125" t="s">
        <v>130</v>
      </c>
      <c r="D125" t="s">
        <v>398</v>
      </c>
      <c r="E125" t="s">
        <v>508</v>
      </c>
      <c r="F125" t="s">
        <v>520</v>
      </c>
      <c r="G125">
        <v>10</v>
      </c>
      <c r="H125" t="s">
        <v>382</v>
      </c>
      <c r="I125" s="1">
        <v>-3.7083030762635749</v>
      </c>
      <c r="J125">
        <v>0.7</v>
      </c>
      <c r="K125" s="1">
        <v>54.140999999999998</v>
      </c>
      <c r="L125" s="1">
        <v>0.16</v>
      </c>
      <c r="M125" s="1">
        <v>46.929000000000002</v>
      </c>
      <c r="N125" s="1">
        <v>3.2000000000000001E-2</v>
      </c>
      <c r="O125" s="1">
        <v>101.626</v>
      </c>
      <c r="P125" s="1" t="s">
        <v>111</v>
      </c>
      <c r="R125" t="s">
        <v>520</v>
      </c>
      <c r="S125" s="1">
        <v>7.7295747939702304</v>
      </c>
      <c r="T125" s="1">
        <v>1.2532661017412605</v>
      </c>
      <c r="U125" s="1">
        <v>726.80547631054606</v>
      </c>
      <c r="V125" s="1">
        <v>426.60013757698403</v>
      </c>
      <c r="W125" s="1">
        <v>0.39512654134296737</v>
      </c>
      <c r="X125" s="1">
        <v>4303.0640545301503</v>
      </c>
      <c r="Y125" s="1">
        <v>2.8596563371341484</v>
      </c>
      <c r="Z125" s="1">
        <v>22.695719747909099</v>
      </c>
      <c r="AA125" s="1">
        <v>0.83912912118114502</v>
      </c>
      <c r="AB125" s="1">
        <v>2.8321868525048699</v>
      </c>
      <c r="AC125" s="1">
        <v>29.4610642713454</v>
      </c>
      <c r="AD125" s="1">
        <v>16.780561128801999</v>
      </c>
      <c r="AE125" s="1">
        <v>3.3047786689283498</v>
      </c>
      <c r="AF125" s="1">
        <v>76.542695462307506</v>
      </c>
      <c r="AG125" s="1">
        <v>338.11962026466</v>
      </c>
      <c r="AH125" s="1">
        <v>17.113029160109399</v>
      </c>
    </row>
    <row r="126" spans="1:34" x14ac:dyDescent="0.3">
      <c r="A126" t="s">
        <v>129</v>
      </c>
      <c r="B126" t="s">
        <v>120</v>
      </c>
      <c r="C126" t="s">
        <v>130</v>
      </c>
      <c r="D126" t="s">
        <v>398</v>
      </c>
      <c r="E126" t="s">
        <v>508</v>
      </c>
      <c r="F126" t="s">
        <v>521</v>
      </c>
      <c r="G126">
        <v>11</v>
      </c>
      <c r="H126" t="s">
        <v>380</v>
      </c>
      <c r="I126" s="1">
        <v>-4.8799165775700315</v>
      </c>
      <c r="J126">
        <v>0.7</v>
      </c>
      <c r="K126" s="1">
        <v>54.256</v>
      </c>
      <c r="L126" s="1">
        <v>7.2999999999999995E-2</v>
      </c>
      <c r="M126" s="1">
        <v>47.197000000000003</v>
      </c>
      <c r="N126" s="1">
        <v>5.1999999999999998E-2</v>
      </c>
      <c r="O126" s="1">
        <v>101.949</v>
      </c>
      <c r="P126" s="1" t="s">
        <v>110</v>
      </c>
      <c r="R126" t="s">
        <v>521</v>
      </c>
      <c r="S126" s="1">
        <v>3.2797027769184699</v>
      </c>
      <c r="T126" s="1">
        <v>0.87989852243171618</v>
      </c>
      <c r="U126" s="1">
        <v>751.031726201742</v>
      </c>
      <c r="V126" s="1">
        <v>158.01942725225999</v>
      </c>
      <c r="W126" s="1">
        <v>0.57551049352146622</v>
      </c>
      <c r="X126" s="1">
        <v>5456.0273745577597</v>
      </c>
      <c r="Y126" s="1">
        <v>3.8634263311434607</v>
      </c>
      <c r="Z126" s="1">
        <v>19.616187134552</v>
      </c>
      <c r="AA126" s="1">
        <v>1.36371189338591</v>
      </c>
      <c r="AB126" s="1">
        <v>0.62867533473816684</v>
      </c>
      <c r="AC126" s="1">
        <v>83.330705759612997</v>
      </c>
      <c r="AD126" s="1">
        <v>61.145430076971302</v>
      </c>
      <c r="AE126" s="1">
        <v>5.8940593170848503</v>
      </c>
      <c r="AF126" s="1">
        <v>27.972739062613599</v>
      </c>
      <c r="AG126" s="1">
        <v>1722.7377772478001</v>
      </c>
      <c r="AH126" s="1">
        <v>10.215583581996199</v>
      </c>
    </row>
    <row r="127" spans="1:34" x14ac:dyDescent="0.3">
      <c r="A127" t="s">
        <v>129</v>
      </c>
      <c r="B127" t="s">
        <v>120</v>
      </c>
      <c r="C127" t="s">
        <v>130</v>
      </c>
      <c r="D127" t="s">
        <v>398</v>
      </c>
      <c r="E127" t="s">
        <v>508</v>
      </c>
      <c r="F127" t="s">
        <v>522</v>
      </c>
      <c r="G127">
        <v>11</v>
      </c>
      <c r="H127" t="s">
        <v>382</v>
      </c>
      <c r="I127" s="1">
        <v>-3.9684612406869491</v>
      </c>
      <c r="J127">
        <v>0.7</v>
      </c>
      <c r="K127" s="1">
        <v>54.256</v>
      </c>
      <c r="L127" s="1">
        <v>7.2999999999999995E-2</v>
      </c>
      <c r="M127" s="1">
        <v>47.197000000000003</v>
      </c>
      <c r="N127" s="1">
        <v>5.1999999999999998E-2</v>
      </c>
      <c r="O127" s="1">
        <v>101.949</v>
      </c>
      <c r="P127" s="1" t="s">
        <v>110</v>
      </c>
      <c r="R127" t="s">
        <v>522</v>
      </c>
      <c r="S127" s="1">
        <v>7.6214694549224697</v>
      </c>
      <c r="T127" s="1">
        <v>1.1757328494671229</v>
      </c>
      <c r="U127" s="1">
        <v>546.95470714391399</v>
      </c>
      <c r="V127" s="1">
        <v>189.485049162363</v>
      </c>
      <c r="W127" s="1">
        <v>1.2861672163593714</v>
      </c>
      <c r="X127" s="1">
        <v>3492.72268948797</v>
      </c>
      <c r="Y127" s="1">
        <v>2.6058470749459204</v>
      </c>
      <c r="Z127" s="1">
        <v>24.064366830595599</v>
      </c>
      <c r="AA127" s="1">
        <v>0.57688104090925996</v>
      </c>
      <c r="AB127" s="1">
        <v>0.52322324535039422</v>
      </c>
      <c r="AC127" s="1">
        <v>26.409579960895101</v>
      </c>
      <c r="AD127" s="1">
        <v>19.002320786621102</v>
      </c>
      <c r="AE127" s="1">
        <v>3.47232029653884</v>
      </c>
      <c r="AF127" s="1">
        <v>94.474971858415799</v>
      </c>
      <c r="AG127" s="1">
        <v>241.675918888681</v>
      </c>
      <c r="AH127" s="1">
        <v>13.5806138915449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B1B4-3FF9-4986-927F-B92BC6848A31}">
  <dimension ref="A1:AG128"/>
  <sheetViews>
    <sheetView workbookViewId="0">
      <selection activeCell="G89" sqref="G89"/>
    </sheetView>
  </sheetViews>
  <sheetFormatPr baseColWidth="10" defaultRowHeight="14.4" x14ac:dyDescent="0.3"/>
  <cols>
    <col min="1" max="1" width="19.88671875" customWidth="1"/>
    <col min="2" max="33" width="10.77734375" customWidth="1"/>
  </cols>
  <sheetData>
    <row r="1" spans="1:33" x14ac:dyDescent="0.3">
      <c r="A1" s="3"/>
      <c r="B1" s="3" t="s">
        <v>526</v>
      </c>
      <c r="C1" s="3" t="s">
        <v>625</v>
      </c>
      <c r="D1" s="3" t="s">
        <v>527</v>
      </c>
      <c r="E1" s="3" t="s">
        <v>626</v>
      </c>
      <c r="F1" s="3" t="s">
        <v>528</v>
      </c>
      <c r="G1" s="3" t="s">
        <v>627</v>
      </c>
      <c r="H1" s="3" t="s">
        <v>529</v>
      </c>
      <c r="I1" s="3" t="s">
        <v>628</v>
      </c>
      <c r="J1" s="3" t="s">
        <v>530</v>
      </c>
      <c r="K1" s="3" t="s">
        <v>629</v>
      </c>
      <c r="L1" s="3" t="s">
        <v>531</v>
      </c>
      <c r="M1" s="3" t="s">
        <v>630</v>
      </c>
      <c r="N1" s="3" t="s">
        <v>532</v>
      </c>
      <c r="O1" s="3" t="s">
        <v>631</v>
      </c>
      <c r="P1" s="3" t="s">
        <v>533</v>
      </c>
      <c r="Q1" s="3" t="s">
        <v>632</v>
      </c>
      <c r="R1" s="3" t="s">
        <v>534</v>
      </c>
      <c r="S1" s="3" t="s">
        <v>633</v>
      </c>
      <c r="T1" s="3" t="s">
        <v>535</v>
      </c>
      <c r="U1" s="3" t="s">
        <v>634</v>
      </c>
      <c r="V1" s="3" t="s">
        <v>536</v>
      </c>
      <c r="W1" s="3" t="s">
        <v>635</v>
      </c>
      <c r="X1" s="3" t="s">
        <v>537</v>
      </c>
      <c r="Y1" s="3" t="s">
        <v>636</v>
      </c>
      <c r="Z1" s="3" t="s">
        <v>538</v>
      </c>
      <c r="AA1" s="3" t="s">
        <v>637</v>
      </c>
      <c r="AB1" s="3" t="s">
        <v>539</v>
      </c>
      <c r="AC1" s="3" t="s">
        <v>638</v>
      </c>
      <c r="AD1" s="3" t="s">
        <v>540</v>
      </c>
      <c r="AE1" s="3" t="s">
        <v>639</v>
      </c>
      <c r="AF1" s="3" t="s">
        <v>541</v>
      </c>
      <c r="AG1" s="3" t="s">
        <v>640</v>
      </c>
    </row>
    <row r="2" spans="1:33" x14ac:dyDescent="0.3">
      <c r="A2" t="s">
        <v>641</v>
      </c>
      <c r="B2">
        <v>2.2853113983559399</v>
      </c>
      <c r="C2">
        <v>5.9448668218685601E-2</v>
      </c>
      <c r="D2">
        <v>1.2034949835953199</v>
      </c>
      <c r="E2">
        <v>0.378121497938745</v>
      </c>
      <c r="F2">
        <v>12.1870995884507</v>
      </c>
      <c r="G2">
        <v>0.38550425434320501</v>
      </c>
      <c r="H2" t="s">
        <v>575</v>
      </c>
      <c r="I2">
        <v>3.8864753133756902</v>
      </c>
      <c r="J2">
        <v>0.15755578150082994</v>
      </c>
      <c r="K2">
        <v>0.132533799369845</v>
      </c>
      <c r="L2">
        <v>7450.2673157501504</v>
      </c>
      <c r="M2">
        <v>0.207795722220391</v>
      </c>
      <c r="N2" t="s">
        <v>575</v>
      </c>
      <c r="O2">
        <v>1.2587016654046601</v>
      </c>
      <c r="P2">
        <v>38.238436565254801</v>
      </c>
      <c r="Q2">
        <v>9.9823986963192599E-2</v>
      </c>
      <c r="R2">
        <v>0.258388331951656</v>
      </c>
      <c r="S2">
        <v>4.2307720846653997E-2</v>
      </c>
      <c r="T2" t="s">
        <v>575</v>
      </c>
      <c r="U2">
        <v>0.22415834306069499</v>
      </c>
      <c r="V2">
        <v>193.91927033743499</v>
      </c>
      <c r="W2">
        <v>0.12219362194778099</v>
      </c>
      <c r="X2">
        <v>1.28352096990061</v>
      </c>
      <c r="Y2">
        <v>0.17435776901198799</v>
      </c>
      <c r="Z2">
        <v>5.8830436622635297E-2</v>
      </c>
      <c r="AA2">
        <v>3.9577914390722002E-2</v>
      </c>
      <c r="AB2">
        <v>116.976044306137</v>
      </c>
      <c r="AC2">
        <v>1.6060982614712099E-2</v>
      </c>
      <c r="AD2">
        <v>42.461854629478303</v>
      </c>
      <c r="AE2">
        <v>8.5851703206892699E-2</v>
      </c>
      <c r="AF2">
        <v>0.47538542053305399</v>
      </c>
      <c r="AG2">
        <v>1.0989780363197201E-2</v>
      </c>
    </row>
    <row r="3" spans="1:33" x14ac:dyDescent="0.3">
      <c r="A3" t="s">
        <v>642</v>
      </c>
      <c r="B3">
        <v>688.46826889373995</v>
      </c>
      <c r="C3">
        <v>0.25970471691858699</v>
      </c>
      <c r="D3" t="s">
        <v>575</v>
      </c>
      <c r="E3">
        <v>1.4517693720479701</v>
      </c>
      <c r="F3">
        <v>136.64346995212699</v>
      </c>
      <c r="G3">
        <v>1.34049700796835</v>
      </c>
      <c r="H3" t="s">
        <v>575</v>
      </c>
      <c r="I3">
        <v>17.238875933333102</v>
      </c>
      <c r="J3" t="s">
        <v>575</v>
      </c>
      <c r="K3">
        <v>0.38979618333131</v>
      </c>
      <c r="L3">
        <v>9.7319342114301204</v>
      </c>
      <c r="M3">
        <v>0.45296876240286998</v>
      </c>
      <c r="N3">
        <v>336.45845774081602</v>
      </c>
      <c r="O3">
        <v>5.8983121382742203</v>
      </c>
      <c r="P3">
        <v>15.699974181664601</v>
      </c>
      <c r="Q3">
        <v>0.305285991066854</v>
      </c>
      <c r="R3">
        <v>0.62290969780238703</v>
      </c>
      <c r="S3">
        <v>0.23647446152791499</v>
      </c>
      <c r="T3">
        <v>0.72411380647179302</v>
      </c>
      <c r="U3">
        <v>0.54673373239379497</v>
      </c>
      <c r="V3" t="s">
        <v>575</v>
      </c>
      <c r="W3">
        <v>0.32380815905678301</v>
      </c>
      <c r="X3">
        <v>52.750989024901699</v>
      </c>
      <c r="Y3">
        <v>0.80020588913786805</v>
      </c>
      <c r="Z3">
        <v>0.33370974635407202</v>
      </c>
      <c r="AA3">
        <v>0.105315802530123</v>
      </c>
      <c r="AB3">
        <v>2.33823296104539</v>
      </c>
      <c r="AC3">
        <v>4.3128737804229003E-2</v>
      </c>
      <c r="AD3">
        <v>0.98615195550011103</v>
      </c>
      <c r="AE3">
        <v>0.38463982173861899</v>
      </c>
      <c r="AF3">
        <v>9.0249875869476998E-2</v>
      </c>
      <c r="AG3">
        <v>3.2727420021119898E-2</v>
      </c>
    </row>
    <row r="4" spans="1:33" x14ac:dyDescent="0.3">
      <c r="A4" t="s">
        <v>643</v>
      </c>
      <c r="B4">
        <v>6.4339438735321801</v>
      </c>
      <c r="C4">
        <v>0.100358372628865</v>
      </c>
      <c r="D4">
        <v>2.1510054774116099</v>
      </c>
      <c r="E4">
        <v>1.2002858868400299</v>
      </c>
      <c r="F4">
        <v>18.737653466863101</v>
      </c>
      <c r="G4">
        <v>1.27834806014599</v>
      </c>
      <c r="H4">
        <v>58.256566452648798</v>
      </c>
      <c r="I4">
        <v>15.2988452908059</v>
      </c>
      <c r="J4">
        <v>0.33374224576738476</v>
      </c>
      <c r="K4">
        <v>0.33191616669264401</v>
      </c>
      <c r="L4">
        <v>11500.422380641599</v>
      </c>
      <c r="M4">
        <v>0.46879919246349999</v>
      </c>
      <c r="N4" t="s">
        <v>575</v>
      </c>
      <c r="O4">
        <v>3.0602042805486498</v>
      </c>
      <c r="P4">
        <v>56.771620217662203</v>
      </c>
      <c r="Q4">
        <v>0.234646586886984</v>
      </c>
      <c r="R4">
        <v>0.348025142506386</v>
      </c>
      <c r="S4">
        <v>0</v>
      </c>
      <c r="T4" t="s">
        <v>575</v>
      </c>
      <c r="U4">
        <v>0.60489409201496902</v>
      </c>
      <c r="V4">
        <v>203.17164857261</v>
      </c>
      <c r="W4">
        <v>0.25389243308109499</v>
      </c>
      <c r="X4">
        <v>0.73606924564479803</v>
      </c>
      <c r="Y4">
        <v>0.47915547486104998</v>
      </c>
      <c r="Z4">
        <v>9.8166046552464303E-2</v>
      </c>
      <c r="AA4">
        <v>8.8747470890733204E-2</v>
      </c>
      <c r="AB4">
        <v>122.267593077599</v>
      </c>
      <c r="AC4">
        <v>4.6110287123165103E-2</v>
      </c>
      <c r="AD4">
        <v>36.353909177331097</v>
      </c>
      <c r="AE4">
        <v>0.26684015754678397</v>
      </c>
      <c r="AF4">
        <v>2.93479561290808E-2</v>
      </c>
      <c r="AG4">
        <v>2.0168989400329199E-2</v>
      </c>
    </row>
    <row r="5" spans="1:33" x14ac:dyDescent="0.3">
      <c r="A5" t="s">
        <v>644</v>
      </c>
      <c r="B5">
        <v>635.62478108442099</v>
      </c>
      <c r="C5">
        <v>0.24199767401802599</v>
      </c>
      <c r="D5">
        <v>5.4571135187231103</v>
      </c>
      <c r="E5">
        <v>1.61400158074545</v>
      </c>
      <c r="F5">
        <v>25.388139774008401</v>
      </c>
      <c r="G5">
        <v>1.0792746342366299</v>
      </c>
      <c r="H5" t="s">
        <v>575</v>
      </c>
      <c r="I5">
        <v>11.4241840946764</v>
      </c>
      <c r="J5" t="s">
        <v>575</v>
      </c>
      <c r="K5">
        <v>0.49850222527169902</v>
      </c>
      <c r="L5">
        <v>1.18080543738091</v>
      </c>
      <c r="M5">
        <v>0.55122474334808902</v>
      </c>
      <c r="N5">
        <v>150.317377522556</v>
      </c>
      <c r="O5">
        <v>3.7543572902704301</v>
      </c>
      <c r="P5">
        <v>1.81822667422165</v>
      </c>
      <c r="Q5">
        <v>0.25683686064164601</v>
      </c>
      <c r="R5">
        <v>0.46041421734279803</v>
      </c>
      <c r="S5">
        <v>0.21352073905788199</v>
      </c>
      <c r="T5" t="s">
        <v>575</v>
      </c>
      <c r="U5">
        <v>0.61266975006820501</v>
      </c>
      <c r="V5" t="s">
        <v>575</v>
      </c>
      <c r="W5">
        <v>0.370621465182845</v>
      </c>
      <c r="X5">
        <v>17.487237193929602</v>
      </c>
      <c r="Y5">
        <v>0.88587820042436705</v>
      </c>
      <c r="Z5" t="s">
        <v>575</v>
      </c>
      <c r="AA5">
        <v>0.11299340781981999</v>
      </c>
      <c r="AB5">
        <v>0.233566292966915</v>
      </c>
      <c r="AC5">
        <v>8.3485282456099E-2</v>
      </c>
      <c r="AD5" t="s">
        <v>575</v>
      </c>
      <c r="AE5">
        <v>0.28645994911911699</v>
      </c>
      <c r="AF5">
        <v>3.01416736726974</v>
      </c>
      <c r="AG5">
        <v>3.7187463060610097E-2</v>
      </c>
    </row>
    <row r="6" spans="1:33" x14ac:dyDescent="0.3">
      <c r="A6" t="s">
        <v>645</v>
      </c>
      <c r="B6">
        <v>0.21604953290293499</v>
      </c>
      <c r="C6">
        <v>0.121679283343538</v>
      </c>
      <c r="D6">
        <v>0.80712675603641204</v>
      </c>
      <c r="E6">
        <v>0.54909518369016896</v>
      </c>
      <c r="F6" t="s">
        <v>575</v>
      </c>
      <c r="G6">
        <v>0.76433867087070895</v>
      </c>
      <c r="H6" t="s">
        <v>575</v>
      </c>
      <c r="I6">
        <v>7.4217642187413704</v>
      </c>
      <c r="J6" t="s">
        <v>767</v>
      </c>
      <c r="K6">
        <v>0.264361057961846</v>
      </c>
      <c r="L6">
        <v>8146.0837278680601</v>
      </c>
      <c r="M6">
        <v>0.36057275863239002</v>
      </c>
      <c r="N6" t="s">
        <v>575</v>
      </c>
      <c r="O6">
        <v>2.0211429455841898</v>
      </c>
      <c r="P6">
        <v>46.158874287611503</v>
      </c>
      <c r="Q6">
        <v>0.28767629318844101</v>
      </c>
      <c r="R6" t="s">
        <v>575</v>
      </c>
      <c r="S6">
        <v>9.3640111756342195E-2</v>
      </c>
      <c r="T6" t="s">
        <v>575</v>
      </c>
      <c r="U6">
        <v>0.28219463525808502</v>
      </c>
      <c r="V6">
        <v>258.68448505613202</v>
      </c>
      <c r="W6">
        <v>0.185568630064576</v>
      </c>
      <c r="X6" t="s">
        <v>575</v>
      </c>
      <c r="Y6">
        <v>0.47936954640637502</v>
      </c>
      <c r="Z6" t="s">
        <v>575</v>
      </c>
      <c r="AA6">
        <v>6.2713199930032701E-2</v>
      </c>
      <c r="AB6">
        <v>121.46065686213301</v>
      </c>
      <c r="AC6">
        <v>2.6493257232849302E-2</v>
      </c>
      <c r="AD6">
        <v>14.313973515903999</v>
      </c>
      <c r="AE6">
        <v>0.15081900268469001</v>
      </c>
      <c r="AF6" t="s">
        <v>575</v>
      </c>
      <c r="AG6">
        <v>1.10479283724218E-2</v>
      </c>
    </row>
    <row r="7" spans="1:33" x14ac:dyDescent="0.3">
      <c r="A7" t="s">
        <v>646</v>
      </c>
      <c r="B7">
        <v>101.65387073078</v>
      </c>
      <c r="C7">
        <v>0.2822973278307</v>
      </c>
      <c r="D7">
        <v>20.568521029000301</v>
      </c>
      <c r="E7">
        <v>1.7636892832739299</v>
      </c>
      <c r="F7">
        <v>21.5356054455644</v>
      </c>
      <c r="G7">
        <v>1.79099300063872</v>
      </c>
      <c r="H7" t="s">
        <v>575</v>
      </c>
      <c r="I7">
        <v>13.246903168472601</v>
      </c>
      <c r="J7" t="s">
        <v>768</v>
      </c>
      <c r="K7">
        <v>0.36036780176780497</v>
      </c>
      <c r="L7">
        <v>24.455793571811299</v>
      </c>
      <c r="M7">
        <v>0.66883814943511599</v>
      </c>
      <c r="N7">
        <v>34.516472200410298</v>
      </c>
      <c r="O7">
        <v>4.2770248961995296</v>
      </c>
      <c r="P7">
        <v>7.5831200096716502</v>
      </c>
      <c r="Q7">
        <v>0.57644056240358699</v>
      </c>
      <c r="R7">
        <v>0.78229982810411103</v>
      </c>
      <c r="S7">
        <v>0.16510443441533901</v>
      </c>
      <c r="T7" t="s">
        <v>575</v>
      </c>
      <c r="U7">
        <v>0.49856364014912502</v>
      </c>
      <c r="V7" t="s">
        <v>575</v>
      </c>
      <c r="W7">
        <v>0.29310746578520203</v>
      </c>
      <c r="X7">
        <v>7.4091027284286204</v>
      </c>
      <c r="Y7">
        <v>0.82941125608276101</v>
      </c>
      <c r="Z7">
        <v>0.65253377171775195</v>
      </c>
      <c r="AA7">
        <v>0.122662626462279</v>
      </c>
      <c r="AB7">
        <v>1.8390012335816399</v>
      </c>
      <c r="AC7">
        <v>7.2738580009541004E-2</v>
      </c>
      <c r="AD7">
        <v>0.53125620807907104</v>
      </c>
      <c r="AE7">
        <v>0.36620066520686601</v>
      </c>
      <c r="AF7">
        <v>1.45356483506241</v>
      </c>
      <c r="AG7">
        <v>4.55506872071487E-2</v>
      </c>
    </row>
    <row r="8" spans="1:33" x14ac:dyDescent="0.3">
      <c r="A8" t="s">
        <v>647</v>
      </c>
      <c r="B8">
        <v>2.0222010572804199</v>
      </c>
      <c r="C8">
        <v>0.15276581056843899</v>
      </c>
      <c r="D8">
        <v>5.8695552502293902</v>
      </c>
      <c r="E8">
        <v>0.95220992202878296</v>
      </c>
      <c r="F8">
        <v>6.6003501852087298</v>
      </c>
      <c r="G8">
        <v>0.96756028974353003</v>
      </c>
      <c r="H8" t="s">
        <v>575</v>
      </c>
      <c r="I8">
        <v>7.1705356125609203</v>
      </c>
      <c r="J8">
        <v>0.24128728295867688</v>
      </c>
      <c r="K8">
        <v>0.194195233934606</v>
      </c>
      <c r="L8">
        <v>12506.2488281727</v>
      </c>
      <c r="M8">
        <v>0.36058784737416399</v>
      </c>
      <c r="N8" t="s">
        <v>575</v>
      </c>
      <c r="O8">
        <v>2.3154206083663902</v>
      </c>
      <c r="P8">
        <v>94.586295170368899</v>
      </c>
      <c r="Q8">
        <v>0.31113650395936299</v>
      </c>
      <c r="R8" t="s">
        <v>575</v>
      </c>
      <c r="S8">
        <v>8.9304243555666699E-2</v>
      </c>
      <c r="T8">
        <v>0.28636105865009798</v>
      </c>
      <c r="U8">
        <v>0.27147401923192399</v>
      </c>
      <c r="V8">
        <v>791.85879348630897</v>
      </c>
      <c r="W8">
        <v>0.15888614011305</v>
      </c>
      <c r="X8" t="s">
        <v>575</v>
      </c>
      <c r="Y8">
        <v>0.44615235294408301</v>
      </c>
      <c r="Z8">
        <v>8.1233632219646801E-2</v>
      </c>
      <c r="AA8">
        <v>6.6572478086464701E-2</v>
      </c>
      <c r="AB8">
        <v>326.555506828771</v>
      </c>
      <c r="AC8">
        <v>3.9023957841266999E-2</v>
      </c>
      <c r="AD8">
        <v>73.493186662422204</v>
      </c>
      <c r="AE8">
        <v>0.19646883428430101</v>
      </c>
      <c r="AF8" t="s">
        <v>575</v>
      </c>
      <c r="AG8">
        <v>2.45461359912157E-2</v>
      </c>
    </row>
    <row r="9" spans="1:33" x14ac:dyDescent="0.3">
      <c r="A9" t="s">
        <v>648</v>
      </c>
      <c r="B9">
        <v>2.3719456059126198</v>
      </c>
      <c r="C9">
        <v>4.1159890598595601E-2</v>
      </c>
      <c r="D9">
        <v>1.0734993536877899</v>
      </c>
      <c r="E9">
        <v>0.29315701849639297</v>
      </c>
      <c r="F9">
        <v>4.5238367479510702</v>
      </c>
      <c r="G9">
        <v>0.46200830807071802</v>
      </c>
      <c r="H9" t="s">
        <v>575</v>
      </c>
      <c r="I9">
        <v>5.1968547016102002</v>
      </c>
      <c r="J9">
        <v>0.13888961247869583</v>
      </c>
      <c r="K9">
        <v>0.13935481501194699</v>
      </c>
      <c r="L9">
        <v>6217.9233833011604</v>
      </c>
      <c r="M9">
        <v>0.237970932630027</v>
      </c>
      <c r="N9">
        <v>1.87344155725923</v>
      </c>
      <c r="O9">
        <v>0.70596550449206896</v>
      </c>
      <c r="P9">
        <v>12.088686224137801</v>
      </c>
      <c r="Q9">
        <v>9.3092285834482702E-2</v>
      </c>
      <c r="R9" t="s">
        <v>575</v>
      </c>
      <c r="S9">
        <v>5.08819446610317E-2</v>
      </c>
      <c r="T9" t="s">
        <v>575</v>
      </c>
      <c r="U9">
        <v>0.16042194695637599</v>
      </c>
      <c r="V9">
        <v>68.506546013069794</v>
      </c>
      <c r="W9">
        <v>8.4563620379215707E-2</v>
      </c>
      <c r="X9">
        <v>3.7691087650814801</v>
      </c>
      <c r="Y9">
        <v>0.22219134067549601</v>
      </c>
      <c r="Z9">
        <v>6.0104481291395097E-2</v>
      </c>
      <c r="AA9">
        <v>5.3712667969184301E-2</v>
      </c>
      <c r="AB9">
        <v>56.373997835879003</v>
      </c>
      <c r="AC9">
        <v>2.0023300876402899E-2</v>
      </c>
      <c r="AD9">
        <v>15.3643312022802</v>
      </c>
      <c r="AE9">
        <v>0.10964263830938201</v>
      </c>
      <c r="AF9">
        <v>1.03560947123765</v>
      </c>
      <c r="AG9">
        <v>1.14280496952344E-2</v>
      </c>
    </row>
    <row r="10" spans="1:33" x14ac:dyDescent="0.3">
      <c r="A10" t="s">
        <v>649</v>
      </c>
      <c r="B10">
        <v>2.1132744685376701</v>
      </c>
      <c r="C10">
        <v>9.9331144646699204E-2</v>
      </c>
      <c r="D10">
        <v>2.34033494655674</v>
      </c>
      <c r="E10">
        <v>0.53231637154969003</v>
      </c>
      <c r="F10">
        <v>0.69011903018083898</v>
      </c>
      <c r="G10">
        <v>0.46402921458627799</v>
      </c>
      <c r="H10" t="s">
        <v>575</v>
      </c>
      <c r="I10">
        <v>11.0406794533389</v>
      </c>
      <c r="J10">
        <v>0.25359889062107754</v>
      </c>
      <c r="K10">
        <v>0.166332003414664</v>
      </c>
      <c r="L10">
        <v>10602.173204217501</v>
      </c>
      <c r="M10">
        <v>0.32574345701922702</v>
      </c>
      <c r="N10">
        <v>2.0268192676046599</v>
      </c>
      <c r="O10">
        <v>1.38308381064313</v>
      </c>
      <c r="P10">
        <v>14.9983992804975</v>
      </c>
      <c r="Q10">
        <v>0.48100330972222</v>
      </c>
      <c r="R10" t="s">
        <v>575</v>
      </c>
      <c r="S10">
        <v>0.111365210364365</v>
      </c>
      <c r="T10" t="s">
        <v>575</v>
      </c>
      <c r="U10">
        <v>0.19155284178315801</v>
      </c>
      <c r="V10">
        <v>93.400404847043205</v>
      </c>
      <c r="W10">
        <v>0.131962447119053</v>
      </c>
      <c r="X10" t="s">
        <v>575</v>
      </c>
      <c r="Y10">
        <v>0.397182135059853</v>
      </c>
      <c r="Z10" t="s">
        <v>575</v>
      </c>
      <c r="AA10">
        <v>4.7697989586729501E-2</v>
      </c>
      <c r="AB10">
        <v>70.809303027851897</v>
      </c>
      <c r="AC10">
        <v>1.9814737776925499E-2</v>
      </c>
      <c r="AD10">
        <v>41.601431001901503</v>
      </c>
      <c r="AE10">
        <v>0.14542849289748899</v>
      </c>
      <c r="AF10">
        <v>1.20074028478941</v>
      </c>
      <c r="AG10">
        <v>2.2082887695851899E-2</v>
      </c>
    </row>
    <row r="11" spans="1:33" x14ac:dyDescent="0.3">
      <c r="A11" t="s">
        <v>650</v>
      </c>
      <c r="B11">
        <v>0.25575096742731901</v>
      </c>
      <c r="C11">
        <v>0.22921013360197601</v>
      </c>
      <c r="D11" t="s">
        <v>575</v>
      </c>
      <c r="E11">
        <v>0.87563618017195299</v>
      </c>
      <c r="F11">
        <v>1.1373760464426099</v>
      </c>
      <c r="G11">
        <v>1.12047940473418</v>
      </c>
      <c r="H11" t="s">
        <v>575</v>
      </c>
      <c r="I11">
        <v>13.4291262388098</v>
      </c>
      <c r="J11">
        <v>0.51804290950023735</v>
      </c>
      <c r="K11">
        <v>0.219194341642097</v>
      </c>
      <c r="L11">
        <v>17279.050168845199</v>
      </c>
      <c r="M11">
        <v>0.57246921299073905</v>
      </c>
      <c r="N11" t="s">
        <v>575</v>
      </c>
      <c r="O11">
        <v>2.2724448790214602</v>
      </c>
      <c r="P11">
        <v>19.9899884964764</v>
      </c>
      <c r="Q11">
        <v>0.33425431626405799</v>
      </c>
      <c r="R11" t="s">
        <v>575</v>
      </c>
      <c r="S11">
        <v>0.12606764795683101</v>
      </c>
      <c r="T11" t="s">
        <v>575</v>
      </c>
      <c r="U11">
        <v>0.42974180661727701</v>
      </c>
      <c r="V11">
        <v>105.038207723669</v>
      </c>
      <c r="W11">
        <v>0.211800988988738</v>
      </c>
      <c r="X11" t="s">
        <v>575</v>
      </c>
      <c r="Y11">
        <v>0.490980466406015</v>
      </c>
      <c r="Z11" t="s">
        <v>575</v>
      </c>
      <c r="AA11">
        <v>9.5554671282034306E-2</v>
      </c>
      <c r="AB11">
        <v>131.144204616737</v>
      </c>
      <c r="AC11">
        <v>3.6878417153574997E-2</v>
      </c>
      <c r="AD11">
        <v>39.750263880216302</v>
      </c>
      <c r="AE11">
        <v>0.14724832783538999</v>
      </c>
      <c r="AF11" t="s">
        <v>575</v>
      </c>
      <c r="AG11">
        <v>2.3636655202205401E-2</v>
      </c>
    </row>
    <row r="12" spans="1:33" x14ac:dyDescent="0.3">
      <c r="A12" t="s">
        <v>651</v>
      </c>
      <c r="B12">
        <v>61.716181797702298</v>
      </c>
      <c r="C12">
        <v>0.12139414050653601</v>
      </c>
      <c r="D12">
        <v>5.4639192542562096</v>
      </c>
      <c r="E12">
        <v>1.0375981870669999</v>
      </c>
      <c r="F12">
        <v>9.8565776121924706</v>
      </c>
      <c r="G12">
        <v>1.15004882032933</v>
      </c>
      <c r="H12">
        <v>14.907877628246</v>
      </c>
      <c r="I12">
        <v>13.334944136003401</v>
      </c>
      <c r="J12">
        <v>0.50724651984921565</v>
      </c>
      <c r="K12">
        <v>0.293687077286373</v>
      </c>
      <c r="L12">
        <v>10628.4318418983</v>
      </c>
      <c r="M12">
        <v>0.486856574434338</v>
      </c>
      <c r="N12">
        <v>28.5152025386815</v>
      </c>
      <c r="O12">
        <v>2.8870954763305798</v>
      </c>
      <c r="P12">
        <v>27.767944963004801</v>
      </c>
      <c r="Q12">
        <v>0.36482149480824899</v>
      </c>
      <c r="R12">
        <v>0.27913528200280702</v>
      </c>
      <c r="S12">
        <v>0.10570733118785799</v>
      </c>
      <c r="T12" t="s">
        <v>575</v>
      </c>
      <c r="U12">
        <v>0.41776862472124998</v>
      </c>
      <c r="V12">
        <v>99.504705573103394</v>
      </c>
      <c r="W12">
        <v>0.13108687294645499</v>
      </c>
      <c r="X12">
        <v>7.9538457793696802</v>
      </c>
      <c r="Y12">
        <v>0.63170129800869601</v>
      </c>
      <c r="Z12" t="s">
        <v>575</v>
      </c>
      <c r="AA12">
        <v>8.0868553961307404E-2</v>
      </c>
      <c r="AB12">
        <v>58.030248013542</v>
      </c>
      <c r="AC12">
        <v>3.4757055545914801E-2</v>
      </c>
      <c r="AD12">
        <v>186.21236073591899</v>
      </c>
      <c r="AE12">
        <v>0.21381415441708099</v>
      </c>
      <c r="AF12">
        <v>1.91688843688042</v>
      </c>
      <c r="AG12">
        <v>4.1152068994813502E-2</v>
      </c>
    </row>
    <row r="13" spans="1:33" x14ac:dyDescent="0.3">
      <c r="A13" t="s">
        <v>652</v>
      </c>
      <c r="B13">
        <v>29.531701548128101</v>
      </c>
      <c r="C13">
        <v>0.135008588217857</v>
      </c>
      <c r="D13">
        <v>6.3863737221071499</v>
      </c>
      <c r="E13">
        <v>1.12895241191896</v>
      </c>
      <c r="F13">
        <v>15.618976365264601</v>
      </c>
      <c r="G13">
        <v>1.0058018520943299</v>
      </c>
      <c r="H13" t="s">
        <v>575</v>
      </c>
      <c r="I13">
        <v>8.3353568761233703</v>
      </c>
      <c r="J13">
        <v>0.33114812274957572</v>
      </c>
      <c r="K13">
        <v>0.12620906061724901</v>
      </c>
      <c r="L13">
        <v>13643.326485935801</v>
      </c>
      <c r="M13">
        <v>0.535123354338915</v>
      </c>
      <c r="N13">
        <v>5.8509364474037397</v>
      </c>
      <c r="O13">
        <v>3.2311528364192701</v>
      </c>
      <c r="P13">
        <v>57.980121479709098</v>
      </c>
      <c r="Q13">
        <v>0.42525732209316602</v>
      </c>
      <c r="R13">
        <v>0.69481694457464904</v>
      </c>
      <c r="S13">
        <v>9.6369587863705503E-2</v>
      </c>
      <c r="T13" t="s">
        <v>575</v>
      </c>
      <c r="U13">
        <v>0.35415933691898699</v>
      </c>
      <c r="V13">
        <v>126.672024821552</v>
      </c>
      <c r="W13">
        <v>0.20929004643367899</v>
      </c>
      <c r="X13">
        <v>34.752385243203697</v>
      </c>
      <c r="Y13">
        <v>0.368701914316451</v>
      </c>
      <c r="Z13">
        <v>0.27429964471171298</v>
      </c>
      <c r="AA13">
        <v>8.9457837457748796E-2</v>
      </c>
      <c r="AB13">
        <v>75.744906246128494</v>
      </c>
      <c r="AC13">
        <v>2.01651977849143E-2</v>
      </c>
      <c r="AD13">
        <v>61.491282840488303</v>
      </c>
      <c r="AE13">
        <v>0.17552723644846599</v>
      </c>
      <c r="AF13">
        <v>7.4029543345683697</v>
      </c>
      <c r="AG13">
        <v>2.3374762318667901E-2</v>
      </c>
    </row>
    <row r="14" spans="1:33" x14ac:dyDescent="0.3">
      <c r="A14" t="s">
        <v>653</v>
      </c>
      <c r="B14">
        <v>16.307354236537801</v>
      </c>
      <c r="C14">
        <v>0.19045008742550301</v>
      </c>
      <c r="D14">
        <v>21.635122720022999</v>
      </c>
      <c r="E14">
        <v>1.5971114377704101</v>
      </c>
      <c r="F14">
        <v>29.380444649112398</v>
      </c>
      <c r="G14">
        <v>0.89516668618727702</v>
      </c>
      <c r="H14" t="s">
        <v>575</v>
      </c>
      <c r="I14">
        <v>9.9298871422454908</v>
      </c>
      <c r="J14">
        <v>0.50555555386259976</v>
      </c>
      <c r="K14">
        <v>0.34061094534518299</v>
      </c>
      <c r="L14">
        <v>11252.9438948559</v>
      </c>
      <c r="M14">
        <v>0.55455855184970804</v>
      </c>
      <c r="N14">
        <v>5.7017723112111502</v>
      </c>
      <c r="O14">
        <v>2.3374605587616202</v>
      </c>
      <c r="P14">
        <v>30.540045845512399</v>
      </c>
      <c r="Q14">
        <v>0.27674497137559601</v>
      </c>
      <c r="R14">
        <v>0.63084937026690902</v>
      </c>
      <c r="S14">
        <v>0.12698581017102401</v>
      </c>
      <c r="T14" t="s">
        <v>575</v>
      </c>
      <c r="U14">
        <v>0.34023311721236799</v>
      </c>
      <c r="V14">
        <v>151.07461881222901</v>
      </c>
      <c r="W14">
        <v>0.218687281440858</v>
      </c>
      <c r="X14">
        <v>41.886538357994198</v>
      </c>
      <c r="Y14">
        <v>0.83455910137197598</v>
      </c>
      <c r="Z14">
        <v>0.61824400861453699</v>
      </c>
      <c r="AA14">
        <v>9.2628704121275704E-2</v>
      </c>
      <c r="AB14">
        <v>76.558295696498206</v>
      </c>
      <c r="AC14">
        <v>4.0914797710852803E-2</v>
      </c>
      <c r="AD14">
        <v>91.260952663737498</v>
      </c>
      <c r="AE14">
        <v>0.18813949111966199</v>
      </c>
      <c r="AF14">
        <v>13.975653224053801</v>
      </c>
      <c r="AG14">
        <v>4.960487827316E-2</v>
      </c>
    </row>
    <row r="15" spans="1:33" x14ac:dyDescent="0.3">
      <c r="A15" t="s">
        <v>654</v>
      </c>
      <c r="B15">
        <v>25.321281317461199</v>
      </c>
      <c r="C15">
        <v>0.20784317485840401</v>
      </c>
      <c r="D15">
        <v>4.5444615330492004</v>
      </c>
      <c r="E15">
        <v>2.1130671597030299</v>
      </c>
      <c r="F15">
        <v>21.711728549941299</v>
      </c>
      <c r="G15">
        <v>1.5540274211958101</v>
      </c>
      <c r="H15" t="s">
        <v>575</v>
      </c>
      <c r="I15">
        <v>17.841804412175399</v>
      </c>
      <c r="J15" t="s">
        <v>769</v>
      </c>
      <c r="K15">
        <v>0.49045844293507102</v>
      </c>
      <c r="L15">
        <v>5213.7560981453698</v>
      </c>
      <c r="M15">
        <v>0.54212510195613595</v>
      </c>
      <c r="N15">
        <v>12.5996000407371</v>
      </c>
      <c r="O15">
        <v>3.7917458997786202</v>
      </c>
      <c r="P15">
        <v>21.962757376024399</v>
      </c>
      <c r="Q15">
        <v>0.491321587509706</v>
      </c>
      <c r="R15">
        <v>0.55698909405383101</v>
      </c>
      <c r="S15">
        <v>0.140945309976928</v>
      </c>
      <c r="T15" t="s">
        <v>575</v>
      </c>
      <c r="U15">
        <v>0.75704476197985304</v>
      </c>
      <c r="V15">
        <v>41.014405444122502</v>
      </c>
      <c r="W15">
        <v>0.22100383344709101</v>
      </c>
      <c r="X15">
        <v>34.264121851863798</v>
      </c>
      <c r="Y15">
        <v>0.50507341330337996</v>
      </c>
      <c r="Z15">
        <v>0.73231146839841799</v>
      </c>
      <c r="AA15">
        <v>0.18882660051032299</v>
      </c>
      <c r="AB15">
        <v>32.879822037041997</v>
      </c>
      <c r="AC15">
        <v>4.2628680625354999E-2</v>
      </c>
      <c r="AD15">
        <v>50.597407781227098</v>
      </c>
      <c r="AE15">
        <v>0.30962634602754702</v>
      </c>
      <c r="AF15">
        <v>14.2287213521677</v>
      </c>
      <c r="AG15">
        <v>4.7781843496631803E-2</v>
      </c>
    </row>
    <row r="16" spans="1:33" x14ac:dyDescent="0.3">
      <c r="A16" t="s">
        <v>655</v>
      </c>
      <c r="B16">
        <v>27.300180494545302</v>
      </c>
      <c r="C16">
        <v>0.23407697379596301</v>
      </c>
      <c r="D16">
        <v>8.1222011191464905</v>
      </c>
      <c r="E16">
        <v>1.63167018736237</v>
      </c>
      <c r="F16">
        <v>2.1330141212065401</v>
      </c>
      <c r="G16">
        <v>1.0177951044023299</v>
      </c>
      <c r="H16" t="s">
        <v>575</v>
      </c>
      <c r="I16">
        <v>22.1637532989348</v>
      </c>
      <c r="J16" t="s">
        <v>770</v>
      </c>
      <c r="K16">
        <v>0.37769044299429599</v>
      </c>
      <c r="L16">
        <v>2176.6504013056001</v>
      </c>
      <c r="M16">
        <v>0.63814160280116605</v>
      </c>
      <c r="N16">
        <v>10.445063570345001</v>
      </c>
      <c r="O16">
        <v>4.13667601127674</v>
      </c>
      <c r="P16">
        <v>7.2070686694167199</v>
      </c>
      <c r="Q16">
        <v>0.408679363150526</v>
      </c>
      <c r="R16" t="s">
        <v>575</v>
      </c>
      <c r="S16">
        <v>0.14604162796957701</v>
      </c>
      <c r="T16" t="s">
        <v>575</v>
      </c>
      <c r="U16">
        <v>0.38571521945183601</v>
      </c>
      <c r="V16">
        <v>10.6619273817528</v>
      </c>
      <c r="W16">
        <v>0.26211716629725801</v>
      </c>
      <c r="X16">
        <v>0.75181925481470602</v>
      </c>
      <c r="Y16">
        <v>0.58094731135392796</v>
      </c>
      <c r="Z16" t="s">
        <v>575</v>
      </c>
      <c r="AA16">
        <v>9.5158768464140203E-2</v>
      </c>
      <c r="AB16">
        <v>18.717306372461099</v>
      </c>
      <c r="AC16">
        <v>4.5845166722919703E-2</v>
      </c>
      <c r="AD16">
        <v>9.6915758624645001</v>
      </c>
      <c r="AE16">
        <v>0.17652972160897401</v>
      </c>
      <c r="AF16">
        <v>0.23725235147178</v>
      </c>
      <c r="AG16">
        <v>3.3060011346657599E-2</v>
      </c>
    </row>
    <row r="17" spans="1:33" x14ac:dyDescent="0.3">
      <c r="A17" t="s">
        <v>656</v>
      </c>
      <c r="B17" t="s">
        <v>575</v>
      </c>
      <c r="C17">
        <v>0.243585905833309</v>
      </c>
      <c r="D17" t="s">
        <v>575</v>
      </c>
      <c r="E17">
        <v>1.69497796261568</v>
      </c>
      <c r="F17">
        <v>12212.4109246726</v>
      </c>
      <c r="G17">
        <v>1.05764037731918</v>
      </c>
      <c r="H17" t="s">
        <v>575</v>
      </c>
      <c r="I17">
        <v>23.069014381069501</v>
      </c>
      <c r="J17" t="s">
        <v>771</v>
      </c>
      <c r="K17">
        <v>0.39181712071665198</v>
      </c>
      <c r="L17">
        <v>4.2767998562032696</v>
      </c>
      <c r="M17">
        <v>0.66216271742552901</v>
      </c>
      <c r="N17">
        <v>17.747071215735598</v>
      </c>
      <c r="O17">
        <v>4.3055123149936296</v>
      </c>
      <c r="P17">
        <v>6.6428301427980001</v>
      </c>
      <c r="Q17">
        <v>0.42443965772968101</v>
      </c>
      <c r="R17">
        <v>1.0899492601071199</v>
      </c>
      <c r="S17">
        <v>0.151887287027202</v>
      </c>
      <c r="T17" t="s">
        <v>575</v>
      </c>
      <c r="U17">
        <v>0.40345589682020999</v>
      </c>
      <c r="V17" t="s">
        <v>575</v>
      </c>
      <c r="W17">
        <v>0.27308676126946202</v>
      </c>
      <c r="X17">
        <v>1.2096701639920899</v>
      </c>
      <c r="Y17">
        <v>0.60198970160491205</v>
      </c>
      <c r="Z17" t="s">
        <v>575</v>
      </c>
      <c r="AA17">
        <v>9.92273826853909E-2</v>
      </c>
      <c r="AB17">
        <v>0.52622829375573799</v>
      </c>
      <c r="AC17">
        <v>4.7397154499671801E-2</v>
      </c>
      <c r="AD17">
        <v>2.48235940319314</v>
      </c>
      <c r="AE17">
        <v>0.182516613159141</v>
      </c>
      <c r="AF17">
        <v>1.47388797059268</v>
      </c>
      <c r="AG17">
        <v>3.4285437484283601E-2</v>
      </c>
    </row>
    <row r="18" spans="1:33" x14ac:dyDescent="0.3">
      <c r="A18" t="s">
        <v>657</v>
      </c>
      <c r="B18">
        <v>0.16135845415583799</v>
      </c>
      <c r="C18">
        <v>0.143418051922724</v>
      </c>
      <c r="D18" t="s">
        <v>575</v>
      </c>
      <c r="E18">
        <v>1.68121787555886</v>
      </c>
      <c r="F18">
        <v>34505.630545678498</v>
      </c>
      <c r="G18">
        <v>1.25962655018875</v>
      </c>
      <c r="H18" t="s">
        <v>575</v>
      </c>
      <c r="I18">
        <v>9.5974995277646098</v>
      </c>
      <c r="J18">
        <v>0.25181189480960642</v>
      </c>
      <c r="K18">
        <v>0.216288956082509</v>
      </c>
      <c r="L18">
        <v>1.6731170372541599</v>
      </c>
      <c r="M18">
        <v>0.40808930737952898</v>
      </c>
      <c r="N18">
        <v>20.1910639231867</v>
      </c>
      <c r="O18">
        <v>3.9475215571420499</v>
      </c>
      <c r="P18">
        <v>17.3975085089007</v>
      </c>
      <c r="Q18">
        <v>0.30858904216455602</v>
      </c>
      <c r="R18">
        <v>0.31699213722018199</v>
      </c>
      <c r="S18">
        <v>0.14475097618133101</v>
      </c>
      <c r="T18" t="s">
        <v>575</v>
      </c>
      <c r="U18">
        <v>0.70906310065268396</v>
      </c>
      <c r="V18" t="s">
        <v>575</v>
      </c>
      <c r="W18">
        <v>0.21735744711285701</v>
      </c>
      <c r="X18">
        <v>1.84401785137893</v>
      </c>
      <c r="Y18">
        <v>0.70744015615813505</v>
      </c>
      <c r="Z18">
        <v>0.38628926311439499</v>
      </c>
      <c r="AA18">
        <v>0.17435526546226199</v>
      </c>
      <c r="AB18">
        <v>0.35464921998556398</v>
      </c>
      <c r="AC18">
        <v>4.8722575471989799E-2</v>
      </c>
      <c r="AD18">
        <v>1.4948640199876</v>
      </c>
      <c r="AE18">
        <v>0.143490130717218</v>
      </c>
      <c r="AF18">
        <v>1.302577413146</v>
      </c>
      <c r="AG18">
        <v>3.8702854190069802E-2</v>
      </c>
    </row>
    <row r="19" spans="1:33" x14ac:dyDescent="0.3">
      <c r="A19" t="s">
        <v>658</v>
      </c>
      <c r="B19">
        <v>5.6163879114785002</v>
      </c>
      <c r="C19">
        <v>0.13575021012847299</v>
      </c>
      <c r="D19">
        <v>3.3414527248226</v>
      </c>
      <c r="E19">
        <v>1.5266904420733001</v>
      </c>
      <c r="F19">
        <v>10886.1210929511</v>
      </c>
      <c r="G19">
        <v>1.4622934704808099</v>
      </c>
      <c r="H19" t="s">
        <v>575</v>
      </c>
      <c r="I19">
        <v>12.6582907997992</v>
      </c>
      <c r="J19" t="s">
        <v>772</v>
      </c>
      <c r="K19">
        <v>0.33618573826933601</v>
      </c>
      <c r="L19">
        <v>11.310830621931901</v>
      </c>
      <c r="M19">
        <v>0.473283548792716</v>
      </c>
      <c r="N19">
        <v>19.213325704261099</v>
      </c>
      <c r="O19">
        <v>4.48975692465409</v>
      </c>
      <c r="P19">
        <v>3.9678565833633801</v>
      </c>
      <c r="Q19">
        <v>0.28073983963548699</v>
      </c>
      <c r="R19">
        <v>20.9131385771502</v>
      </c>
      <c r="S19">
        <v>0.10520778874749299</v>
      </c>
      <c r="T19" t="s">
        <v>575</v>
      </c>
      <c r="U19">
        <v>0.79849275714826096</v>
      </c>
      <c r="V19">
        <v>0.699659751892585</v>
      </c>
      <c r="W19">
        <v>0.20417433397651599</v>
      </c>
      <c r="X19">
        <v>7.3900635084345501</v>
      </c>
      <c r="Y19">
        <v>0.92329632740390599</v>
      </c>
      <c r="Z19" t="s">
        <v>575</v>
      </c>
      <c r="AA19">
        <v>0.14234325578189999</v>
      </c>
      <c r="AB19">
        <v>6.8134989082058999</v>
      </c>
      <c r="AC19">
        <v>7.7000741429455302E-2</v>
      </c>
      <c r="AD19">
        <v>10.5846660801071</v>
      </c>
      <c r="AE19">
        <v>0.25235342940542299</v>
      </c>
      <c r="AF19">
        <v>14.5760358111432</v>
      </c>
      <c r="AG19">
        <v>3.4589581769615997E-2</v>
      </c>
    </row>
    <row r="20" spans="1:33" x14ac:dyDescent="0.3">
      <c r="A20" t="s">
        <v>659</v>
      </c>
      <c r="B20">
        <v>220.562737542739</v>
      </c>
      <c r="C20">
        <v>0.170874662917884</v>
      </c>
      <c r="D20">
        <v>184.220533756506</v>
      </c>
      <c r="E20">
        <v>1.22142590942606</v>
      </c>
      <c r="F20">
        <v>902.03601591179802</v>
      </c>
      <c r="G20">
        <v>1.4143736844294701</v>
      </c>
      <c r="H20" t="s">
        <v>575</v>
      </c>
      <c r="I20">
        <v>22.359303997987698</v>
      </c>
      <c r="J20" t="s">
        <v>773</v>
      </c>
      <c r="K20">
        <v>0.37272854247817599</v>
      </c>
      <c r="L20">
        <v>43.794074585016901</v>
      </c>
      <c r="M20">
        <v>0.53092162442759205</v>
      </c>
      <c r="N20" t="s">
        <v>575</v>
      </c>
      <c r="O20">
        <v>3.8513378525504498</v>
      </c>
      <c r="P20">
        <v>8.0200511260387408</v>
      </c>
      <c r="Q20">
        <v>0.520856714996216</v>
      </c>
      <c r="R20">
        <v>9.1738812889464292</v>
      </c>
      <c r="S20">
        <v>8.2943324871348603E-2</v>
      </c>
      <c r="T20" t="s">
        <v>575</v>
      </c>
      <c r="U20">
        <v>0.61391572058058497</v>
      </c>
      <c r="V20">
        <v>0.314865356812428</v>
      </c>
      <c r="W20">
        <v>0.27587994808801902</v>
      </c>
      <c r="X20">
        <v>11.6946506554637</v>
      </c>
      <c r="Y20">
        <v>0.73677168206279497</v>
      </c>
      <c r="Z20" t="s">
        <v>575</v>
      </c>
      <c r="AA20">
        <v>0.104098635909347</v>
      </c>
      <c r="AB20">
        <v>1.6851524068320001</v>
      </c>
      <c r="AC20">
        <v>3.9129255795908001E-2</v>
      </c>
      <c r="AD20">
        <v>3.4235237946472901</v>
      </c>
      <c r="AE20">
        <v>0.28853517141063301</v>
      </c>
      <c r="AF20">
        <v>4.78119571768302</v>
      </c>
      <c r="AG20">
        <v>3.13020227959349E-2</v>
      </c>
    </row>
    <row r="21" spans="1:33" x14ac:dyDescent="0.3">
      <c r="A21" t="s">
        <v>660</v>
      </c>
      <c r="B21">
        <v>3.77514226320783</v>
      </c>
      <c r="C21">
        <v>0.13030987777442399</v>
      </c>
      <c r="D21">
        <v>3.8042997509843302</v>
      </c>
      <c r="E21">
        <v>0.69190777584974505</v>
      </c>
      <c r="F21">
        <v>14565.710403241599</v>
      </c>
      <c r="G21">
        <v>2.1264432092163701</v>
      </c>
      <c r="H21" t="s">
        <v>575</v>
      </c>
      <c r="I21">
        <v>16.076891091674501</v>
      </c>
      <c r="J21" t="s">
        <v>774</v>
      </c>
      <c r="K21">
        <v>0.60710339181230799</v>
      </c>
      <c r="L21">
        <v>12.516002775216499</v>
      </c>
      <c r="M21">
        <v>0.38844733764245998</v>
      </c>
      <c r="N21">
        <v>23.651131238093701</v>
      </c>
      <c r="O21">
        <v>8.1388169826959693</v>
      </c>
      <c r="P21">
        <v>4.5808257277665003</v>
      </c>
      <c r="Q21">
        <v>0.77293525451701395</v>
      </c>
      <c r="R21">
        <v>23.091710285543201</v>
      </c>
      <c r="S21">
        <v>0.224581787454423</v>
      </c>
      <c r="T21" t="s">
        <v>575</v>
      </c>
      <c r="U21">
        <v>0.34687804494572499</v>
      </c>
      <c r="V21">
        <v>0.96630323480071501</v>
      </c>
      <c r="W21">
        <v>0.41783040567378799</v>
      </c>
      <c r="X21">
        <v>7.1257756228466302</v>
      </c>
      <c r="Y21">
        <v>1.8276590829864201</v>
      </c>
      <c r="Z21" t="s">
        <v>575</v>
      </c>
      <c r="AA21">
        <v>0.11744330697991801</v>
      </c>
      <c r="AB21">
        <v>7.6966870893403403</v>
      </c>
      <c r="AC21">
        <v>5.3573718782295998E-2</v>
      </c>
      <c r="AD21">
        <v>11.32851771678</v>
      </c>
      <c r="AE21">
        <v>0.24856588773451899</v>
      </c>
      <c r="AF21">
        <v>16.2000766736404</v>
      </c>
      <c r="AG21">
        <v>2.9356179820188899E-2</v>
      </c>
    </row>
    <row r="22" spans="1:33" x14ac:dyDescent="0.3">
      <c r="A22" t="s">
        <v>661</v>
      </c>
      <c r="B22">
        <v>5.3527139284219496</v>
      </c>
      <c r="C22">
        <v>0.12988564499234201</v>
      </c>
      <c r="D22">
        <v>2.8217586745181</v>
      </c>
      <c r="E22">
        <v>1.1961424631680799</v>
      </c>
      <c r="F22">
        <v>3249.16225054192</v>
      </c>
      <c r="G22">
        <v>1.1173419443256101</v>
      </c>
      <c r="H22">
        <v>17.619052544447101</v>
      </c>
      <c r="I22">
        <v>14.1094706277722</v>
      </c>
      <c r="J22">
        <v>0.31272674625128843</v>
      </c>
      <c r="K22">
        <v>0.28053137239544801</v>
      </c>
      <c r="L22">
        <v>13.925528848634301</v>
      </c>
      <c r="M22">
        <v>0.41946082851572403</v>
      </c>
      <c r="N22">
        <v>28.933292005650401</v>
      </c>
      <c r="O22">
        <v>3.39793192106431</v>
      </c>
      <c r="P22">
        <v>1.50518372710769</v>
      </c>
      <c r="Q22">
        <v>0.18790947335340399</v>
      </c>
      <c r="R22">
        <v>1.52772392123115</v>
      </c>
      <c r="S22">
        <v>0.18874786947182601</v>
      </c>
      <c r="T22" t="s">
        <v>575</v>
      </c>
      <c r="U22">
        <v>0.50779386827551098</v>
      </c>
      <c r="V22">
        <v>0.27868274258175302</v>
      </c>
      <c r="W22">
        <v>0.197196441252628</v>
      </c>
      <c r="X22">
        <v>2.00124638714568</v>
      </c>
      <c r="Y22">
        <v>0.42773972448159497</v>
      </c>
      <c r="Z22" t="s">
        <v>575</v>
      </c>
      <c r="AA22">
        <v>0.14169066373869599</v>
      </c>
      <c r="AB22">
        <v>0.401642266069066</v>
      </c>
      <c r="AC22">
        <v>4.2148751392321798E-2</v>
      </c>
      <c r="AD22">
        <v>25.110384617068799</v>
      </c>
      <c r="AE22">
        <v>0.294606799682882</v>
      </c>
      <c r="AF22">
        <v>0.248069540432378</v>
      </c>
      <c r="AG22">
        <v>4.7927273869773003E-2</v>
      </c>
    </row>
    <row r="23" spans="1:33" x14ac:dyDescent="0.3">
      <c r="A23" t="s">
        <v>662</v>
      </c>
      <c r="B23">
        <v>2.44489024350219</v>
      </c>
      <c r="C23">
        <v>0.167776965347334</v>
      </c>
      <c r="D23">
        <v>1.8457863233481899</v>
      </c>
      <c r="E23">
        <v>1.25465837883866</v>
      </c>
      <c r="F23">
        <v>12991.3075454426</v>
      </c>
      <c r="G23">
        <v>1.67486721466988</v>
      </c>
      <c r="H23" t="s">
        <v>575</v>
      </c>
      <c r="I23">
        <v>17.020665053198201</v>
      </c>
      <c r="J23" t="s">
        <v>775</v>
      </c>
      <c r="K23">
        <v>0.52316471220167005</v>
      </c>
      <c r="L23">
        <v>9.0604144105945501</v>
      </c>
      <c r="M23">
        <v>0.90144297664538298</v>
      </c>
      <c r="N23">
        <v>25.4548863494175</v>
      </c>
      <c r="O23">
        <v>4.9188033452397901</v>
      </c>
      <c r="P23">
        <v>8.8219311439299002</v>
      </c>
      <c r="Q23">
        <v>0.65575522721768098</v>
      </c>
      <c r="R23">
        <v>4.7558631037751704</v>
      </c>
      <c r="S23">
        <v>0.15840250809897699</v>
      </c>
      <c r="T23" t="s">
        <v>575</v>
      </c>
      <c r="U23">
        <v>0.66419314257561102</v>
      </c>
      <c r="V23">
        <v>1.15626551823182</v>
      </c>
      <c r="W23">
        <v>0.21570464523459701</v>
      </c>
      <c r="X23">
        <v>7.3505347758725597</v>
      </c>
      <c r="Y23">
        <v>0.80447065231988402</v>
      </c>
      <c r="Z23" t="s">
        <v>575</v>
      </c>
      <c r="AA23">
        <v>6.8681660132183006E-2</v>
      </c>
      <c r="AB23">
        <v>9.0862422954128697</v>
      </c>
      <c r="AC23">
        <v>8.6427521818117706E-2</v>
      </c>
      <c r="AD23">
        <v>22.041680891810099</v>
      </c>
      <c r="AE23">
        <v>0.23784559248400899</v>
      </c>
      <c r="AF23">
        <v>9.9411713394730299</v>
      </c>
      <c r="AG23">
        <v>5.11784442740469E-2</v>
      </c>
    </row>
    <row r="24" spans="1:33" x14ac:dyDescent="0.3">
      <c r="A24" t="s">
        <v>663</v>
      </c>
      <c r="B24">
        <v>0.65343556073542697</v>
      </c>
      <c r="C24">
        <v>0.16838582013401601</v>
      </c>
      <c r="D24" t="s">
        <v>575</v>
      </c>
      <c r="E24">
        <v>1.96552051843586</v>
      </c>
      <c r="F24">
        <v>8923.0299218058699</v>
      </c>
      <c r="G24">
        <v>1.1003680518868599</v>
      </c>
      <c r="H24">
        <v>22.942624597086802</v>
      </c>
      <c r="I24">
        <v>18.0056294573494</v>
      </c>
      <c r="J24">
        <v>8.6604323123627425E-2</v>
      </c>
      <c r="K24">
        <v>0.35794605240954802</v>
      </c>
      <c r="L24">
        <v>19.727470787905801</v>
      </c>
      <c r="M24">
        <v>0.90580292450880195</v>
      </c>
      <c r="N24">
        <v>56.4181946182185</v>
      </c>
      <c r="O24">
        <v>3.0957751343188602</v>
      </c>
      <c r="P24">
        <v>4.3804796844321201</v>
      </c>
      <c r="Q24">
        <v>0.32191151616775898</v>
      </c>
      <c r="R24">
        <v>8.8076797687424904</v>
      </c>
      <c r="S24">
        <v>0.27117489008137202</v>
      </c>
      <c r="T24" t="s">
        <v>575</v>
      </c>
      <c r="U24">
        <v>0.641221726857927</v>
      </c>
      <c r="V24">
        <v>1.6123090050766</v>
      </c>
      <c r="W24">
        <v>0.328440845965563</v>
      </c>
      <c r="X24">
        <v>5.5098518575909603</v>
      </c>
      <c r="Y24">
        <v>0.707932493398444</v>
      </c>
      <c r="Z24">
        <v>0.73172181898502497</v>
      </c>
      <c r="AA24">
        <v>0.11683129285018699</v>
      </c>
      <c r="AB24">
        <v>6.0068306547860999</v>
      </c>
      <c r="AC24">
        <v>6.5023335901679094E-2</v>
      </c>
      <c r="AD24">
        <v>94.699283942862806</v>
      </c>
      <c r="AE24">
        <v>0.22662188726388899</v>
      </c>
      <c r="AF24">
        <v>0.105375175464429</v>
      </c>
      <c r="AG24">
        <v>3.8573371110801398E-2</v>
      </c>
    </row>
    <row r="25" spans="1:33" x14ac:dyDescent="0.3">
      <c r="A25" t="s">
        <v>664</v>
      </c>
      <c r="B25">
        <v>4.0600186622982299</v>
      </c>
      <c r="C25">
        <v>0.24427057265572</v>
      </c>
      <c r="D25" t="s">
        <v>575</v>
      </c>
      <c r="E25">
        <v>1.7073993290174101</v>
      </c>
      <c r="F25">
        <v>5514.6455683394097</v>
      </c>
      <c r="G25">
        <v>1.39823456766426</v>
      </c>
      <c r="H25" t="s">
        <v>575</v>
      </c>
      <c r="I25">
        <v>11.3236870953102</v>
      </c>
      <c r="J25" t="s">
        <v>776</v>
      </c>
      <c r="K25">
        <v>0.42783767598094302</v>
      </c>
      <c r="L25">
        <v>11.2562121937119</v>
      </c>
      <c r="M25">
        <v>0.59532439741082999</v>
      </c>
      <c r="N25">
        <v>45.019959204114798</v>
      </c>
      <c r="O25">
        <v>3.4543712644468298</v>
      </c>
      <c r="P25">
        <v>4.0725067008182103</v>
      </c>
      <c r="Q25">
        <v>0.23399855555212301</v>
      </c>
      <c r="R25">
        <v>5.44366980824622</v>
      </c>
      <c r="S25">
        <v>0.155964912089671</v>
      </c>
      <c r="T25" t="s">
        <v>575</v>
      </c>
      <c r="U25">
        <v>0.492028922762002</v>
      </c>
      <c r="V25">
        <v>0.67129143836996097</v>
      </c>
      <c r="W25">
        <v>0.28662392809515402</v>
      </c>
      <c r="X25">
        <v>2.2403781511792999</v>
      </c>
      <c r="Y25">
        <v>0.77255823645718402</v>
      </c>
      <c r="Z25" t="s">
        <v>575</v>
      </c>
      <c r="AA25">
        <v>0.16802274388885999</v>
      </c>
      <c r="AB25">
        <v>2.8819850118670902</v>
      </c>
      <c r="AC25">
        <v>6.4910469227710502E-2</v>
      </c>
      <c r="AD25">
        <v>33.874184875504397</v>
      </c>
      <c r="AE25">
        <v>0.34478195614135798</v>
      </c>
      <c r="AF25">
        <v>0.115961282353693</v>
      </c>
      <c r="AG25">
        <v>2.5575905590973901E-2</v>
      </c>
    </row>
    <row r="26" spans="1:33" x14ac:dyDescent="0.3">
      <c r="A26" t="s">
        <v>665</v>
      </c>
      <c r="B26">
        <v>193.96246139282701</v>
      </c>
      <c r="C26">
        <v>0.13998273965489999</v>
      </c>
      <c r="D26">
        <v>88.412857762972607</v>
      </c>
      <c r="E26">
        <v>1.88665754529457</v>
      </c>
      <c r="F26">
        <v>20479.7857341165</v>
      </c>
      <c r="G26">
        <v>1.21675577988999</v>
      </c>
      <c r="H26" t="s">
        <v>575</v>
      </c>
      <c r="I26">
        <v>13.9889737689372</v>
      </c>
      <c r="J26">
        <v>8.536387498314757E-3</v>
      </c>
      <c r="K26">
        <v>0.35175941375932201</v>
      </c>
      <c r="L26">
        <v>3.6188607937251902</v>
      </c>
      <c r="M26">
        <v>0.48744412286884697</v>
      </c>
      <c r="N26">
        <v>51.999017114519802</v>
      </c>
      <c r="O26">
        <v>3.6435487214412401</v>
      </c>
      <c r="P26">
        <v>8.3034885712768993</v>
      </c>
      <c r="Q26">
        <v>0.45159159716425601</v>
      </c>
      <c r="R26">
        <v>1.0215691392819299</v>
      </c>
      <c r="S26">
        <v>0.13415091779565</v>
      </c>
      <c r="T26" t="s">
        <v>575</v>
      </c>
      <c r="U26">
        <v>0.72832447603588402</v>
      </c>
      <c r="V26" t="s">
        <v>575</v>
      </c>
      <c r="W26">
        <v>0.243501143107938</v>
      </c>
      <c r="X26">
        <v>5.3335192919887398</v>
      </c>
      <c r="Y26">
        <v>0.941564702665878</v>
      </c>
      <c r="Z26" t="s">
        <v>575</v>
      </c>
      <c r="AA26">
        <v>0.102796091642433</v>
      </c>
      <c r="AB26">
        <v>0.27437047461917502</v>
      </c>
      <c r="AC26">
        <v>5.51681228222013E-2</v>
      </c>
      <c r="AD26">
        <v>1.33804902726015</v>
      </c>
      <c r="AE26">
        <v>0.284648044989743</v>
      </c>
      <c r="AF26">
        <v>0.326023311208192</v>
      </c>
      <c r="AG26">
        <v>4.3362666018958003E-2</v>
      </c>
    </row>
    <row r="27" spans="1:33" x14ac:dyDescent="0.3">
      <c r="A27" t="s">
        <v>666</v>
      </c>
      <c r="B27">
        <v>0.43190276806665301</v>
      </c>
      <c r="C27">
        <v>0.16395475985421601</v>
      </c>
      <c r="D27">
        <v>0.90241068638095101</v>
      </c>
      <c r="E27">
        <v>0.77122057409407097</v>
      </c>
      <c r="F27">
        <v>8607.3895738722804</v>
      </c>
      <c r="G27">
        <v>1.2034512527625101</v>
      </c>
      <c r="H27" t="s">
        <v>575</v>
      </c>
      <c r="I27">
        <v>14.289127416907901</v>
      </c>
      <c r="J27">
        <v>0.14751532664711398</v>
      </c>
      <c r="K27">
        <v>0.265206137023767</v>
      </c>
      <c r="L27">
        <v>2.9076789533701501</v>
      </c>
      <c r="M27">
        <v>0.42664537448058298</v>
      </c>
      <c r="N27">
        <v>43.735013956176402</v>
      </c>
      <c r="O27">
        <v>3.0186150896292401</v>
      </c>
      <c r="P27">
        <v>9.1549346811439403</v>
      </c>
      <c r="Q27">
        <v>0.367634683636544</v>
      </c>
      <c r="R27">
        <v>1.0270737006127799</v>
      </c>
      <c r="S27">
        <v>0.10236204742135301</v>
      </c>
      <c r="T27" t="s">
        <v>575</v>
      </c>
      <c r="U27">
        <v>0.47468233685898698</v>
      </c>
      <c r="V27" t="s">
        <v>575</v>
      </c>
      <c r="W27">
        <v>0.23225398011449899</v>
      </c>
      <c r="X27">
        <v>6.2122764383554498</v>
      </c>
      <c r="Y27">
        <v>0.51418737644475299</v>
      </c>
      <c r="Z27" t="s">
        <v>575</v>
      </c>
      <c r="AA27">
        <v>0.107447187828667</v>
      </c>
      <c r="AB27">
        <v>0.54604465366870802</v>
      </c>
      <c r="AC27">
        <v>3.7343989739501801E-2</v>
      </c>
      <c r="AD27">
        <v>1.790400699611</v>
      </c>
      <c r="AE27">
        <v>0.212646893391122</v>
      </c>
      <c r="AF27">
        <v>1.2229487291488801</v>
      </c>
      <c r="AG27">
        <v>2.4983260650360301E-2</v>
      </c>
    </row>
    <row r="28" spans="1:33" x14ac:dyDescent="0.3">
      <c r="A28" t="s">
        <v>667</v>
      </c>
      <c r="B28">
        <v>3.0376031234302299</v>
      </c>
      <c r="C28">
        <v>0.27945681911784997</v>
      </c>
      <c r="D28">
        <v>1.4300501840489499</v>
      </c>
      <c r="E28">
        <v>1.32711617875511</v>
      </c>
      <c r="F28">
        <v>3428.2458090994</v>
      </c>
      <c r="G28">
        <v>1.2656465758352</v>
      </c>
      <c r="H28" t="s">
        <v>575</v>
      </c>
      <c r="I28">
        <v>14.371899009160501</v>
      </c>
      <c r="J28" t="s">
        <v>777</v>
      </c>
      <c r="K28">
        <v>0.51193247761030203</v>
      </c>
      <c r="L28">
        <v>18.392963182192201</v>
      </c>
      <c r="M28">
        <v>0.43450838183146201</v>
      </c>
      <c r="N28">
        <v>49.128762741970903</v>
      </c>
      <c r="O28">
        <v>4.1146959191125001</v>
      </c>
      <c r="P28">
        <v>2.8559858139336298</v>
      </c>
      <c r="Q28">
        <v>0.388556904381403</v>
      </c>
      <c r="R28">
        <v>2.7569277835716499</v>
      </c>
      <c r="S28">
        <v>0.110541174955821</v>
      </c>
      <c r="T28" t="s">
        <v>575</v>
      </c>
      <c r="U28">
        <v>0.531496284236607</v>
      </c>
      <c r="V28">
        <v>0.27850940032999399</v>
      </c>
      <c r="W28">
        <v>0.21302548520950901</v>
      </c>
      <c r="X28">
        <v>2.4164386447453601</v>
      </c>
      <c r="Y28">
        <v>0.57920276939715198</v>
      </c>
      <c r="Z28" t="s">
        <v>575</v>
      </c>
      <c r="AA28">
        <v>0.184970887781164</v>
      </c>
      <c r="AB28">
        <v>0.77343989413671699</v>
      </c>
      <c r="AC28">
        <v>7.5462877197927797E-2</v>
      </c>
      <c r="AD28">
        <v>61.107547132948497</v>
      </c>
      <c r="AE28">
        <v>0.19999497177964001</v>
      </c>
      <c r="AF28" t="s">
        <v>575</v>
      </c>
      <c r="AG28">
        <v>4.2822883124048097E-2</v>
      </c>
    </row>
    <row r="29" spans="1:33" x14ac:dyDescent="0.3">
      <c r="A29" t="s">
        <v>668</v>
      </c>
      <c r="B29">
        <v>7.58720090975239</v>
      </c>
      <c r="C29">
        <v>8.7177553092073604E-2</v>
      </c>
      <c r="D29">
        <v>3.3451668349783699</v>
      </c>
      <c r="E29">
        <v>0.76352149384589696</v>
      </c>
      <c r="F29">
        <v>12757.699283772199</v>
      </c>
      <c r="G29">
        <v>0.79175623869033696</v>
      </c>
      <c r="H29" t="s">
        <v>575</v>
      </c>
      <c r="I29">
        <v>7.2587587216410796</v>
      </c>
      <c r="J29">
        <v>0.11343058721477731</v>
      </c>
      <c r="K29">
        <v>0.25808676278725801</v>
      </c>
      <c r="L29">
        <v>2.0685189115712399</v>
      </c>
      <c r="M29">
        <v>0.31926600805447197</v>
      </c>
      <c r="N29">
        <v>20.673483597001201</v>
      </c>
      <c r="O29">
        <v>1.8596682704557199</v>
      </c>
      <c r="P29">
        <v>7.21015866688</v>
      </c>
      <c r="Q29">
        <v>0.17241187822711601</v>
      </c>
      <c r="R29">
        <v>0.76190366245538799</v>
      </c>
      <c r="S29">
        <v>7.6571763047381405E-2</v>
      </c>
      <c r="T29" t="s">
        <v>575</v>
      </c>
      <c r="U29">
        <v>0.35143151145958101</v>
      </c>
      <c r="V29">
        <v>0.21570251312223701</v>
      </c>
      <c r="W29">
        <v>9.9487356868991003E-2</v>
      </c>
      <c r="X29">
        <v>3.3790835328505602</v>
      </c>
      <c r="Y29">
        <v>0.52466813678915203</v>
      </c>
      <c r="Z29">
        <v>5.6467855345630001E-2</v>
      </c>
      <c r="AA29">
        <v>4.4930681092365803E-2</v>
      </c>
      <c r="AB29">
        <v>0.570314239676464</v>
      </c>
      <c r="AC29">
        <v>3.5137490623894999E-2</v>
      </c>
      <c r="AD29">
        <v>2.1567303007768701</v>
      </c>
      <c r="AE29">
        <v>0.13966061263313601</v>
      </c>
      <c r="AF29">
        <v>1.37322498469774</v>
      </c>
      <c r="AG29">
        <v>2.4185738829671798E-2</v>
      </c>
    </row>
    <row r="30" spans="1:33" x14ac:dyDescent="0.3">
      <c r="A30" t="s">
        <v>669</v>
      </c>
      <c r="B30">
        <v>9.2938017315055905</v>
      </c>
      <c r="C30">
        <v>0.17498102837983101</v>
      </c>
      <c r="D30">
        <v>2.0293176955628698</v>
      </c>
      <c r="E30">
        <v>1.0328185491585</v>
      </c>
      <c r="F30">
        <v>3921.61694443429</v>
      </c>
      <c r="G30">
        <v>0.88693450683918595</v>
      </c>
      <c r="H30" t="s">
        <v>575</v>
      </c>
      <c r="I30">
        <v>5.8611880518004202</v>
      </c>
      <c r="J30">
        <v>9.4832659436136585E-2</v>
      </c>
      <c r="K30">
        <v>0.18108777893071601</v>
      </c>
      <c r="L30">
        <v>14.456726158601899</v>
      </c>
      <c r="M30">
        <v>0.52492081887089104</v>
      </c>
      <c r="N30">
        <v>22.142179137189601</v>
      </c>
      <c r="O30">
        <v>4.41471761578015</v>
      </c>
      <c r="P30">
        <v>2.4235736621542499</v>
      </c>
      <c r="Q30">
        <v>0</v>
      </c>
      <c r="R30">
        <v>1.5208331208077699</v>
      </c>
      <c r="S30">
        <v>0.214367998637333</v>
      </c>
      <c r="T30" t="s">
        <v>575</v>
      </c>
      <c r="U30">
        <v>0.36759011616061299</v>
      </c>
      <c r="V30">
        <v>0.98946895428262105</v>
      </c>
      <c r="W30">
        <v>0.20203062346023301</v>
      </c>
      <c r="X30">
        <v>0.79520619129821302</v>
      </c>
      <c r="Y30">
        <v>0.41807155450259398</v>
      </c>
      <c r="Z30" t="s">
        <v>575</v>
      </c>
      <c r="AA30">
        <v>9.1645414240504403E-2</v>
      </c>
      <c r="AB30">
        <v>0.41337379595130802</v>
      </c>
      <c r="AC30">
        <v>6.2107993137650801E-2</v>
      </c>
      <c r="AD30">
        <v>13.1107191069324</v>
      </c>
      <c r="AE30">
        <v>0.190227805697854</v>
      </c>
      <c r="AF30">
        <v>0.26933235001092498</v>
      </c>
      <c r="AG30">
        <v>2.3854055697191599E-2</v>
      </c>
    </row>
    <row r="31" spans="1:33" x14ac:dyDescent="0.3">
      <c r="A31" t="s">
        <v>670</v>
      </c>
      <c r="B31" t="s">
        <v>575</v>
      </c>
      <c r="C31">
        <v>5.8513796173648602E-2</v>
      </c>
      <c r="D31" t="s">
        <v>575</v>
      </c>
      <c r="E31">
        <v>0.36745397963625998</v>
      </c>
      <c r="F31">
        <v>7.5928077742168396</v>
      </c>
      <c r="G31">
        <v>0.58509152120382901</v>
      </c>
      <c r="H31">
        <v>10.274378163922901</v>
      </c>
      <c r="I31">
        <v>7.8716076366387702</v>
      </c>
      <c r="J31" t="s">
        <v>778</v>
      </c>
      <c r="K31">
        <v>8.9127332759528402E-2</v>
      </c>
      <c r="L31">
        <v>1284.1085325809099</v>
      </c>
      <c r="M31">
        <v>0.30960625686438997</v>
      </c>
      <c r="N31" t="s">
        <v>575</v>
      </c>
      <c r="O31">
        <v>2.2436542156072101</v>
      </c>
      <c r="P31">
        <v>0.17374574027803699</v>
      </c>
      <c r="Q31">
        <v>0.16592240102007799</v>
      </c>
      <c r="R31">
        <v>0.140881802284473</v>
      </c>
      <c r="S31">
        <v>9.0507145038710005E-2</v>
      </c>
      <c r="T31" t="s">
        <v>575</v>
      </c>
      <c r="U31">
        <v>0.17758000216783401</v>
      </c>
      <c r="V31">
        <v>2.40644471928002</v>
      </c>
      <c r="W31">
        <v>0.110361964683374</v>
      </c>
      <c r="X31" t="s">
        <v>575</v>
      </c>
      <c r="Y31">
        <v>0.37393509234504502</v>
      </c>
      <c r="Z31" t="s">
        <v>575</v>
      </c>
      <c r="AA31">
        <v>5.1253621343992098E-2</v>
      </c>
      <c r="AB31">
        <v>27.1168828647853</v>
      </c>
      <c r="AC31">
        <v>1.8806629724559001E-2</v>
      </c>
      <c r="AD31">
        <v>21.787051495673001</v>
      </c>
      <c r="AE31">
        <v>0.145785572081776</v>
      </c>
      <c r="AF31" t="s">
        <v>575</v>
      </c>
      <c r="AG31">
        <v>2.5542725374934201E-2</v>
      </c>
    </row>
    <row r="32" spans="1:33" x14ac:dyDescent="0.3">
      <c r="A32" t="s">
        <v>671</v>
      </c>
      <c r="B32" t="s">
        <v>575</v>
      </c>
      <c r="C32">
        <v>0.112683397678917</v>
      </c>
      <c r="D32" t="s">
        <v>575</v>
      </c>
      <c r="E32">
        <v>0.65723203589226997</v>
      </c>
      <c r="F32">
        <v>0.84563749252497999</v>
      </c>
      <c r="G32">
        <v>0.53676895373703704</v>
      </c>
      <c r="H32" t="s">
        <v>575</v>
      </c>
      <c r="I32">
        <v>7.04392931724328</v>
      </c>
      <c r="J32" t="s">
        <v>779</v>
      </c>
      <c r="K32">
        <v>0.13441497063416899</v>
      </c>
      <c r="L32">
        <v>770.65812181356296</v>
      </c>
      <c r="M32">
        <v>0.30541305050889</v>
      </c>
      <c r="N32" t="s">
        <v>575</v>
      </c>
      <c r="O32">
        <v>1.40359343792515</v>
      </c>
      <c r="P32" t="s">
        <v>575</v>
      </c>
      <c r="Q32">
        <v>0.166001278688369</v>
      </c>
      <c r="R32" t="s">
        <v>575</v>
      </c>
      <c r="S32">
        <v>5.0205887873289202E-2</v>
      </c>
      <c r="T32" t="s">
        <v>575</v>
      </c>
      <c r="U32">
        <v>0.17545536311909801</v>
      </c>
      <c r="V32">
        <v>0.28444220433567502</v>
      </c>
      <c r="W32">
        <v>7.0889348304990399E-2</v>
      </c>
      <c r="X32" t="s">
        <v>575</v>
      </c>
      <c r="Y32">
        <v>0.34489896908106599</v>
      </c>
      <c r="Z32" t="s">
        <v>575</v>
      </c>
      <c r="AA32">
        <v>8.4176048423451805E-2</v>
      </c>
      <c r="AB32">
        <v>5.8743271906788399</v>
      </c>
      <c r="AC32">
        <v>2.95942123337809E-2</v>
      </c>
      <c r="AD32">
        <v>2.1056950933223701</v>
      </c>
      <c r="AE32">
        <v>0.114901217043454</v>
      </c>
      <c r="AF32" t="s">
        <v>575</v>
      </c>
      <c r="AG32">
        <v>1.6562817404509801E-2</v>
      </c>
    </row>
    <row r="33" spans="1:33" x14ac:dyDescent="0.3">
      <c r="A33" t="s">
        <v>672</v>
      </c>
      <c r="B33" t="s">
        <v>575</v>
      </c>
      <c r="C33">
        <v>7.3931939669104205E-2</v>
      </c>
      <c r="D33" t="s">
        <v>575</v>
      </c>
      <c r="E33">
        <v>0.86766068829216902</v>
      </c>
      <c r="F33">
        <v>21.6753805990312</v>
      </c>
      <c r="G33">
        <v>0.58639432174820805</v>
      </c>
      <c r="H33" t="s">
        <v>575</v>
      </c>
      <c r="I33">
        <v>6.5405187360427197</v>
      </c>
      <c r="J33" t="s">
        <v>780</v>
      </c>
      <c r="K33">
        <v>0.257061051374463</v>
      </c>
      <c r="L33">
        <v>1379.35360181229</v>
      </c>
      <c r="M33">
        <v>0.30576265543790598</v>
      </c>
      <c r="N33" t="s">
        <v>575</v>
      </c>
      <c r="O33">
        <v>1.86412716334588</v>
      </c>
      <c r="P33">
        <v>0.67012800751429802</v>
      </c>
      <c r="Q33">
        <v>0.30188729610652798</v>
      </c>
      <c r="R33">
        <v>0.163093603402273</v>
      </c>
      <c r="S33">
        <v>6.62912654238519E-2</v>
      </c>
      <c r="T33" t="s">
        <v>575</v>
      </c>
      <c r="U33">
        <v>0.30680469314561798</v>
      </c>
      <c r="V33">
        <v>1.54880572182415</v>
      </c>
      <c r="W33">
        <v>0.120881857134137</v>
      </c>
      <c r="X33" t="s">
        <v>575</v>
      </c>
      <c r="Y33">
        <v>0.42300186235805698</v>
      </c>
      <c r="Z33" t="s">
        <v>575</v>
      </c>
      <c r="AA33">
        <v>4.6118383969911303E-2</v>
      </c>
      <c r="AB33">
        <v>24.786149347043601</v>
      </c>
      <c r="AC33">
        <v>2.6341230226322E-2</v>
      </c>
      <c r="AD33">
        <v>33.226719491528897</v>
      </c>
      <c r="AE33">
        <v>0.12959640676386899</v>
      </c>
      <c r="AF33" t="s">
        <v>575</v>
      </c>
      <c r="AG33">
        <v>1.9700509848636801E-2</v>
      </c>
    </row>
    <row r="34" spans="1:33" x14ac:dyDescent="0.3">
      <c r="A34" t="s">
        <v>673</v>
      </c>
      <c r="B34" t="s">
        <v>575</v>
      </c>
      <c r="C34">
        <v>2.6410838754656999E-2</v>
      </c>
      <c r="D34" t="s">
        <v>575</v>
      </c>
      <c r="E34">
        <v>0.33841674820027201</v>
      </c>
      <c r="F34">
        <v>6.1627996560547498</v>
      </c>
      <c r="G34">
        <v>0.27168523205623502</v>
      </c>
      <c r="H34">
        <v>14.508001391401599</v>
      </c>
      <c r="I34">
        <v>3.4603980517769002</v>
      </c>
      <c r="J34">
        <v>8.3651627679969698E-2</v>
      </c>
      <c r="K34">
        <v>5.9465373638137801E-2</v>
      </c>
      <c r="L34">
        <v>902.72162952347196</v>
      </c>
      <c r="M34">
        <v>0.19367097109329301</v>
      </c>
      <c r="N34" t="s">
        <v>575</v>
      </c>
      <c r="O34">
        <v>0.99023687450225395</v>
      </c>
      <c r="P34" t="s">
        <v>575</v>
      </c>
      <c r="Q34">
        <v>8.3594182994287003E-2</v>
      </c>
      <c r="R34">
        <v>0.190913633857662</v>
      </c>
      <c r="S34">
        <v>4.21836687455725E-2</v>
      </c>
      <c r="T34" t="s">
        <v>575</v>
      </c>
      <c r="U34">
        <v>0.11217835512493</v>
      </c>
      <c r="V34">
        <v>0.59366995533665801</v>
      </c>
      <c r="W34">
        <v>3.8901725790444402E-2</v>
      </c>
      <c r="X34" t="s">
        <v>575</v>
      </c>
      <c r="Y34">
        <v>0.11705367474296099</v>
      </c>
      <c r="Z34">
        <v>7.8876261321235694E-2</v>
      </c>
      <c r="AA34">
        <v>2.4806480450284399E-2</v>
      </c>
      <c r="AB34">
        <v>21.551464272434401</v>
      </c>
      <c r="AC34">
        <v>1.50602054574328E-2</v>
      </c>
      <c r="AD34">
        <v>5.6135423486752902</v>
      </c>
      <c r="AE34">
        <v>5.4647942127442901E-2</v>
      </c>
      <c r="AF34" t="s">
        <v>575</v>
      </c>
      <c r="AG34">
        <v>8.6895678734528799E-3</v>
      </c>
    </row>
    <row r="35" spans="1:33" x14ac:dyDescent="0.3">
      <c r="A35" t="s">
        <v>674</v>
      </c>
      <c r="B35" t="s">
        <v>575</v>
      </c>
      <c r="C35">
        <v>2.7504025785890399E-2</v>
      </c>
      <c r="D35" t="s">
        <v>575</v>
      </c>
      <c r="E35">
        <v>0.20771491352183999</v>
      </c>
      <c r="F35">
        <v>3.70374260243352</v>
      </c>
      <c r="G35">
        <v>0.23816766919145699</v>
      </c>
      <c r="H35">
        <v>3.1989501091002501</v>
      </c>
      <c r="I35">
        <v>2.0509706082884702</v>
      </c>
      <c r="J35" t="s">
        <v>781</v>
      </c>
      <c r="K35">
        <v>4.5687206971873402E-2</v>
      </c>
      <c r="L35">
        <v>524.85578190212595</v>
      </c>
      <c r="M35">
        <v>0.11857931733527501</v>
      </c>
      <c r="N35" t="s">
        <v>575</v>
      </c>
      <c r="O35">
        <v>0.45331264989296299</v>
      </c>
      <c r="P35" t="s">
        <v>575</v>
      </c>
      <c r="Q35">
        <v>4.3553812673752697E-2</v>
      </c>
      <c r="R35">
        <v>0.131948384984031</v>
      </c>
      <c r="S35">
        <v>2.2510184715671001E-2</v>
      </c>
      <c r="T35" t="s">
        <v>575</v>
      </c>
      <c r="U35">
        <v>0.102110055405303</v>
      </c>
      <c r="V35">
        <v>0.48705251213241202</v>
      </c>
      <c r="W35">
        <v>2.8409405219053101E-2</v>
      </c>
      <c r="X35" t="s">
        <v>575</v>
      </c>
      <c r="Y35">
        <v>0.17511512434874499</v>
      </c>
      <c r="Z35" t="s">
        <v>575</v>
      </c>
      <c r="AA35">
        <v>2.4885788436492199E-2</v>
      </c>
      <c r="AB35">
        <v>3.1334562529436898</v>
      </c>
      <c r="AC35">
        <v>5.7524534417852597E-3</v>
      </c>
      <c r="AD35">
        <v>5.2042091463387701</v>
      </c>
      <c r="AE35">
        <v>4.20538074640536E-2</v>
      </c>
      <c r="AF35">
        <v>9.1432311800177801E-3</v>
      </c>
      <c r="AG35">
        <v>4.6970683676075204E-3</v>
      </c>
    </row>
    <row r="36" spans="1:33" x14ac:dyDescent="0.3">
      <c r="A36" t="s">
        <v>675</v>
      </c>
      <c r="B36" t="s">
        <v>575</v>
      </c>
      <c r="C36">
        <v>4.5206015156544502E-2</v>
      </c>
      <c r="D36" t="s">
        <v>575</v>
      </c>
      <c r="E36">
        <v>0.289654428290538</v>
      </c>
      <c r="F36">
        <v>3.42281854779527</v>
      </c>
      <c r="G36">
        <v>0.38848387655962102</v>
      </c>
      <c r="H36" t="s">
        <v>575</v>
      </c>
      <c r="I36">
        <v>4.1980918709962101</v>
      </c>
      <c r="J36">
        <v>0.17366737672447533</v>
      </c>
      <c r="K36">
        <v>9.3026337365525305E-2</v>
      </c>
      <c r="L36">
        <v>1217.5261406340801</v>
      </c>
      <c r="M36">
        <v>0.17192591676698599</v>
      </c>
      <c r="N36" t="s">
        <v>575</v>
      </c>
      <c r="O36">
        <v>1.07647812578052</v>
      </c>
      <c r="P36">
        <v>0.14464354562972401</v>
      </c>
      <c r="Q36">
        <v>0.114896796597622</v>
      </c>
      <c r="R36" t="s">
        <v>575</v>
      </c>
      <c r="S36">
        <v>3.5705287444875403E-2</v>
      </c>
      <c r="T36" t="s">
        <v>575</v>
      </c>
      <c r="U36">
        <v>0.15173741914102801</v>
      </c>
      <c r="V36">
        <v>0.40076372707350899</v>
      </c>
      <c r="W36">
        <v>6.8595342542055598E-2</v>
      </c>
      <c r="X36" t="s">
        <v>575</v>
      </c>
      <c r="Y36">
        <v>0.20258191013587301</v>
      </c>
      <c r="Z36" t="s">
        <v>575</v>
      </c>
      <c r="AA36">
        <v>2.4905423911513101E-2</v>
      </c>
      <c r="AB36">
        <v>17.975050900623</v>
      </c>
      <c r="AC36">
        <v>1.26178099920833E-2</v>
      </c>
      <c r="AD36">
        <v>1.8272571194862199</v>
      </c>
      <c r="AE36">
        <v>7.5170510925818904E-2</v>
      </c>
      <c r="AF36" t="s">
        <v>575</v>
      </c>
      <c r="AG36">
        <v>8.5069165786398702E-3</v>
      </c>
    </row>
    <row r="37" spans="1:33" x14ac:dyDescent="0.3">
      <c r="A37" t="s">
        <v>676</v>
      </c>
      <c r="B37" t="s">
        <v>575</v>
      </c>
      <c r="C37">
        <v>5.0448532581926699E-2</v>
      </c>
      <c r="D37" t="s">
        <v>575</v>
      </c>
      <c r="E37">
        <v>0.48518561676669397</v>
      </c>
      <c r="F37">
        <v>8.0089852930088092</v>
      </c>
      <c r="G37">
        <v>0.40939131258016398</v>
      </c>
      <c r="H37" t="s">
        <v>575</v>
      </c>
      <c r="I37">
        <v>5.6082648885009103</v>
      </c>
      <c r="J37" t="s">
        <v>782</v>
      </c>
      <c r="K37">
        <v>0.120046814613569</v>
      </c>
      <c r="L37">
        <v>1531.9665310185101</v>
      </c>
      <c r="M37">
        <v>0.186764584389123</v>
      </c>
      <c r="N37" t="s">
        <v>575</v>
      </c>
      <c r="O37">
        <v>0.80672361499049905</v>
      </c>
      <c r="P37">
        <v>0.66093890290903801</v>
      </c>
      <c r="Q37">
        <v>0.145567164256411</v>
      </c>
      <c r="R37">
        <v>0.10585537671071001</v>
      </c>
      <c r="S37">
        <v>4.2387574740163601E-2</v>
      </c>
      <c r="T37" t="s">
        <v>575</v>
      </c>
      <c r="U37">
        <v>0.14192378602827299</v>
      </c>
      <c r="V37">
        <v>1.00904446276071</v>
      </c>
      <c r="W37">
        <v>3.4267907678552402E-2</v>
      </c>
      <c r="X37" t="s">
        <v>575</v>
      </c>
      <c r="Y37">
        <v>0.14455858477424</v>
      </c>
      <c r="Z37" t="s">
        <v>575</v>
      </c>
      <c r="AA37">
        <v>4.9793650613419303E-2</v>
      </c>
      <c r="AB37">
        <v>20.692391282649801</v>
      </c>
      <c r="AC37">
        <v>1.30817558263323E-2</v>
      </c>
      <c r="AD37">
        <v>22.157158849792399</v>
      </c>
      <c r="AE37">
        <v>7.3292494253773502E-2</v>
      </c>
      <c r="AF37" t="s">
        <v>575</v>
      </c>
      <c r="AG37">
        <v>1.2586668527359301E-2</v>
      </c>
    </row>
    <row r="38" spans="1:33" x14ac:dyDescent="0.3">
      <c r="A38" t="s">
        <v>677</v>
      </c>
      <c r="B38">
        <v>0.160122782171123</v>
      </c>
      <c r="C38">
        <v>0.116635541168897</v>
      </c>
      <c r="D38" t="s">
        <v>575</v>
      </c>
      <c r="E38">
        <v>0.93511171949084804</v>
      </c>
      <c r="F38">
        <v>53.556084317056602</v>
      </c>
      <c r="G38">
        <v>0.55072637323040097</v>
      </c>
      <c r="H38">
        <v>17.026146223293001</v>
      </c>
      <c r="I38">
        <v>9.62110782138876</v>
      </c>
      <c r="J38" t="s">
        <v>783</v>
      </c>
      <c r="K38">
        <v>0.22566747681648699</v>
      </c>
      <c r="L38">
        <v>1815.2804992253</v>
      </c>
      <c r="M38">
        <v>0.39669429963423603</v>
      </c>
      <c r="N38" t="s">
        <v>575</v>
      </c>
      <c r="O38">
        <v>2.2361233961820002</v>
      </c>
      <c r="P38">
        <v>17.914275104421399</v>
      </c>
      <c r="Q38">
        <v>0.28905853156552502</v>
      </c>
      <c r="R38">
        <v>0.21169957672297601</v>
      </c>
      <c r="S38">
        <v>8.1155090766648799E-2</v>
      </c>
      <c r="T38" t="s">
        <v>575</v>
      </c>
      <c r="U38">
        <v>0.314737774353329</v>
      </c>
      <c r="V38">
        <v>3.6882602930341601</v>
      </c>
      <c r="W38">
        <v>0.16313401929885199</v>
      </c>
      <c r="X38" t="s">
        <v>575</v>
      </c>
      <c r="Y38">
        <v>0.70368078516488697</v>
      </c>
      <c r="Z38" t="s">
        <v>575</v>
      </c>
      <c r="AA38">
        <v>5.7637726168380997E-2</v>
      </c>
      <c r="AB38">
        <v>61.235431432263901</v>
      </c>
      <c r="AC38">
        <v>4.11847205493076E-2</v>
      </c>
      <c r="AD38">
        <v>80.767238529535803</v>
      </c>
      <c r="AE38">
        <v>0.13913899320574699</v>
      </c>
      <c r="AF38" t="s">
        <v>575</v>
      </c>
      <c r="AG38">
        <v>1.9849794097800601E-2</v>
      </c>
    </row>
    <row r="39" spans="1:33" x14ac:dyDescent="0.3">
      <c r="A39" t="s">
        <v>678</v>
      </c>
      <c r="B39">
        <v>0.149071918052184</v>
      </c>
      <c r="C39">
        <v>9.5632658783917995E-2</v>
      </c>
      <c r="D39" t="s">
        <v>575</v>
      </c>
      <c r="E39">
        <v>0.64912490070795403</v>
      </c>
      <c r="F39">
        <v>68.705999503262106</v>
      </c>
      <c r="G39">
        <v>0.65782199130057595</v>
      </c>
      <c r="H39">
        <v>36.057597983836501</v>
      </c>
      <c r="I39">
        <v>5.5660022408109802</v>
      </c>
      <c r="J39" t="s">
        <v>784</v>
      </c>
      <c r="K39">
        <v>0.159344260496699</v>
      </c>
      <c r="L39">
        <v>2743.0343631852802</v>
      </c>
      <c r="M39">
        <v>0.30794238073851898</v>
      </c>
      <c r="N39" t="s">
        <v>575</v>
      </c>
      <c r="O39">
        <v>1.8345496628508899</v>
      </c>
      <c r="P39">
        <v>6.5706340878906202</v>
      </c>
      <c r="Q39">
        <v>0.20416442250420599</v>
      </c>
      <c r="R39">
        <v>1.0472722528212199</v>
      </c>
      <c r="S39">
        <v>6.8445142106411005E-2</v>
      </c>
      <c r="T39" t="s">
        <v>575</v>
      </c>
      <c r="U39">
        <v>0.29443531654863198</v>
      </c>
      <c r="V39">
        <v>4.7455447927184</v>
      </c>
      <c r="W39">
        <v>0.137481590820275</v>
      </c>
      <c r="X39" t="s">
        <v>575</v>
      </c>
      <c r="Y39">
        <v>0.37516411647508402</v>
      </c>
      <c r="Z39" t="s">
        <v>575</v>
      </c>
      <c r="AA39">
        <v>9.1861219189950799E-2</v>
      </c>
      <c r="AB39">
        <v>53.123932301185903</v>
      </c>
      <c r="AC39">
        <v>2.8906183127177E-2</v>
      </c>
      <c r="AD39">
        <v>92.776762855993695</v>
      </c>
      <c r="AE39">
        <v>0.103562651729957</v>
      </c>
      <c r="AF39" t="s">
        <v>575</v>
      </c>
      <c r="AG39">
        <v>1.40713480883899E-2</v>
      </c>
    </row>
    <row r="40" spans="1:33" x14ac:dyDescent="0.3">
      <c r="A40" t="s">
        <v>679</v>
      </c>
      <c r="B40" t="s">
        <v>575</v>
      </c>
      <c r="C40">
        <v>7.5360399414512502E-2</v>
      </c>
      <c r="D40" t="s">
        <v>575</v>
      </c>
      <c r="E40">
        <v>0.54351534428411297</v>
      </c>
      <c r="F40">
        <v>38.478139445109903</v>
      </c>
      <c r="G40">
        <v>0.25081401413835103</v>
      </c>
      <c r="H40">
        <v>37.552732286332599</v>
      </c>
      <c r="I40">
        <v>9.6266444282076797</v>
      </c>
      <c r="J40" t="s">
        <v>785</v>
      </c>
      <c r="K40">
        <v>0.18687042545987301</v>
      </c>
      <c r="L40">
        <v>3447.9410030505201</v>
      </c>
      <c r="M40">
        <v>0.33530036399173402</v>
      </c>
      <c r="N40" t="s">
        <v>575</v>
      </c>
      <c r="O40">
        <v>2.0700625938660702</v>
      </c>
      <c r="P40">
        <v>1.49128452101875</v>
      </c>
      <c r="Q40">
        <v>0.18146030163858401</v>
      </c>
      <c r="R40">
        <v>0.45393490735837</v>
      </c>
      <c r="S40">
        <v>5.9906265228289998E-2</v>
      </c>
      <c r="T40" t="s">
        <v>575</v>
      </c>
      <c r="U40">
        <v>0.28175566734048801</v>
      </c>
      <c r="V40">
        <v>4.4156481106118397</v>
      </c>
      <c r="W40">
        <v>0.11054746934915</v>
      </c>
      <c r="X40" t="s">
        <v>575</v>
      </c>
      <c r="Y40">
        <v>0.28062281253517901</v>
      </c>
      <c r="Z40" t="s">
        <v>575</v>
      </c>
      <c r="AA40">
        <v>6.00860951253505E-2</v>
      </c>
      <c r="AB40">
        <v>80.978981062951505</v>
      </c>
      <c r="AC40">
        <v>2.1141789781382099E-2</v>
      </c>
      <c r="AD40">
        <v>53.198808856878998</v>
      </c>
      <c r="AE40">
        <v>0.124924386288912</v>
      </c>
      <c r="AF40">
        <v>2.71466461123764E-2</v>
      </c>
      <c r="AG40">
        <v>1.5696169980876199E-2</v>
      </c>
    </row>
    <row r="41" spans="1:33" x14ac:dyDescent="0.3">
      <c r="A41" t="s">
        <v>680</v>
      </c>
      <c r="B41" t="s">
        <v>575</v>
      </c>
      <c r="C41">
        <v>8.0877092474167397E-2</v>
      </c>
      <c r="D41" t="s">
        <v>575</v>
      </c>
      <c r="E41">
        <v>0.595660496707901</v>
      </c>
      <c r="F41">
        <v>12.8468799262152</v>
      </c>
      <c r="G41">
        <v>0.46597995259118402</v>
      </c>
      <c r="H41">
        <v>26.649828515635299</v>
      </c>
      <c r="I41">
        <v>8.9223236678802298</v>
      </c>
      <c r="J41" t="s">
        <v>786</v>
      </c>
      <c r="K41">
        <v>0.17933032954417899</v>
      </c>
      <c r="L41">
        <v>1570.7247635112001</v>
      </c>
      <c r="M41">
        <v>0.36752847238985298</v>
      </c>
      <c r="N41" t="s">
        <v>575</v>
      </c>
      <c r="O41">
        <v>1.4622723421144701</v>
      </c>
      <c r="P41">
        <v>0.55380110123394399</v>
      </c>
      <c r="Q41">
        <v>0.15906610085753201</v>
      </c>
      <c r="R41">
        <v>0.12934131288399001</v>
      </c>
      <c r="S41">
        <v>5.86205096595303E-2</v>
      </c>
      <c r="T41" t="s">
        <v>575</v>
      </c>
      <c r="U41">
        <v>0.195082727022999</v>
      </c>
      <c r="V41">
        <v>2.0554407929777399</v>
      </c>
      <c r="W41">
        <v>0.115474690566868</v>
      </c>
      <c r="X41" t="s">
        <v>575</v>
      </c>
      <c r="Y41">
        <v>0.25446543545193601</v>
      </c>
      <c r="Z41" t="s">
        <v>575</v>
      </c>
      <c r="AA41">
        <v>4.9696241550601698E-2</v>
      </c>
      <c r="AB41">
        <v>55.408320486648599</v>
      </c>
      <c r="AC41">
        <v>2.20236477217233E-2</v>
      </c>
      <c r="AD41">
        <v>22.309196227608201</v>
      </c>
      <c r="AE41">
        <v>0.129314713641143</v>
      </c>
      <c r="AF41" t="s">
        <v>575</v>
      </c>
      <c r="AG41">
        <v>1.8803401304304E-2</v>
      </c>
    </row>
    <row r="42" spans="1:33" x14ac:dyDescent="0.3">
      <c r="A42" t="s">
        <v>681</v>
      </c>
      <c r="B42">
        <v>9.1575123138613499</v>
      </c>
      <c r="C42">
        <v>4.1765858334858602E-2</v>
      </c>
      <c r="D42">
        <v>0.42302980183452599</v>
      </c>
      <c r="E42">
        <v>0.24556115910672399</v>
      </c>
      <c r="F42">
        <v>3.97432099888236</v>
      </c>
      <c r="G42">
        <v>0.27817968174478802</v>
      </c>
      <c r="H42">
        <v>10.665050369450499</v>
      </c>
      <c r="I42">
        <v>3.0458740449311401</v>
      </c>
      <c r="J42">
        <v>4.6620496344969134E-2</v>
      </c>
      <c r="K42">
        <v>5.8560235352248101E-2</v>
      </c>
      <c r="L42">
        <v>486.377441456329</v>
      </c>
      <c r="M42">
        <v>0.152837877615076</v>
      </c>
      <c r="N42">
        <v>11.1902294016783</v>
      </c>
      <c r="O42">
        <v>0.77568099776845101</v>
      </c>
      <c r="P42">
        <v>10.0332502011124</v>
      </c>
      <c r="Q42">
        <v>6.0572595390212897E-2</v>
      </c>
      <c r="R42">
        <v>0.13702357340724999</v>
      </c>
      <c r="S42">
        <v>3.13352402379517E-2</v>
      </c>
      <c r="T42">
        <v>0.14725080745661601</v>
      </c>
      <c r="U42">
        <v>0.116994859449269</v>
      </c>
      <c r="V42">
        <v>3.31349785653858</v>
      </c>
      <c r="W42">
        <v>6.0883594979260401E-2</v>
      </c>
      <c r="X42">
        <v>15.878411621401</v>
      </c>
      <c r="Y42">
        <v>0.18554764544900301</v>
      </c>
      <c r="Z42">
        <v>0.10228596605469401</v>
      </c>
      <c r="AA42">
        <v>2.3543358076381599E-2</v>
      </c>
      <c r="AB42">
        <v>6.2836387924018</v>
      </c>
      <c r="AC42">
        <v>1.4171028096537299E-2</v>
      </c>
      <c r="AD42">
        <v>125.31054941187899</v>
      </c>
      <c r="AE42">
        <v>3.4391103062890803E-2</v>
      </c>
      <c r="AF42" t="s">
        <v>575</v>
      </c>
      <c r="AG42">
        <v>5.5031074045084902E-3</v>
      </c>
    </row>
    <row r="43" spans="1:33" x14ac:dyDescent="0.3">
      <c r="A43" t="s">
        <v>682</v>
      </c>
      <c r="B43">
        <v>12.749095443894699</v>
      </c>
      <c r="C43">
        <v>5.5475178857612099E-2</v>
      </c>
      <c r="D43">
        <v>0.26094811203784501</v>
      </c>
      <c r="E43">
        <v>0.21838466245899099</v>
      </c>
      <c r="F43">
        <v>3.9207497567811598</v>
      </c>
      <c r="G43">
        <v>0.31427283686630297</v>
      </c>
      <c r="H43">
        <v>25.188203631892801</v>
      </c>
      <c r="I43">
        <v>1.8893263805511</v>
      </c>
      <c r="J43">
        <v>3.9728530814223756E-2</v>
      </c>
      <c r="K43">
        <v>5.5973220035640397E-2</v>
      </c>
      <c r="L43">
        <v>524.81342999336402</v>
      </c>
      <c r="M43">
        <v>9.9361263712192005E-2</v>
      </c>
      <c r="N43">
        <v>8.0707314595567698</v>
      </c>
      <c r="O43">
        <v>0.71109070228187099</v>
      </c>
      <c r="P43">
        <v>12.8256316081698</v>
      </c>
      <c r="Q43">
        <v>0.109141413008114</v>
      </c>
      <c r="R43">
        <v>0.132601750052492</v>
      </c>
      <c r="S43">
        <v>1.4634434119647001E-2</v>
      </c>
      <c r="T43">
        <v>0.21199599173786801</v>
      </c>
      <c r="U43">
        <v>0.11591026966580199</v>
      </c>
      <c r="V43">
        <v>3.12165855517976</v>
      </c>
      <c r="W43">
        <v>4.5074758215106397E-2</v>
      </c>
      <c r="X43">
        <v>14.9681775874853</v>
      </c>
      <c r="Y43">
        <v>0.12600806616018001</v>
      </c>
      <c r="Z43">
        <v>8.96549538158984E-2</v>
      </c>
      <c r="AA43">
        <v>1.1762521597505101E-2</v>
      </c>
      <c r="AB43">
        <v>11.9946089302088</v>
      </c>
      <c r="AC43">
        <v>1.3600628425942901E-2</v>
      </c>
      <c r="AD43">
        <v>92.1619716572405</v>
      </c>
      <c r="AE43">
        <v>6.4787492932936702E-2</v>
      </c>
      <c r="AF43" t="s">
        <v>575</v>
      </c>
      <c r="AG43">
        <v>6.2464123936274299E-3</v>
      </c>
    </row>
    <row r="44" spans="1:33" x14ac:dyDescent="0.3">
      <c r="A44" t="s">
        <v>683</v>
      </c>
      <c r="B44">
        <v>5.2052869792565204</v>
      </c>
      <c r="C44">
        <v>3.3739359243381999E-2</v>
      </c>
      <c r="D44">
        <v>0.64795637645220805</v>
      </c>
      <c r="E44">
        <v>0.28990445297143602</v>
      </c>
      <c r="F44">
        <v>5.0687414497832002</v>
      </c>
      <c r="G44">
        <v>0.28755168769156902</v>
      </c>
      <c r="H44">
        <v>34.129276306863801</v>
      </c>
      <c r="I44">
        <v>2.4779084935269902</v>
      </c>
      <c r="J44" t="s">
        <v>787</v>
      </c>
      <c r="K44">
        <v>8.1104794599415705E-2</v>
      </c>
      <c r="L44">
        <v>669.07342575313999</v>
      </c>
      <c r="M44">
        <v>0.100498989401963</v>
      </c>
      <c r="N44">
        <v>6.22585432294004</v>
      </c>
      <c r="O44">
        <v>0.88425455278178799</v>
      </c>
      <c r="P44">
        <v>2.82883575946359</v>
      </c>
      <c r="Q44">
        <v>0.123063447882809</v>
      </c>
      <c r="R44">
        <v>0.256994099938335</v>
      </c>
      <c r="S44">
        <v>1.7572340531313301E-2</v>
      </c>
      <c r="T44">
        <v>0.25627102494083698</v>
      </c>
      <c r="U44">
        <v>9.2665915264375107E-2</v>
      </c>
      <c r="V44">
        <v>2.5331938791750401</v>
      </c>
      <c r="W44">
        <v>5.2974031574077103E-2</v>
      </c>
      <c r="X44">
        <v>4.4499588668156402</v>
      </c>
      <c r="Y44">
        <v>0.10644274690769499</v>
      </c>
      <c r="Z44">
        <v>8.48883502021439E-2</v>
      </c>
      <c r="AA44">
        <v>3.0137748354028802E-2</v>
      </c>
      <c r="AB44">
        <v>2.6931601156081402</v>
      </c>
      <c r="AC44">
        <v>7.7784110656328497E-3</v>
      </c>
      <c r="AD44">
        <v>75.903425009685606</v>
      </c>
      <c r="AE44">
        <v>4.577019527686E-2</v>
      </c>
      <c r="AF44" t="s">
        <v>575</v>
      </c>
      <c r="AG44">
        <v>5.6753971653180496E-3</v>
      </c>
    </row>
    <row r="45" spans="1:33" x14ac:dyDescent="0.3">
      <c r="A45" t="s">
        <v>684</v>
      </c>
      <c r="B45">
        <v>28.76209125227</v>
      </c>
      <c r="C45">
        <v>2.1966457645150001E-2</v>
      </c>
      <c r="D45">
        <v>1.6072617801553299</v>
      </c>
      <c r="E45">
        <v>0.35072210566531198</v>
      </c>
      <c r="F45">
        <v>10.356613500247301</v>
      </c>
      <c r="G45">
        <v>0.26871846781229097</v>
      </c>
      <c r="H45">
        <v>111.629635552948</v>
      </c>
      <c r="I45">
        <v>2.5695728447427899</v>
      </c>
      <c r="J45">
        <v>7.255919579498972E-2</v>
      </c>
      <c r="K45">
        <v>9.2236654334712898E-2</v>
      </c>
      <c r="L45">
        <v>683.69816110262695</v>
      </c>
      <c r="M45">
        <v>0.12600034626173401</v>
      </c>
      <c r="N45">
        <v>2.6190409439787401</v>
      </c>
      <c r="O45">
        <v>0.45271289461216901</v>
      </c>
      <c r="P45">
        <v>3.7478912042691301</v>
      </c>
      <c r="Q45">
        <v>5.1783060858761901E-2</v>
      </c>
      <c r="R45">
        <v>0.162073416713851</v>
      </c>
      <c r="S45">
        <v>2.7384585384898501E-2</v>
      </c>
      <c r="T45">
        <v>0.36954593773187899</v>
      </c>
      <c r="U45">
        <v>0.127508023863212</v>
      </c>
      <c r="V45">
        <v>1.41563078411779</v>
      </c>
      <c r="W45">
        <v>6.2709230660134396E-2</v>
      </c>
      <c r="X45">
        <v>3.8014750281678902</v>
      </c>
      <c r="Y45">
        <v>0.172043896432683</v>
      </c>
      <c r="Z45">
        <v>2.4945458354630499E-2</v>
      </c>
      <c r="AA45">
        <v>2.4410810121281701E-2</v>
      </c>
      <c r="AB45">
        <v>6.7918779882791496</v>
      </c>
      <c r="AC45">
        <v>9.5197239611152992E-3</v>
      </c>
      <c r="AD45">
        <v>32.765647842288601</v>
      </c>
      <c r="AE45">
        <v>6.46783411076053E-2</v>
      </c>
      <c r="AF45">
        <v>6.8346032167653599E-3</v>
      </c>
      <c r="AG45">
        <v>4.6223160641537904E-3</v>
      </c>
    </row>
    <row r="46" spans="1:33" x14ac:dyDescent="0.3">
      <c r="A46" t="s">
        <v>685</v>
      </c>
      <c r="B46">
        <v>12.4740847928097</v>
      </c>
      <c r="C46">
        <v>2.60918765910562E-2</v>
      </c>
      <c r="D46">
        <v>0.31134805645014901</v>
      </c>
      <c r="E46">
        <v>0.25827579678713403</v>
      </c>
      <c r="F46">
        <v>3.6764735221809399</v>
      </c>
      <c r="G46">
        <v>0.23878183763025901</v>
      </c>
      <c r="H46">
        <v>33.129188768708303</v>
      </c>
      <c r="I46">
        <v>2.5275899561072199</v>
      </c>
      <c r="J46">
        <v>6.3940495817709414E-2</v>
      </c>
      <c r="K46">
        <v>7.6908987711574298E-2</v>
      </c>
      <c r="L46">
        <v>798.49766259851197</v>
      </c>
      <c r="M46">
        <v>0.119980883499417</v>
      </c>
      <c r="N46">
        <v>1.95313032165973</v>
      </c>
      <c r="O46">
        <v>0.613436487442793</v>
      </c>
      <c r="P46">
        <v>1.9835900195968701</v>
      </c>
      <c r="Q46">
        <v>9.8248253752284007E-2</v>
      </c>
      <c r="R46">
        <v>0.16596191649328501</v>
      </c>
      <c r="S46">
        <v>1.7251028869398E-2</v>
      </c>
      <c r="T46">
        <v>0.140922514912483</v>
      </c>
      <c r="U46">
        <v>9.5156024316181198E-2</v>
      </c>
      <c r="V46">
        <v>1.9332992651199401</v>
      </c>
      <c r="W46">
        <v>3.7805920609126901E-2</v>
      </c>
      <c r="X46">
        <v>2.29868320098331</v>
      </c>
      <c r="Y46">
        <v>9.4138931556722302E-2</v>
      </c>
      <c r="Z46">
        <v>2.6721635026450401E-2</v>
      </c>
      <c r="AA46">
        <v>1.45076387549303E-2</v>
      </c>
      <c r="AB46">
        <v>6.2780355497147502</v>
      </c>
      <c r="AC46">
        <v>9.7463038880150898E-3</v>
      </c>
      <c r="AD46">
        <v>17.55361188601</v>
      </c>
      <c r="AE46">
        <v>4.1780811439525403E-2</v>
      </c>
      <c r="AF46" t="s">
        <v>575</v>
      </c>
      <c r="AG46">
        <v>7.63132564955484E-3</v>
      </c>
    </row>
    <row r="47" spans="1:33" x14ac:dyDescent="0.3">
      <c r="A47" t="s">
        <v>686</v>
      </c>
      <c r="B47">
        <v>4.5605289787758396</v>
      </c>
      <c r="C47">
        <v>4.5490466774590302E-2</v>
      </c>
      <c r="D47" t="s">
        <v>575</v>
      </c>
      <c r="E47">
        <v>0.27522527637097099</v>
      </c>
      <c r="F47">
        <v>4.5216848758193899</v>
      </c>
      <c r="G47">
        <v>0.360444938421564</v>
      </c>
      <c r="H47">
        <v>14.016043974501899</v>
      </c>
      <c r="I47">
        <v>4.5612710634132796</v>
      </c>
      <c r="J47">
        <v>0.10519588052040793</v>
      </c>
      <c r="K47">
        <v>0.105190011516876</v>
      </c>
      <c r="L47">
        <v>1127.10233002618</v>
      </c>
      <c r="M47">
        <v>0.16927962636997601</v>
      </c>
      <c r="N47">
        <v>6.2629059598854004</v>
      </c>
      <c r="O47">
        <v>1.2826673360849099</v>
      </c>
      <c r="P47">
        <v>5.5230520585153098</v>
      </c>
      <c r="Q47">
        <v>0.12922715842025501</v>
      </c>
      <c r="R47">
        <v>0.215125865819635</v>
      </c>
      <c r="S47">
        <v>3.7954915784080202E-2</v>
      </c>
      <c r="T47" t="s">
        <v>575</v>
      </c>
      <c r="U47">
        <v>0.15583943608412401</v>
      </c>
      <c r="V47">
        <v>2.0506134395574001</v>
      </c>
      <c r="W47">
        <v>9.9268541705264002E-2</v>
      </c>
      <c r="X47">
        <v>11.995820562863599</v>
      </c>
      <c r="Y47">
        <v>0.34323395557420899</v>
      </c>
      <c r="Z47">
        <v>8.0822299091799804E-2</v>
      </c>
      <c r="AA47">
        <v>1.6898613718881701E-2</v>
      </c>
      <c r="AB47">
        <v>13.190185314376199</v>
      </c>
      <c r="AC47">
        <v>1.7353765621433901E-2</v>
      </c>
      <c r="AD47">
        <v>42.005603286627398</v>
      </c>
      <c r="AE47">
        <v>0.101186164002147</v>
      </c>
      <c r="AF47" t="s">
        <v>575</v>
      </c>
      <c r="AG47">
        <v>1.0299962473567599E-2</v>
      </c>
    </row>
    <row r="48" spans="1:33" x14ac:dyDescent="0.3">
      <c r="A48" t="s">
        <v>687</v>
      </c>
      <c r="B48">
        <v>4.7085107693174502</v>
      </c>
      <c r="C48">
        <v>3.8455040000694003E-2</v>
      </c>
      <c r="D48" t="s">
        <v>575</v>
      </c>
      <c r="E48">
        <v>0.29782599538751398</v>
      </c>
      <c r="F48">
        <v>3.2553742064686899</v>
      </c>
      <c r="G48">
        <v>0.192530597562621</v>
      </c>
      <c r="H48">
        <v>15.233543849156</v>
      </c>
      <c r="I48">
        <v>2.62351700798256</v>
      </c>
      <c r="J48" t="s">
        <v>788</v>
      </c>
      <c r="K48">
        <v>9.1762649587945999E-2</v>
      </c>
      <c r="L48">
        <v>648.77239708669902</v>
      </c>
      <c r="M48">
        <v>0.14743579852552999</v>
      </c>
      <c r="N48">
        <v>6.7664458916562804</v>
      </c>
      <c r="O48">
        <v>0.77846021256466902</v>
      </c>
      <c r="P48">
        <v>6.1113070407867101</v>
      </c>
      <c r="Q48">
        <v>0.109806662285115</v>
      </c>
      <c r="R48">
        <v>0.158945761112157</v>
      </c>
      <c r="S48">
        <v>1.7311248313015799E-2</v>
      </c>
      <c r="T48">
        <v>0.25836719324678298</v>
      </c>
      <c r="U48">
        <v>0.15887540502602099</v>
      </c>
      <c r="V48">
        <v>2.4305172110387701</v>
      </c>
      <c r="W48">
        <v>4.1040756279210701E-2</v>
      </c>
      <c r="X48">
        <v>12.2980402011984</v>
      </c>
      <c r="Y48">
        <v>7.1558037448006304E-2</v>
      </c>
      <c r="Z48">
        <v>7.6877425314836004E-2</v>
      </c>
      <c r="AA48">
        <v>2.2698812125759801E-2</v>
      </c>
      <c r="AB48">
        <v>7.47144036550434</v>
      </c>
      <c r="AC48">
        <v>1.5230719576503401E-2</v>
      </c>
      <c r="AD48">
        <v>49.9591633029561</v>
      </c>
      <c r="AE48">
        <v>5.7240785748886198E-2</v>
      </c>
      <c r="AF48" t="s">
        <v>575</v>
      </c>
      <c r="AG48">
        <v>9.2710539160603608E-3</v>
      </c>
    </row>
    <row r="49" spans="1:33" x14ac:dyDescent="0.3">
      <c r="A49" t="s">
        <v>688</v>
      </c>
      <c r="B49">
        <v>8.3745795601230295</v>
      </c>
      <c r="C49">
        <v>4.6886891487828299E-2</v>
      </c>
      <c r="D49">
        <v>0.68083184241563799</v>
      </c>
      <c r="E49">
        <v>0.33561676934701201</v>
      </c>
      <c r="F49">
        <v>9.4820522458472603</v>
      </c>
      <c r="G49">
        <v>0.265601932269598</v>
      </c>
      <c r="H49">
        <v>22.7312850257211</v>
      </c>
      <c r="I49">
        <v>2.8029341848367699</v>
      </c>
      <c r="J49" t="s">
        <v>789</v>
      </c>
      <c r="K49">
        <v>9.5619332532380696E-2</v>
      </c>
      <c r="L49">
        <v>999.91068477701401</v>
      </c>
      <c r="M49">
        <v>0.18275933105888301</v>
      </c>
      <c r="N49">
        <v>3.6882903546068002</v>
      </c>
      <c r="O49">
        <v>0.77667914355983203</v>
      </c>
      <c r="P49">
        <v>6.2747520124787597</v>
      </c>
      <c r="Q49">
        <v>0.16638289867863701</v>
      </c>
      <c r="R49">
        <v>0.14933254025595599</v>
      </c>
      <c r="S49">
        <v>2.7507337191577101E-2</v>
      </c>
      <c r="T49" t="s">
        <v>575</v>
      </c>
      <c r="U49">
        <v>0.14532951336323899</v>
      </c>
      <c r="V49">
        <v>1.13705056791082</v>
      </c>
      <c r="W49">
        <v>3.3656696522769203E-2</v>
      </c>
      <c r="X49">
        <v>14.2096109582696</v>
      </c>
      <c r="Y49">
        <v>0.29034679357313298</v>
      </c>
      <c r="Z49">
        <v>0.109464798491425</v>
      </c>
      <c r="AA49">
        <v>4.3352312262483199E-2</v>
      </c>
      <c r="AB49">
        <v>9.3563003006617596</v>
      </c>
      <c r="AC49">
        <v>1.0711055007752299E-2</v>
      </c>
      <c r="AD49">
        <v>27.131628236330499</v>
      </c>
      <c r="AE49">
        <v>7.3781589699041999E-2</v>
      </c>
      <c r="AF49" t="s">
        <v>575</v>
      </c>
      <c r="AG49">
        <v>6.9963137145454797E-3</v>
      </c>
    </row>
    <row r="50" spans="1:33" x14ac:dyDescent="0.3">
      <c r="A50" t="s">
        <v>689</v>
      </c>
      <c r="B50">
        <v>47.661226320328197</v>
      </c>
      <c r="C50">
        <v>1.3723079330216799E-2</v>
      </c>
      <c r="D50">
        <v>13.035264643173599</v>
      </c>
      <c r="E50">
        <v>0.15689694644461499</v>
      </c>
      <c r="F50">
        <v>611.01041714872497</v>
      </c>
      <c r="G50">
        <v>7.2084457115026396E-2</v>
      </c>
      <c r="H50">
        <v>3.83522001418353</v>
      </c>
      <c r="I50">
        <v>0.93365733052051403</v>
      </c>
      <c r="J50" t="s">
        <v>575</v>
      </c>
      <c r="K50">
        <v>3.2418400694216899E-2</v>
      </c>
      <c r="L50">
        <v>472.59197616489899</v>
      </c>
      <c r="M50">
        <v>5.1269516903667399E-2</v>
      </c>
      <c r="N50">
        <v>32.091370972934897</v>
      </c>
      <c r="O50">
        <v>0.33543571459245197</v>
      </c>
      <c r="P50">
        <v>2.7111189283733301</v>
      </c>
      <c r="Q50">
        <v>3.6569807216477103E-2</v>
      </c>
      <c r="R50">
        <v>1.5349978340974799</v>
      </c>
      <c r="S50">
        <v>1.4845450475838001E-2</v>
      </c>
      <c r="T50" t="s">
        <v>575</v>
      </c>
      <c r="U50">
        <v>4.5159435334312797E-2</v>
      </c>
      <c r="V50">
        <v>15.2727579040085</v>
      </c>
      <c r="W50">
        <v>1.11469893366973E-2</v>
      </c>
      <c r="X50">
        <v>93.904393653811695</v>
      </c>
      <c r="Y50">
        <v>7.2410905006426995E-2</v>
      </c>
      <c r="Z50">
        <v>0.48992296218676101</v>
      </c>
      <c r="AA50">
        <v>6.2814231599044399E-3</v>
      </c>
      <c r="AB50">
        <v>6.6401160116288396E-2</v>
      </c>
      <c r="AC50">
        <v>4.6131617370439E-3</v>
      </c>
      <c r="AD50">
        <v>42.876167729923203</v>
      </c>
      <c r="AE50">
        <v>1.55813494812196E-2</v>
      </c>
      <c r="AF50">
        <v>1.1009094191775499</v>
      </c>
      <c r="AG50">
        <v>1.7498243117835899E-3</v>
      </c>
    </row>
    <row r="51" spans="1:33" x14ac:dyDescent="0.3">
      <c r="A51" t="s">
        <v>690</v>
      </c>
      <c r="B51">
        <v>9.9836121440226506</v>
      </c>
      <c r="C51">
        <v>3.5889534400806E-2</v>
      </c>
      <c r="D51">
        <v>3.9375835351221098</v>
      </c>
      <c r="E51">
        <v>0.237144156947139</v>
      </c>
      <c r="F51">
        <v>153.375078838398</v>
      </c>
      <c r="G51">
        <v>0.24066997612993701</v>
      </c>
      <c r="H51">
        <v>17.851467559474699</v>
      </c>
      <c r="I51">
        <v>3.2583444237607901</v>
      </c>
      <c r="J51" t="s">
        <v>790</v>
      </c>
      <c r="K51">
        <v>5.9486525169364798E-2</v>
      </c>
      <c r="L51">
        <v>731.38477856534598</v>
      </c>
      <c r="M51">
        <v>0.107109195968769</v>
      </c>
      <c r="N51">
        <v>13.5657182337363</v>
      </c>
      <c r="O51">
        <v>0.61596779572849603</v>
      </c>
      <c r="P51">
        <v>1.2396168374254399</v>
      </c>
      <c r="Q51">
        <v>8.4661289388865704E-2</v>
      </c>
      <c r="R51">
        <v>2.0032331152205001</v>
      </c>
      <c r="S51">
        <v>1.5738906494613E-2</v>
      </c>
      <c r="T51" t="s">
        <v>575</v>
      </c>
      <c r="U51">
        <v>0.133876696188552</v>
      </c>
      <c r="V51">
        <v>35.6335307963245</v>
      </c>
      <c r="W51">
        <v>6.6669166572620994E-2</v>
      </c>
      <c r="X51">
        <v>61.4079109078166</v>
      </c>
      <c r="Y51">
        <v>9.5222715853094997E-2</v>
      </c>
      <c r="Z51">
        <v>0.45932014530829102</v>
      </c>
      <c r="AA51">
        <v>3.1614604497067503E-2</v>
      </c>
      <c r="AB51">
        <v>7.3406919962998002E-2</v>
      </c>
      <c r="AC51">
        <v>9.7839317110997095E-3</v>
      </c>
      <c r="AD51">
        <v>74.708351191872495</v>
      </c>
      <c r="AE51">
        <v>4.6320427009608998E-2</v>
      </c>
      <c r="AF51">
        <v>0.233596451807666</v>
      </c>
      <c r="AG51">
        <v>6.8769346268997E-3</v>
      </c>
    </row>
    <row r="52" spans="1:33" x14ac:dyDescent="0.3">
      <c r="A52" t="s">
        <v>691</v>
      </c>
      <c r="B52">
        <v>0.28006384261449502</v>
      </c>
      <c r="C52">
        <v>1.67703585827166E-2</v>
      </c>
      <c r="D52">
        <v>1.09021151692859</v>
      </c>
      <c r="E52">
        <v>0.151515831355926</v>
      </c>
      <c r="F52">
        <v>16.120384762021999</v>
      </c>
      <c r="G52">
        <v>0.115717950276238</v>
      </c>
      <c r="H52">
        <v>7.8822926425489497</v>
      </c>
      <c r="I52">
        <v>1.57469320182054</v>
      </c>
      <c r="J52" t="s">
        <v>791</v>
      </c>
      <c r="K52">
        <v>3.93619239515237E-2</v>
      </c>
      <c r="L52">
        <v>684.124903061037</v>
      </c>
      <c r="M52">
        <v>6.6005483135587198E-2</v>
      </c>
      <c r="N52">
        <v>0.674470530126973</v>
      </c>
      <c r="O52">
        <v>0.311181390642499</v>
      </c>
      <c r="P52">
        <v>6.1169735708880499E-2</v>
      </c>
      <c r="Q52">
        <v>1.86225793010769E-2</v>
      </c>
      <c r="R52">
        <v>0.48892689365675601</v>
      </c>
      <c r="S52">
        <v>9.5102524691436704E-3</v>
      </c>
      <c r="T52" t="s">
        <v>575</v>
      </c>
      <c r="U52">
        <v>5.96803453536651E-2</v>
      </c>
      <c r="V52">
        <v>9.1454767158710393</v>
      </c>
      <c r="W52">
        <v>2.2495537430747201E-2</v>
      </c>
      <c r="X52">
        <v>21.092362006908701</v>
      </c>
      <c r="Y52">
        <v>6.4230213442375297E-2</v>
      </c>
      <c r="Z52">
        <v>0.39631338629937601</v>
      </c>
      <c r="AA52">
        <v>8.0649617988835208E-3</v>
      </c>
      <c r="AB52">
        <v>3.7106893280704698E-2</v>
      </c>
      <c r="AC52">
        <v>2.94880433352375E-3</v>
      </c>
      <c r="AD52">
        <v>28.528377188475702</v>
      </c>
      <c r="AE52">
        <v>2.4918472327111401E-2</v>
      </c>
      <c r="AF52">
        <v>2.7025238080921301E-2</v>
      </c>
      <c r="AG52">
        <v>4.4335905622347304E-3</v>
      </c>
    </row>
    <row r="53" spans="1:33" x14ac:dyDescent="0.3">
      <c r="A53" t="s">
        <v>692</v>
      </c>
      <c r="B53">
        <v>17.0273882551345</v>
      </c>
      <c r="C53">
        <v>5.9208392742119897E-3</v>
      </c>
      <c r="D53">
        <v>2.6028370728749501</v>
      </c>
      <c r="E53">
        <v>6.3517109323499396E-2</v>
      </c>
      <c r="F53">
        <v>66.236247066649597</v>
      </c>
      <c r="G53">
        <v>6.1326735057121599E-2</v>
      </c>
      <c r="H53">
        <v>1.1618111303174501</v>
      </c>
      <c r="I53">
        <v>0.80020762331566797</v>
      </c>
      <c r="J53" t="s">
        <v>575</v>
      </c>
      <c r="K53">
        <v>2.0794384328580499E-2</v>
      </c>
      <c r="L53">
        <v>364.98225688407899</v>
      </c>
      <c r="M53">
        <v>4.3430918040464901E-2</v>
      </c>
      <c r="N53">
        <v>9.5692137675056301</v>
      </c>
      <c r="O53">
        <v>0.15015599379502001</v>
      </c>
      <c r="P53">
        <v>1.01863264886109</v>
      </c>
      <c r="Q53">
        <v>2.6794603081688899E-2</v>
      </c>
      <c r="R53">
        <v>0.95478597757216599</v>
      </c>
      <c r="S53">
        <v>8.04797700188104E-3</v>
      </c>
      <c r="T53">
        <v>2.53909816024541E-2</v>
      </c>
      <c r="U53">
        <v>1.9810472211939802E-2</v>
      </c>
      <c r="V53">
        <v>7.4031326916377997</v>
      </c>
      <c r="W53">
        <v>1.25482195171125E-2</v>
      </c>
      <c r="X53">
        <v>19.089339668870501</v>
      </c>
      <c r="Y53">
        <v>5.6416424180787399E-2</v>
      </c>
      <c r="Z53">
        <v>0.336149145484467</v>
      </c>
      <c r="AA53">
        <v>4.2490111459204801E-3</v>
      </c>
      <c r="AB53">
        <v>1.10540154058913E-2</v>
      </c>
      <c r="AC53">
        <v>2.4216009744577102E-3</v>
      </c>
      <c r="AD53">
        <v>17.6397343097041</v>
      </c>
      <c r="AE53">
        <v>1.56268300830745E-2</v>
      </c>
      <c r="AF53">
        <v>0.196772661491633</v>
      </c>
      <c r="AG53">
        <v>1.85444141255183E-3</v>
      </c>
    </row>
    <row r="54" spans="1:33" x14ac:dyDescent="0.3">
      <c r="A54" t="s">
        <v>693</v>
      </c>
      <c r="B54">
        <v>2.4251862934810999</v>
      </c>
      <c r="C54">
        <v>3.94630760186764E-2</v>
      </c>
      <c r="D54">
        <v>1.5271118451182799</v>
      </c>
      <c r="E54">
        <v>0.21159755586920101</v>
      </c>
      <c r="F54">
        <v>61.998424388463597</v>
      </c>
      <c r="G54">
        <v>0.141682526131928</v>
      </c>
      <c r="H54" t="s">
        <v>575</v>
      </c>
      <c r="I54">
        <v>1.8448220782007301</v>
      </c>
      <c r="J54" t="s">
        <v>792</v>
      </c>
      <c r="K54">
        <v>4.9661158881153897E-2</v>
      </c>
      <c r="L54">
        <v>282.28950023166402</v>
      </c>
      <c r="M54">
        <v>0.121109378511832</v>
      </c>
      <c r="N54">
        <v>5.6896302339137703</v>
      </c>
      <c r="O54">
        <v>0.45220920383045798</v>
      </c>
      <c r="P54">
        <v>0.224632238459197</v>
      </c>
      <c r="Q54">
        <v>5.1805360106741603E-2</v>
      </c>
      <c r="R54">
        <v>0.47239134958562001</v>
      </c>
      <c r="S54">
        <v>1.47826182276587E-2</v>
      </c>
      <c r="T54">
        <v>6.5669409632769696E-2</v>
      </c>
      <c r="U54">
        <v>5.13245334762907E-2</v>
      </c>
      <c r="V54">
        <v>28.466992360927801</v>
      </c>
      <c r="W54">
        <v>3.2177670296057503E-2</v>
      </c>
      <c r="X54">
        <v>22.833900390384802</v>
      </c>
      <c r="Y54">
        <v>0.10833485743259</v>
      </c>
      <c r="Z54">
        <v>0.16728977513658999</v>
      </c>
      <c r="AA54">
        <v>2.1288767787658099E-2</v>
      </c>
      <c r="AB54">
        <v>1.3970149846233E-2</v>
      </c>
      <c r="AC54">
        <v>8.5409900898367093E-3</v>
      </c>
      <c r="AD54">
        <v>10.5994686356707</v>
      </c>
      <c r="AE54">
        <v>3.4440913930789199E-2</v>
      </c>
      <c r="AF54">
        <v>9.7473259546266205E-2</v>
      </c>
      <c r="AG54">
        <v>5.1572980207018598E-3</v>
      </c>
    </row>
    <row r="55" spans="1:33" x14ac:dyDescent="0.3">
      <c r="A55" t="s">
        <v>694</v>
      </c>
      <c r="B55">
        <v>1.28852394141021E-2</v>
      </c>
      <c r="C55">
        <v>1.20990583314378E-2</v>
      </c>
      <c r="D55">
        <v>0.13027724174334701</v>
      </c>
      <c r="E55">
        <v>9.8103213647625406E-2</v>
      </c>
      <c r="F55">
        <v>3.41305816012094</v>
      </c>
      <c r="G55">
        <v>6.1720613312361401E-2</v>
      </c>
      <c r="H55">
        <v>3.81689975281824</v>
      </c>
      <c r="I55">
        <v>1.0890986007986101</v>
      </c>
      <c r="J55" t="s">
        <v>793</v>
      </c>
      <c r="K55">
        <v>2.5630017810987098E-2</v>
      </c>
      <c r="L55">
        <v>402.98353762301002</v>
      </c>
      <c r="M55">
        <v>5.6550035495712497E-2</v>
      </c>
      <c r="N55" t="s">
        <v>575</v>
      </c>
      <c r="O55">
        <v>0.23071078160272199</v>
      </c>
      <c r="P55" t="s">
        <v>575</v>
      </c>
      <c r="Q55">
        <v>2.9931314272143399E-2</v>
      </c>
      <c r="R55">
        <v>0.28778027747768198</v>
      </c>
      <c r="S55">
        <v>8.5385407614537098E-3</v>
      </c>
      <c r="T55" t="s">
        <v>575</v>
      </c>
      <c r="U55">
        <v>3.6076481388209701E-2</v>
      </c>
      <c r="V55">
        <v>0.29454482814195199</v>
      </c>
      <c r="W55">
        <v>1.3560087665680299E-2</v>
      </c>
      <c r="X55">
        <v>3.7927999478680099</v>
      </c>
      <c r="Y55">
        <v>4.8756993709812901E-2</v>
      </c>
      <c r="Z55">
        <v>7.7567421532423603E-2</v>
      </c>
      <c r="AA55">
        <v>6.3742391091904504E-3</v>
      </c>
      <c r="AB55">
        <v>0.15927737729254199</v>
      </c>
      <c r="AC55">
        <v>4.3465455308291396E-3</v>
      </c>
      <c r="AD55">
        <v>5.6477468058059799</v>
      </c>
      <c r="AE55">
        <v>1.32987763641051E-2</v>
      </c>
      <c r="AF55" t="s">
        <v>575</v>
      </c>
      <c r="AG55">
        <v>2.3065587950079902E-3</v>
      </c>
    </row>
    <row r="56" spans="1:33" x14ac:dyDescent="0.3">
      <c r="A56" t="s">
        <v>695</v>
      </c>
      <c r="B56">
        <v>3.2021055899673398</v>
      </c>
      <c r="C56">
        <v>5.5725887806752699E-3</v>
      </c>
      <c r="D56">
        <v>0.710180964338887</v>
      </c>
      <c r="E56">
        <v>5.5945296145477198E-2</v>
      </c>
      <c r="F56">
        <v>18.952969756765299</v>
      </c>
      <c r="G56">
        <v>5.47413732420967E-2</v>
      </c>
      <c r="H56">
        <v>2.3050984898384201</v>
      </c>
      <c r="I56">
        <v>0.66057634954341804</v>
      </c>
      <c r="J56" t="s">
        <v>575</v>
      </c>
      <c r="K56">
        <v>2.3675455181952298E-2</v>
      </c>
      <c r="L56">
        <v>144.44432413017799</v>
      </c>
      <c r="M56">
        <v>3.3559843948039701E-2</v>
      </c>
      <c r="N56">
        <v>3.3749180887725201</v>
      </c>
      <c r="O56">
        <v>0.18438842197302399</v>
      </c>
      <c r="P56">
        <v>0.26570267326319003</v>
      </c>
      <c r="Q56">
        <v>2.94642736499513E-2</v>
      </c>
      <c r="R56">
        <v>1.0895928800474299</v>
      </c>
      <c r="S56">
        <v>6.6698801553670799E-3</v>
      </c>
      <c r="T56">
        <v>7.0076127820621406E-2</v>
      </c>
      <c r="U56">
        <v>3.81627106200585E-2</v>
      </c>
      <c r="V56">
        <v>9.9239538657585307</v>
      </c>
      <c r="W56">
        <v>9.1455507479505597E-3</v>
      </c>
      <c r="X56">
        <v>12.4247815432749</v>
      </c>
      <c r="Y56">
        <v>5.2523202844989701E-2</v>
      </c>
      <c r="Z56">
        <v>0.18829306219553699</v>
      </c>
      <c r="AA56">
        <v>4.4032753263622904E-3</v>
      </c>
      <c r="AB56">
        <v>6.0020302812610601E-2</v>
      </c>
      <c r="AC56">
        <v>2.87776093988266E-3</v>
      </c>
      <c r="AD56">
        <v>83.862758426396297</v>
      </c>
      <c r="AE56">
        <v>1.25632136505756E-2</v>
      </c>
      <c r="AF56">
        <v>6.7961476371039595E-2</v>
      </c>
      <c r="AG56">
        <v>2.4021442293673798E-3</v>
      </c>
    </row>
    <row r="57" spans="1:33" x14ac:dyDescent="0.3">
      <c r="A57" t="s">
        <v>696</v>
      </c>
      <c r="B57">
        <v>4.8552975374983802</v>
      </c>
      <c r="C57">
        <v>2.1801971225471901E-2</v>
      </c>
      <c r="D57" t="s">
        <v>575</v>
      </c>
      <c r="E57">
        <v>0.15246398938179201</v>
      </c>
      <c r="F57">
        <v>432.46203406925002</v>
      </c>
      <c r="G57">
        <v>0.19959573916555701</v>
      </c>
      <c r="H57">
        <v>11.6575857169199</v>
      </c>
      <c r="I57">
        <v>2.2415235010569701</v>
      </c>
      <c r="J57">
        <v>1.7522885665276711E-2</v>
      </c>
      <c r="K57">
        <v>6.6137071555850593E-2</v>
      </c>
      <c r="L57">
        <v>171.39040287803101</v>
      </c>
      <c r="M57">
        <v>9.4848084926755796E-2</v>
      </c>
      <c r="N57">
        <v>15.4064735249452</v>
      </c>
      <c r="O57">
        <v>0.49906800355166397</v>
      </c>
      <c r="P57">
        <v>4.5881158020407504</v>
      </c>
      <c r="Q57">
        <v>4.4194084742171298E-2</v>
      </c>
      <c r="R57">
        <v>0.197859927733681</v>
      </c>
      <c r="S57">
        <v>1.39736961180524E-2</v>
      </c>
      <c r="T57" t="s">
        <v>575</v>
      </c>
      <c r="U57">
        <v>6.9447504363458798E-2</v>
      </c>
      <c r="V57">
        <v>0.55992153400446398</v>
      </c>
      <c r="W57">
        <v>3.1858153437260499E-2</v>
      </c>
      <c r="X57" t="s">
        <v>575</v>
      </c>
      <c r="Y57">
        <v>0.19222001032265101</v>
      </c>
      <c r="Z57">
        <v>0.20959116280652701</v>
      </c>
      <c r="AA57">
        <v>2.2115083731844301E-2</v>
      </c>
      <c r="AB57" t="s">
        <v>575</v>
      </c>
      <c r="AC57">
        <v>6.7173427662360003E-3</v>
      </c>
      <c r="AD57">
        <v>1.72773513097218</v>
      </c>
      <c r="AE57">
        <v>3.72152332383291E-2</v>
      </c>
      <c r="AF57">
        <v>5.5133007505230897E-2</v>
      </c>
      <c r="AG57">
        <v>5.5849571702789903E-3</v>
      </c>
    </row>
    <row r="58" spans="1:33" x14ac:dyDescent="0.3">
      <c r="A58" t="s">
        <v>697</v>
      </c>
      <c r="B58">
        <v>42.382147387803798</v>
      </c>
      <c r="C58">
        <v>4.1560377864675903E-2</v>
      </c>
      <c r="D58" t="s">
        <v>575</v>
      </c>
      <c r="E58">
        <v>0.21410438937343401</v>
      </c>
      <c r="F58">
        <v>178.95580499424801</v>
      </c>
      <c r="G58">
        <v>0.18925765851538001</v>
      </c>
      <c r="H58" t="s">
        <v>575</v>
      </c>
      <c r="I58">
        <v>1.8918079534376899</v>
      </c>
      <c r="J58">
        <v>1.0435795041989944</v>
      </c>
      <c r="K58">
        <v>5.8285372162311902E-2</v>
      </c>
      <c r="L58">
        <v>66.135812452667807</v>
      </c>
      <c r="M58">
        <v>9.9703609767643697E-2</v>
      </c>
      <c r="N58">
        <v>46.2974254298557</v>
      </c>
      <c r="O58">
        <v>0.60946528812630696</v>
      </c>
      <c r="P58">
        <v>0.70231315575479603</v>
      </c>
      <c r="Q58">
        <v>5.9030640012727099E-2</v>
      </c>
      <c r="R58">
        <v>4.5170151895292603E-2</v>
      </c>
      <c r="S58">
        <v>2.5237937142118201E-2</v>
      </c>
      <c r="T58" t="s">
        <v>575</v>
      </c>
      <c r="U58">
        <v>0.164996145412728</v>
      </c>
      <c r="V58">
        <v>8.8054739576023694E-2</v>
      </c>
      <c r="W58">
        <v>3.3255343829380599E-2</v>
      </c>
      <c r="X58">
        <v>0.88847061498197799</v>
      </c>
      <c r="Y58">
        <v>0.13860360814879</v>
      </c>
      <c r="Z58">
        <v>3.1985822177583501E-2</v>
      </c>
      <c r="AA58">
        <v>2.2754229258955198E-2</v>
      </c>
      <c r="AB58">
        <v>7.5985445958375404E-3</v>
      </c>
      <c r="AC58">
        <v>6.5128524832156901E-3</v>
      </c>
      <c r="AD58">
        <v>1.80935086881414</v>
      </c>
      <c r="AE58">
        <v>3.72005397516302E-2</v>
      </c>
      <c r="AF58">
        <v>1.6712893928812901E-2</v>
      </c>
      <c r="AG58">
        <v>6.4035953361502801E-3</v>
      </c>
    </row>
    <row r="59" spans="1:33" x14ac:dyDescent="0.3">
      <c r="A59" t="s">
        <v>698</v>
      </c>
      <c r="B59">
        <v>70.799032326128597</v>
      </c>
      <c r="C59">
        <v>2.5219781241204799E-2</v>
      </c>
      <c r="D59" t="s">
        <v>575</v>
      </c>
      <c r="E59">
        <v>0.25549429551832398</v>
      </c>
      <c r="F59">
        <v>287.966809989941</v>
      </c>
      <c r="G59">
        <v>0.25618161269370099</v>
      </c>
      <c r="H59">
        <v>2.6131750672806202</v>
      </c>
      <c r="I59">
        <v>2.22690601825889</v>
      </c>
      <c r="J59" t="s">
        <v>575</v>
      </c>
      <c r="K59">
        <v>8.7022628406874594E-2</v>
      </c>
      <c r="L59">
        <v>10.881915275171099</v>
      </c>
      <c r="M59">
        <v>0.10211124625797099</v>
      </c>
      <c r="N59">
        <v>59.323830876334803</v>
      </c>
      <c r="O59">
        <v>0.72661104278559197</v>
      </c>
      <c r="P59">
        <v>0.834036803394273</v>
      </c>
      <c r="Q59">
        <v>5.3367306686224102E-2</v>
      </c>
      <c r="R59">
        <v>6.7049523507679704E-2</v>
      </c>
      <c r="S59">
        <v>1.9308910619489299E-2</v>
      </c>
      <c r="T59" t="s">
        <v>575</v>
      </c>
      <c r="U59">
        <v>8.4504566914203896E-2</v>
      </c>
      <c r="V59">
        <v>6.98472413183749E-2</v>
      </c>
      <c r="W59">
        <v>4.00455654282552E-2</v>
      </c>
      <c r="X59">
        <v>1.13009990126014</v>
      </c>
      <c r="Y59">
        <v>0.13428467150099699</v>
      </c>
      <c r="Z59">
        <v>6.07135750628413E-2</v>
      </c>
      <c r="AA59">
        <v>1.7064270500037601E-2</v>
      </c>
      <c r="AB59">
        <v>0.10925553779184401</v>
      </c>
      <c r="AC59">
        <v>1.30336367630419E-2</v>
      </c>
      <c r="AD59">
        <v>6.1680348797026499</v>
      </c>
      <c r="AE59">
        <v>4.1057568259061497E-2</v>
      </c>
      <c r="AF59">
        <v>7.9645015222887194E-2</v>
      </c>
      <c r="AG59">
        <v>7.2905397976926597E-3</v>
      </c>
    </row>
    <row r="60" spans="1:33" x14ac:dyDescent="0.3">
      <c r="A60" t="s">
        <v>699</v>
      </c>
      <c r="B60">
        <v>69.851295922420704</v>
      </c>
      <c r="C60">
        <v>2.1629197007876501E-2</v>
      </c>
      <c r="D60">
        <v>0.28372382979507699</v>
      </c>
      <c r="E60">
        <v>0.27442249042012601</v>
      </c>
      <c r="F60">
        <v>375.16859671735801</v>
      </c>
      <c r="G60">
        <v>0.207985093900695</v>
      </c>
      <c r="H60">
        <v>54.516599183732502</v>
      </c>
      <c r="I60">
        <v>1.6930663535849799</v>
      </c>
      <c r="J60">
        <v>0.58678496479598619</v>
      </c>
      <c r="K60">
        <v>6.3012561036812006E-2</v>
      </c>
      <c r="L60">
        <v>28.9523835445884</v>
      </c>
      <c r="M60">
        <v>0.110935162588714</v>
      </c>
      <c r="N60">
        <v>36.1372979155284</v>
      </c>
      <c r="O60">
        <v>0.52531408671288904</v>
      </c>
      <c r="P60">
        <v>1.26583425054475</v>
      </c>
      <c r="Q60">
        <v>7.5176349798102296E-2</v>
      </c>
      <c r="R60">
        <v>6.5719985202606301E-2</v>
      </c>
      <c r="S60">
        <v>1.92109940403269E-2</v>
      </c>
      <c r="T60" t="s">
        <v>575</v>
      </c>
      <c r="U60">
        <v>7.89227005567356E-2</v>
      </c>
      <c r="V60">
        <v>0.18720253021031699</v>
      </c>
      <c r="W60">
        <v>3.2291422348114697E-2</v>
      </c>
      <c r="X60">
        <v>0.79798710628041203</v>
      </c>
      <c r="Y60">
        <v>6.0031677884598698E-2</v>
      </c>
      <c r="Z60">
        <v>4.2943994002735401E-2</v>
      </c>
      <c r="AA60">
        <v>2.0572547036478699E-2</v>
      </c>
      <c r="AB60">
        <v>5.3432771895940499E-2</v>
      </c>
      <c r="AC60">
        <v>8.34178908332712E-3</v>
      </c>
      <c r="AD60">
        <v>18.012719298012399</v>
      </c>
      <c r="AE60">
        <v>2.6333912020932999E-2</v>
      </c>
      <c r="AF60">
        <v>1.8099973135589899E-2</v>
      </c>
      <c r="AG60">
        <v>3.92437484106338E-3</v>
      </c>
    </row>
    <row r="61" spans="1:33" x14ac:dyDescent="0.3">
      <c r="A61" t="s">
        <v>700</v>
      </c>
      <c r="B61">
        <v>23.068904723766199</v>
      </c>
      <c r="C61">
        <v>4.19449960365725E-2</v>
      </c>
      <c r="D61" t="s">
        <v>575</v>
      </c>
      <c r="E61">
        <v>0.39607762587877099</v>
      </c>
      <c r="F61">
        <v>1598.03417403105</v>
      </c>
      <c r="G61">
        <v>0.38030417836040098</v>
      </c>
      <c r="H61">
        <v>12.037430042402301</v>
      </c>
      <c r="I61">
        <v>3.35625973258092</v>
      </c>
      <c r="J61">
        <v>0.26337976378044747</v>
      </c>
      <c r="K61">
        <v>0.11365089297435201</v>
      </c>
      <c r="L61">
        <v>70.736268849775598</v>
      </c>
      <c r="M61">
        <v>0.21481248479203499</v>
      </c>
      <c r="N61">
        <v>74.227967086023199</v>
      </c>
      <c r="O61">
        <v>0.82866404164083796</v>
      </c>
      <c r="P61">
        <v>0.767277514202233</v>
      </c>
      <c r="Q61">
        <v>0.11350079735144</v>
      </c>
      <c r="R61">
        <v>0.155645847074566</v>
      </c>
      <c r="S61">
        <v>2.6808901892696298E-2</v>
      </c>
      <c r="T61" t="s">
        <v>575</v>
      </c>
      <c r="U61">
        <v>0.154101509756116</v>
      </c>
      <c r="V61">
        <v>0.20584482435908799</v>
      </c>
      <c r="W61">
        <v>4.4492600443786903E-2</v>
      </c>
      <c r="X61">
        <v>0.84595776165550796</v>
      </c>
      <c r="Y61">
        <v>0.117624826150263</v>
      </c>
      <c r="Z61" t="s">
        <v>575</v>
      </c>
      <c r="AA61">
        <v>3.6344826249134897E-2</v>
      </c>
      <c r="AB61" t="s">
        <v>575</v>
      </c>
      <c r="AC61">
        <v>1.1485959471486999E-2</v>
      </c>
      <c r="AD61">
        <v>0.61231884113477097</v>
      </c>
      <c r="AE61">
        <v>4.8570555071640598E-2</v>
      </c>
      <c r="AF61">
        <v>0.13220410897093501</v>
      </c>
      <c r="AG61">
        <v>1.2643729295060401E-2</v>
      </c>
    </row>
    <row r="62" spans="1:33" x14ac:dyDescent="0.3">
      <c r="A62" t="s">
        <v>701</v>
      </c>
      <c r="B62">
        <v>6.6986320483919899</v>
      </c>
      <c r="C62">
        <v>2.3159871308256801E-2</v>
      </c>
      <c r="D62" t="s">
        <v>575</v>
      </c>
      <c r="E62">
        <v>0.108009774002085</v>
      </c>
      <c r="F62">
        <v>912.15328378405104</v>
      </c>
      <c r="G62">
        <v>0.122015527922783</v>
      </c>
      <c r="H62">
        <v>8.0801543249958705</v>
      </c>
      <c r="I62">
        <v>1.7795636811694799</v>
      </c>
      <c r="J62">
        <v>0.17953478416844318</v>
      </c>
      <c r="K62">
        <v>3.6451670078246498E-2</v>
      </c>
      <c r="L62">
        <v>102.151771023702</v>
      </c>
      <c r="M62">
        <v>7.3025618337184003E-2</v>
      </c>
      <c r="N62">
        <v>17.638631817096499</v>
      </c>
      <c r="O62">
        <v>0.29803516849803202</v>
      </c>
      <c r="P62">
        <v>1.69159846656242</v>
      </c>
      <c r="Q62">
        <v>3.7889573688266599E-2</v>
      </c>
      <c r="R62">
        <v>0.226139827836221</v>
      </c>
      <c r="S62">
        <v>1.74270595450539E-2</v>
      </c>
      <c r="T62" t="s">
        <v>575</v>
      </c>
      <c r="U62">
        <v>6.5503168982210203E-2</v>
      </c>
      <c r="V62">
        <v>0.46336180915041902</v>
      </c>
      <c r="W62">
        <v>2.9624467658450698E-2</v>
      </c>
      <c r="X62">
        <v>0.30485031389963602</v>
      </c>
      <c r="Y62">
        <v>5.2886474662295797E-2</v>
      </c>
      <c r="Z62">
        <v>0.13755910903173599</v>
      </c>
      <c r="AA62">
        <v>1.46453642276702E-2</v>
      </c>
      <c r="AB62">
        <v>0.14263102626309801</v>
      </c>
      <c r="AC62">
        <v>4.7397148721654301E-3</v>
      </c>
      <c r="AD62">
        <v>7.1860322586931797</v>
      </c>
      <c r="AE62">
        <v>2.65023591325005E-2</v>
      </c>
      <c r="AF62">
        <v>0.162601316448442</v>
      </c>
      <c r="AG62">
        <v>4.9957073914292296E-3</v>
      </c>
    </row>
    <row r="63" spans="1:33" x14ac:dyDescent="0.3">
      <c r="A63" t="s">
        <v>702</v>
      </c>
      <c r="B63">
        <v>5.7637824791068804</v>
      </c>
      <c r="C63">
        <v>3.4885050579422199E-2</v>
      </c>
      <c r="D63" t="s">
        <v>575</v>
      </c>
      <c r="E63">
        <v>0.19760727598651501</v>
      </c>
      <c r="F63">
        <v>22.3156140046334</v>
      </c>
      <c r="G63">
        <v>0.21148917312577201</v>
      </c>
      <c r="H63">
        <v>34.005496258846897</v>
      </c>
      <c r="I63">
        <v>2.9551687810456801</v>
      </c>
      <c r="J63">
        <v>0.13796206921839205</v>
      </c>
      <c r="K63">
        <v>4.5139253826456303E-2</v>
      </c>
      <c r="L63">
        <v>53.548720066212098</v>
      </c>
      <c r="M63">
        <v>0.131660203860852</v>
      </c>
      <c r="N63">
        <v>15.7906582223864</v>
      </c>
      <c r="O63">
        <v>0.70348886612802197</v>
      </c>
      <c r="P63">
        <v>0.87969563475149204</v>
      </c>
      <c r="Q63">
        <v>8.2335469518089399E-2</v>
      </c>
      <c r="R63" t="s">
        <v>575</v>
      </c>
      <c r="S63">
        <v>2.0113194228760099E-2</v>
      </c>
      <c r="T63" t="s">
        <v>575</v>
      </c>
      <c r="U63">
        <v>0.113695304894461</v>
      </c>
      <c r="V63" t="s">
        <v>575</v>
      </c>
      <c r="W63">
        <v>3.1979543089905298E-2</v>
      </c>
      <c r="X63">
        <v>0.74540403167052505</v>
      </c>
      <c r="Y63">
        <v>0.114383586147122</v>
      </c>
      <c r="Z63" t="s">
        <v>575</v>
      </c>
      <c r="AA63">
        <v>3.3990480184802302E-2</v>
      </c>
      <c r="AB63">
        <v>2.0976210033492801E-2</v>
      </c>
      <c r="AC63">
        <v>6.0196609074070796E-3</v>
      </c>
      <c r="AD63">
        <v>5.1619829011495399</v>
      </c>
      <c r="AE63">
        <v>4.9715752229825001E-2</v>
      </c>
      <c r="AF63" t="s">
        <v>575</v>
      </c>
      <c r="AG63">
        <v>1.01107258780574E-2</v>
      </c>
    </row>
    <row r="64" spans="1:33" x14ac:dyDescent="0.3">
      <c r="A64" t="s">
        <v>703</v>
      </c>
      <c r="B64">
        <v>8.3821126889195305</v>
      </c>
      <c r="C64">
        <v>4.6782891854730002E-2</v>
      </c>
      <c r="D64" t="s">
        <v>575</v>
      </c>
      <c r="E64">
        <v>0.35801454152242501</v>
      </c>
      <c r="F64">
        <v>914.58074893975595</v>
      </c>
      <c r="G64">
        <v>0.258883404774158</v>
      </c>
      <c r="H64" t="s">
        <v>575</v>
      </c>
      <c r="I64">
        <v>2.2778751675990798</v>
      </c>
      <c r="J64">
        <v>0.12420328991242396</v>
      </c>
      <c r="K64">
        <v>8.0566060411187704E-2</v>
      </c>
      <c r="L64">
        <v>220.638541259882</v>
      </c>
      <c r="M64">
        <v>0.109949906890285</v>
      </c>
      <c r="N64">
        <v>41.617624245871802</v>
      </c>
      <c r="O64">
        <v>0.89740227302380304</v>
      </c>
      <c r="P64">
        <v>1.60579013651922</v>
      </c>
      <c r="Q64">
        <v>8.4089794616121996E-2</v>
      </c>
      <c r="R64">
        <v>8.7851473751900805E-2</v>
      </c>
      <c r="S64">
        <v>2.42637491644127E-2</v>
      </c>
      <c r="T64" t="s">
        <v>575</v>
      </c>
      <c r="U64">
        <v>0.13608534315065501</v>
      </c>
      <c r="V64">
        <v>0.327731019475</v>
      </c>
      <c r="W64">
        <v>3.5855877121794097E-2</v>
      </c>
      <c r="X64">
        <v>0.223883134821552</v>
      </c>
      <c r="Y64">
        <v>9.0823506420806693E-2</v>
      </c>
      <c r="Z64">
        <v>0.127306673932229</v>
      </c>
      <c r="AA64">
        <v>3.0691055953748301E-2</v>
      </c>
      <c r="AB64" t="s">
        <v>575</v>
      </c>
      <c r="AC64">
        <v>8.2485423625181103E-3</v>
      </c>
      <c r="AD64">
        <v>0.60591928865896405</v>
      </c>
      <c r="AE64">
        <v>4.62380748467189E-2</v>
      </c>
      <c r="AF64">
        <v>0.138763582593808</v>
      </c>
      <c r="AG64">
        <v>4.9494676759299604E-3</v>
      </c>
    </row>
    <row r="65" spans="1:33" x14ac:dyDescent="0.3">
      <c r="A65" t="s">
        <v>704</v>
      </c>
      <c r="B65">
        <v>0.16244894933572501</v>
      </c>
      <c r="C65">
        <v>8.0965987764204994E-2</v>
      </c>
      <c r="D65">
        <v>0.54087724969061401</v>
      </c>
      <c r="E65">
        <v>0.51229589909058304</v>
      </c>
      <c r="F65">
        <v>3.12084795482702</v>
      </c>
      <c r="G65">
        <v>0.417935384845258</v>
      </c>
      <c r="H65">
        <v>15.872845490482099</v>
      </c>
      <c r="I65">
        <v>4.9685691796061802</v>
      </c>
      <c r="J65">
        <v>0.12922398393652373</v>
      </c>
      <c r="K65">
        <v>0.106281550144498</v>
      </c>
      <c r="L65">
        <v>5843.31995544458</v>
      </c>
      <c r="M65">
        <v>0.23816751849855899</v>
      </c>
      <c r="N65" t="s">
        <v>575</v>
      </c>
      <c r="O65">
        <v>1.4093662330744401</v>
      </c>
      <c r="P65">
        <v>3.1174874954209102</v>
      </c>
      <c r="Q65">
        <v>0.119379045751891</v>
      </c>
      <c r="R65">
        <v>124.56152208011299</v>
      </c>
      <c r="S65">
        <v>3.61934468124488E-2</v>
      </c>
      <c r="T65" t="s">
        <v>575</v>
      </c>
      <c r="U65">
        <v>0.207057708172112</v>
      </c>
      <c r="V65">
        <v>224.28079524108301</v>
      </c>
      <c r="W65">
        <v>9.3376862566598495E-2</v>
      </c>
      <c r="X65" t="s">
        <v>575</v>
      </c>
      <c r="Y65">
        <v>0.27683845803616802</v>
      </c>
      <c r="Z65">
        <v>0.21131178389907401</v>
      </c>
      <c r="AA65">
        <v>3.2335369405828297E-2</v>
      </c>
      <c r="AB65">
        <v>0.48713856926665899</v>
      </c>
      <c r="AC65">
        <v>1.4850430836702601E-2</v>
      </c>
      <c r="AD65">
        <v>516.41343523381397</v>
      </c>
      <c r="AE65">
        <v>8.2751051588946897E-2</v>
      </c>
      <c r="AF65" t="s">
        <v>575</v>
      </c>
      <c r="AG65">
        <v>1.7800504934476401E-2</v>
      </c>
    </row>
    <row r="66" spans="1:33" x14ac:dyDescent="0.3">
      <c r="A66" t="s">
        <v>705</v>
      </c>
      <c r="B66">
        <v>0.435262304366968</v>
      </c>
      <c r="C66">
        <v>0.111611722665431</v>
      </c>
      <c r="D66">
        <v>2.0788596499341301</v>
      </c>
      <c r="E66">
        <v>0.68940780223229303</v>
      </c>
      <c r="F66">
        <v>9.2607504096424194</v>
      </c>
      <c r="G66">
        <v>0.77575260156940395</v>
      </c>
      <c r="H66">
        <v>27.7741924184635</v>
      </c>
      <c r="I66">
        <v>8.86849339055515</v>
      </c>
      <c r="J66">
        <v>0.21401642989384959</v>
      </c>
      <c r="K66">
        <v>0.20490537020128499</v>
      </c>
      <c r="L66">
        <v>5374.0019669623098</v>
      </c>
      <c r="M66">
        <v>0.47980010856995298</v>
      </c>
      <c r="N66" t="s">
        <v>575</v>
      </c>
      <c r="O66">
        <v>2.7140487282227199</v>
      </c>
      <c r="P66">
        <v>6.6743974153321499</v>
      </c>
      <c r="Q66">
        <v>0.104146727087659</v>
      </c>
      <c r="R66">
        <v>395.650909559176</v>
      </c>
      <c r="S66">
        <v>9.6312303586703105E-2</v>
      </c>
      <c r="T66" t="s">
        <v>575</v>
      </c>
      <c r="U66">
        <v>0.214805244792306</v>
      </c>
      <c r="V66">
        <v>515.36060722576099</v>
      </c>
      <c r="W66">
        <v>9.6552053572400598E-2</v>
      </c>
      <c r="X66" t="s">
        <v>575</v>
      </c>
      <c r="Y66">
        <v>0.56221388728806199</v>
      </c>
      <c r="Z66">
        <v>0.60733594798425194</v>
      </c>
      <c r="AA66">
        <v>7.7392454492514196E-2</v>
      </c>
      <c r="AB66">
        <v>0.89348166262564599</v>
      </c>
      <c r="AC66">
        <v>3.49683279891344E-2</v>
      </c>
      <c r="AD66">
        <v>1226.4780047839999</v>
      </c>
      <c r="AE66">
        <v>0.10591052416372899</v>
      </c>
      <c r="AF66" t="s">
        <v>575</v>
      </c>
      <c r="AG66">
        <v>2.0047375273560999E-2</v>
      </c>
    </row>
    <row r="67" spans="1:33" x14ac:dyDescent="0.3">
      <c r="A67" t="s">
        <v>706</v>
      </c>
      <c r="B67">
        <v>0.15397332291466301</v>
      </c>
      <c r="C67">
        <v>0.13142487033768399</v>
      </c>
      <c r="D67">
        <v>1.88288504679751</v>
      </c>
      <c r="E67">
        <v>0.72802219722724204</v>
      </c>
      <c r="F67">
        <v>3.0984834141538</v>
      </c>
      <c r="G67">
        <v>0.94227944473733805</v>
      </c>
      <c r="H67">
        <v>28.445877190970901</v>
      </c>
      <c r="I67">
        <v>9.2890341016874292</v>
      </c>
      <c r="J67">
        <v>0.44135321691014334</v>
      </c>
      <c r="K67">
        <v>0.24366716656186599</v>
      </c>
      <c r="L67">
        <v>8925.1845152780406</v>
      </c>
      <c r="M67">
        <v>0.40049015214181899</v>
      </c>
      <c r="N67" t="s">
        <v>575</v>
      </c>
      <c r="O67">
        <v>2.4383612876997298</v>
      </c>
      <c r="P67">
        <v>9.6390904821845993</v>
      </c>
      <c r="Q67">
        <v>0.27815784732118698</v>
      </c>
      <c r="R67">
        <v>206.351226158228</v>
      </c>
      <c r="S67">
        <v>0.13898292100272899</v>
      </c>
      <c r="T67" t="s">
        <v>575</v>
      </c>
      <c r="U67">
        <v>0.232273902849532</v>
      </c>
      <c r="V67">
        <v>510.360398906944</v>
      </c>
      <c r="W67">
        <v>0.16807685465406699</v>
      </c>
      <c r="X67" t="s">
        <v>575</v>
      </c>
      <c r="Y67">
        <v>0.44325539446343298</v>
      </c>
      <c r="Z67">
        <v>0.35504930342187802</v>
      </c>
      <c r="AA67">
        <v>6.4694852541647904E-2</v>
      </c>
      <c r="AB67">
        <v>1.4997303686640999</v>
      </c>
      <c r="AC67">
        <v>3.51121831905057E-2</v>
      </c>
      <c r="AD67">
        <v>1268.0072033625599</v>
      </c>
      <c r="AE67">
        <v>0.139445668857026</v>
      </c>
      <c r="AF67" t="s">
        <v>575</v>
      </c>
      <c r="AG67">
        <v>1.6372774198834601E-2</v>
      </c>
    </row>
    <row r="68" spans="1:33" x14ac:dyDescent="0.3">
      <c r="A68" t="s">
        <v>707</v>
      </c>
      <c r="B68">
        <v>0.17188126590508401</v>
      </c>
      <c r="C68">
        <v>5.9413746435649402E-2</v>
      </c>
      <c r="D68">
        <v>1.60489022950806</v>
      </c>
      <c r="E68">
        <v>0.32104240042926502</v>
      </c>
      <c r="F68">
        <v>5.23207942408402</v>
      </c>
      <c r="G68">
        <v>0.29932909088520898</v>
      </c>
      <c r="H68">
        <v>16.5089795689093</v>
      </c>
      <c r="I68">
        <v>4.2125427926699004</v>
      </c>
      <c r="J68" t="s">
        <v>794</v>
      </c>
      <c r="K68">
        <v>0.11276602214732601</v>
      </c>
      <c r="L68">
        <v>3293.0418940079699</v>
      </c>
      <c r="M68">
        <v>0.13740229108551799</v>
      </c>
      <c r="N68" t="s">
        <v>575</v>
      </c>
      <c r="O68">
        <v>0.83616089044201902</v>
      </c>
      <c r="P68">
        <v>3.7965892655649598</v>
      </c>
      <c r="Q68">
        <v>0.12280646832551299</v>
      </c>
      <c r="R68">
        <v>213.119229230857</v>
      </c>
      <c r="S68">
        <v>5.1420678836209197E-2</v>
      </c>
      <c r="T68" t="s">
        <v>575</v>
      </c>
      <c r="U68">
        <v>0.28223172237159899</v>
      </c>
      <c r="V68">
        <v>256.72387059449102</v>
      </c>
      <c r="W68">
        <v>4.3232660788531399E-2</v>
      </c>
      <c r="X68" t="s">
        <v>575</v>
      </c>
      <c r="Y68">
        <v>0.29488575810235701</v>
      </c>
      <c r="Z68">
        <v>0.33812143214315799</v>
      </c>
      <c r="AA68">
        <v>4.3814831597595298E-2</v>
      </c>
      <c r="AB68">
        <v>0.50368232620986197</v>
      </c>
      <c r="AC68">
        <v>1.5558242629361301E-2</v>
      </c>
      <c r="AD68">
        <v>662.60267631567206</v>
      </c>
      <c r="AE68">
        <v>7.7107108464649896E-2</v>
      </c>
      <c r="AF68" t="s">
        <v>575</v>
      </c>
      <c r="AG68">
        <v>1.1494399537651301E-2</v>
      </c>
    </row>
    <row r="69" spans="1:33" x14ac:dyDescent="0.3">
      <c r="A69" t="s">
        <v>708</v>
      </c>
      <c r="B69">
        <v>0.303978386914106</v>
      </c>
      <c r="C69">
        <v>7.7544170048974098E-2</v>
      </c>
      <c r="D69">
        <v>2.88640943460116</v>
      </c>
      <c r="E69">
        <v>0.53589270393126998</v>
      </c>
      <c r="F69">
        <v>7.4034533717644999</v>
      </c>
      <c r="G69">
        <v>0.582044137361591</v>
      </c>
      <c r="H69">
        <v>20.4352971630579</v>
      </c>
      <c r="I69">
        <v>6.26114544606446</v>
      </c>
      <c r="J69" t="s">
        <v>795</v>
      </c>
      <c r="K69">
        <v>0.17227246465924201</v>
      </c>
      <c r="L69">
        <v>2646.7478627553201</v>
      </c>
      <c r="M69">
        <v>0.28455338882855602</v>
      </c>
      <c r="N69" t="s">
        <v>575</v>
      </c>
      <c r="O69">
        <v>1.6208277576196799</v>
      </c>
      <c r="P69">
        <v>6.1463540259105498</v>
      </c>
      <c r="Q69">
        <v>0.16428162632285301</v>
      </c>
      <c r="R69">
        <v>287.56815901926802</v>
      </c>
      <c r="S69">
        <v>5.13154738456712E-2</v>
      </c>
      <c r="T69" t="s">
        <v>575</v>
      </c>
      <c r="U69">
        <v>0.228659407535177</v>
      </c>
      <c r="V69">
        <v>388.74084466610299</v>
      </c>
      <c r="W69">
        <v>8.1072826774142695E-2</v>
      </c>
      <c r="X69" t="s">
        <v>575</v>
      </c>
      <c r="Y69">
        <v>0.34521064175642402</v>
      </c>
      <c r="Z69">
        <v>0.39727651823277998</v>
      </c>
      <c r="AA69">
        <v>4.3562082781433101E-2</v>
      </c>
      <c r="AB69">
        <v>1.7946552411808001</v>
      </c>
      <c r="AC69">
        <v>1.44624471943526E-2</v>
      </c>
      <c r="AD69">
        <v>1476.3275930580401</v>
      </c>
      <c r="AE69">
        <v>9.9808890078610102E-2</v>
      </c>
      <c r="AF69" t="s">
        <v>575</v>
      </c>
      <c r="AG69">
        <v>1.5357909584802701E-2</v>
      </c>
    </row>
    <row r="70" spans="1:33" x14ac:dyDescent="0.3">
      <c r="A70" t="s">
        <v>709</v>
      </c>
      <c r="B70">
        <v>0.52676482593539897</v>
      </c>
      <c r="C70">
        <v>0.10859407009642</v>
      </c>
      <c r="D70">
        <v>4.8984359887311397</v>
      </c>
      <c r="E70">
        <v>0.76158878473723701</v>
      </c>
      <c r="F70">
        <v>12.1451134389897</v>
      </c>
      <c r="G70">
        <v>0.97812364312914402</v>
      </c>
      <c r="H70">
        <v>48.974243298962797</v>
      </c>
      <c r="I70">
        <v>8.6894165896904703</v>
      </c>
      <c r="J70">
        <v>0.27390796303059251</v>
      </c>
      <c r="K70">
        <v>0.14493883250557699</v>
      </c>
      <c r="L70">
        <v>5147.5611010779603</v>
      </c>
      <c r="M70">
        <v>0.41978245962064498</v>
      </c>
      <c r="N70" t="s">
        <v>575</v>
      </c>
      <c r="O70">
        <v>3.2412608023743998</v>
      </c>
      <c r="P70">
        <v>9.2559463489284095</v>
      </c>
      <c r="Q70">
        <v>0.162829530196203</v>
      </c>
      <c r="R70">
        <v>440.98350008149799</v>
      </c>
      <c r="S70">
        <v>7.7623325730808601E-2</v>
      </c>
      <c r="T70" t="s">
        <v>575</v>
      </c>
      <c r="U70">
        <v>0.54415272145663096</v>
      </c>
      <c r="V70">
        <v>607.59049845083905</v>
      </c>
      <c r="W70">
        <v>0.168419722857343</v>
      </c>
      <c r="X70" t="s">
        <v>575</v>
      </c>
      <c r="Y70">
        <v>0.55865735266409</v>
      </c>
      <c r="Z70">
        <v>0.66388713246312403</v>
      </c>
      <c r="AA70">
        <v>5.2527262813085701E-2</v>
      </c>
      <c r="AB70">
        <v>2.2270355726542701</v>
      </c>
      <c r="AC70">
        <v>2.6344221505687701E-2</v>
      </c>
      <c r="AD70">
        <v>1603.6525187735599</v>
      </c>
      <c r="AE70">
        <v>0.182254479369241</v>
      </c>
      <c r="AF70" t="s">
        <v>575</v>
      </c>
      <c r="AG70">
        <v>3.6035571957843598E-2</v>
      </c>
    </row>
    <row r="71" spans="1:33" x14ac:dyDescent="0.3">
      <c r="A71" t="s">
        <v>710</v>
      </c>
      <c r="B71">
        <v>0.14343788936128299</v>
      </c>
      <c r="C71">
        <v>6.4120658612732598E-2</v>
      </c>
      <c r="D71">
        <v>1.11568607734513</v>
      </c>
      <c r="E71">
        <v>0.69913948144210702</v>
      </c>
      <c r="F71">
        <v>3.5957998342200201</v>
      </c>
      <c r="G71">
        <v>0.34629946294318198</v>
      </c>
      <c r="H71">
        <v>20.609345755379898</v>
      </c>
      <c r="I71">
        <v>4.7053046887768799</v>
      </c>
      <c r="J71" t="s">
        <v>796</v>
      </c>
      <c r="K71">
        <v>0.14210433238165701</v>
      </c>
      <c r="L71">
        <v>3305.67062671945</v>
      </c>
      <c r="M71">
        <v>0.212735875256688</v>
      </c>
      <c r="N71" t="s">
        <v>575</v>
      </c>
      <c r="O71">
        <v>1.14371965606393</v>
      </c>
      <c r="P71">
        <v>4.2248210031144797</v>
      </c>
      <c r="Q71">
        <v>0.112450996735944</v>
      </c>
      <c r="R71">
        <v>126.612316435528</v>
      </c>
      <c r="S71">
        <v>5.1528658199424697E-2</v>
      </c>
      <c r="T71" t="s">
        <v>575</v>
      </c>
      <c r="U71">
        <v>0.232466517802323</v>
      </c>
      <c r="V71">
        <v>283.878705339475</v>
      </c>
      <c r="W71">
        <v>6.6029813452127301E-2</v>
      </c>
      <c r="X71" t="s">
        <v>575</v>
      </c>
      <c r="Y71">
        <v>0.35360246114856297</v>
      </c>
      <c r="Z71">
        <v>0.17415829330787999</v>
      </c>
      <c r="AA71">
        <v>4.4142635337104399E-2</v>
      </c>
      <c r="AB71">
        <v>0.319316153729509</v>
      </c>
      <c r="AC71">
        <v>2.4783915169576599E-2</v>
      </c>
      <c r="AD71">
        <v>511.81678495846398</v>
      </c>
      <c r="AE71">
        <v>6.46115509931246E-2</v>
      </c>
      <c r="AF71" t="s">
        <v>575</v>
      </c>
      <c r="AG71">
        <v>6.9028034587070601E-3</v>
      </c>
    </row>
    <row r="72" spans="1:33" x14ac:dyDescent="0.3">
      <c r="A72" t="s">
        <v>711</v>
      </c>
      <c r="B72">
        <v>0.16548825161411401</v>
      </c>
      <c r="C72">
        <v>8.4521748368904595E-2</v>
      </c>
      <c r="D72">
        <v>1.1194951297778499</v>
      </c>
      <c r="E72">
        <v>0.55615536480176397</v>
      </c>
      <c r="F72">
        <v>5.2352683048587796</v>
      </c>
      <c r="G72">
        <v>0.356264808325158</v>
      </c>
      <c r="H72">
        <v>26.837476472380899</v>
      </c>
      <c r="I72">
        <v>4.4569837229204099</v>
      </c>
      <c r="J72" t="s">
        <v>797</v>
      </c>
      <c r="K72">
        <v>0.16883109160536899</v>
      </c>
      <c r="L72">
        <v>5695.8205071575803</v>
      </c>
      <c r="M72">
        <v>0.28413982243512298</v>
      </c>
      <c r="N72" t="s">
        <v>575</v>
      </c>
      <c r="O72">
        <v>1.5877458444979999</v>
      </c>
      <c r="P72">
        <v>5.3245183868293697</v>
      </c>
      <c r="Q72">
        <v>0.164715599621436</v>
      </c>
      <c r="R72">
        <v>212.29485406862901</v>
      </c>
      <c r="S72">
        <v>4.6375215001308402E-2</v>
      </c>
      <c r="T72" t="s">
        <v>575</v>
      </c>
      <c r="U72">
        <v>0.435801503417174</v>
      </c>
      <c r="V72">
        <v>346.58143518458201</v>
      </c>
      <c r="W72">
        <v>9.5115997740619407E-2</v>
      </c>
      <c r="X72" t="s">
        <v>575</v>
      </c>
      <c r="Y72">
        <v>0.40474194466729702</v>
      </c>
      <c r="Z72">
        <v>0.43593257810715402</v>
      </c>
      <c r="AA72">
        <v>3.6327530399617003E-2</v>
      </c>
      <c r="AB72">
        <v>0.53258335598669404</v>
      </c>
      <c r="AC72">
        <v>2.29038860144146E-2</v>
      </c>
      <c r="AD72">
        <v>603.136112280774</v>
      </c>
      <c r="AE72">
        <v>0.10992623591791301</v>
      </c>
      <c r="AF72" t="s">
        <v>575</v>
      </c>
      <c r="AG72">
        <v>2.1248633300201401E-2</v>
      </c>
    </row>
    <row r="73" spans="1:33" x14ac:dyDescent="0.3">
      <c r="A73" t="s">
        <v>712</v>
      </c>
      <c r="B73">
        <v>0.37975064011433302</v>
      </c>
      <c r="C73">
        <v>4.4207255820497997E-2</v>
      </c>
      <c r="D73">
        <v>1.71853119253746</v>
      </c>
      <c r="E73">
        <v>0.517977979173186</v>
      </c>
      <c r="F73">
        <v>7.7364159455081198</v>
      </c>
      <c r="G73">
        <v>0.36951258178360502</v>
      </c>
      <c r="H73">
        <v>14.6835009672764</v>
      </c>
      <c r="I73">
        <v>4.6599207720370703</v>
      </c>
      <c r="J73">
        <v>0.13602950499057556</v>
      </c>
      <c r="K73">
        <v>7.3431787978281704E-2</v>
      </c>
      <c r="L73">
        <v>2708.02905918949</v>
      </c>
      <c r="M73">
        <v>0.277023308595443</v>
      </c>
      <c r="N73" t="s">
        <v>575</v>
      </c>
      <c r="O73">
        <v>1.37064177356288</v>
      </c>
      <c r="P73">
        <v>3.72922552711684</v>
      </c>
      <c r="Q73">
        <v>6.0929437320851397E-2</v>
      </c>
      <c r="R73">
        <v>289.48861541276301</v>
      </c>
      <c r="S73">
        <v>4.9885657847167003E-2</v>
      </c>
      <c r="T73" t="s">
        <v>575</v>
      </c>
      <c r="U73">
        <v>0.19767233932042899</v>
      </c>
      <c r="V73">
        <v>367.46299143086998</v>
      </c>
      <c r="W73">
        <v>9.3041285395162904E-2</v>
      </c>
      <c r="X73" t="s">
        <v>575</v>
      </c>
      <c r="Y73">
        <v>0.24661475158354099</v>
      </c>
      <c r="Z73">
        <v>0.46339082170124801</v>
      </c>
      <c r="AA73">
        <v>3.76762746006543E-2</v>
      </c>
      <c r="AB73">
        <v>0.80615026145615298</v>
      </c>
      <c r="AC73">
        <v>1.34421762464859E-2</v>
      </c>
      <c r="AD73">
        <v>1147.29707701191</v>
      </c>
      <c r="AE73">
        <v>6.4605042264007206E-2</v>
      </c>
      <c r="AF73" t="s">
        <v>575</v>
      </c>
      <c r="AG73">
        <v>1.29638571977295E-2</v>
      </c>
    </row>
    <row r="74" spans="1:33" x14ac:dyDescent="0.3">
      <c r="A74" t="s">
        <v>713</v>
      </c>
      <c r="B74">
        <v>0.33843698875609002</v>
      </c>
      <c r="C74">
        <v>9.7505728874723405E-2</v>
      </c>
      <c r="D74">
        <v>2.1760160708259102</v>
      </c>
      <c r="E74">
        <v>0.75712390247997996</v>
      </c>
      <c r="F74">
        <v>7.7094760347184099</v>
      </c>
      <c r="G74">
        <v>0.77686568375315201</v>
      </c>
      <c r="H74">
        <v>31.9059972345826</v>
      </c>
      <c r="I74">
        <v>9.6875378512275798</v>
      </c>
      <c r="J74" t="s">
        <v>798</v>
      </c>
      <c r="K74">
        <v>0.18732819382034199</v>
      </c>
      <c r="L74">
        <v>7173.2749404139804</v>
      </c>
      <c r="M74">
        <v>0.50748609426795099</v>
      </c>
      <c r="N74">
        <v>1.4894530474482599</v>
      </c>
      <c r="O74">
        <v>1.4163449330165301</v>
      </c>
      <c r="P74">
        <v>7.3293625512202798</v>
      </c>
      <c r="Q74">
        <v>0.177336784750214</v>
      </c>
      <c r="R74">
        <v>292.35531837103503</v>
      </c>
      <c r="S74">
        <v>7.7831586623907698E-2</v>
      </c>
      <c r="T74" t="s">
        <v>575</v>
      </c>
      <c r="U74">
        <v>0.402706019443137</v>
      </c>
      <c r="V74">
        <v>531.21374577434506</v>
      </c>
      <c r="W74">
        <v>0.140277733587829</v>
      </c>
      <c r="X74" t="s">
        <v>575</v>
      </c>
      <c r="Y74">
        <v>0.38984742227560698</v>
      </c>
      <c r="Z74">
        <v>0.46851103705138603</v>
      </c>
      <c r="AA74">
        <v>8.20389045200524E-2</v>
      </c>
      <c r="AB74">
        <v>1.1232256914733301</v>
      </c>
      <c r="AC74">
        <v>1.69332580110578E-2</v>
      </c>
      <c r="AD74">
        <v>1152.18718278488</v>
      </c>
      <c r="AE74">
        <v>0.172279984754134</v>
      </c>
      <c r="AF74" t="s">
        <v>575</v>
      </c>
      <c r="AG74">
        <v>2.4108856413965901E-2</v>
      </c>
    </row>
    <row r="75" spans="1:33" x14ac:dyDescent="0.3">
      <c r="A75" t="s">
        <v>714</v>
      </c>
      <c r="B75">
        <v>0.13406755417982699</v>
      </c>
      <c r="C75">
        <v>6.4720860268500699E-2</v>
      </c>
      <c r="D75">
        <v>0.87567876782690202</v>
      </c>
      <c r="E75">
        <v>0.50246987558201295</v>
      </c>
      <c r="F75">
        <v>3.1832395327058101</v>
      </c>
      <c r="G75">
        <v>0.51555983128258198</v>
      </c>
      <c r="H75">
        <v>24.492055638186802</v>
      </c>
      <c r="I75">
        <v>6.4326183259113598</v>
      </c>
      <c r="J75">
        <v>0.18144083632632346</v>
      </c>
      <c r="K75">
        <v>0.124398520953991</v>
      </c>
      <c r="L75">
        <v>3396.0441693556299</v>
      </c>
      <c r="M75">
        <v>0.33696094302028201</v>
      </c>
      <c r="N75" t="s">
        <v>575</v>
      </c>
      <c r="O75">
        <v>0.93957581264615497</v>
      </c>
      <c r="P75">
        <v>4.4102952754017197</v>
      </c>
      <c r="Q75">
        <v>0.117761396405013</v>
      </c>
      <c r="R75">
        <v>116.20634866845501</v>
      </c>
      <c r="S75">
        <v>5.16193848296169E-2</v>
      </c>
      <c r="T75" t="s">
        <v>575</v>
      </c>
      <c r="U75">
        <v>0.26803976642884503</v>
      </c>
      <c r="V75">
        <v>310.68096708351902</v>
      </c>
      <c r="W75">
        <v>9.3048751264752302E-2</v>
      </c>
      <c r="X75" t="s">
        <v>575</v>
      </c>
      <c r="Y75">
        <v>0.25917791235285897</v>
      </c>
      <c r="Z75">
        <v>0.20278233205590199</v>
      </c>
      <c r="AA75">
        <v>5.4502731382536501E-2</v>
      </c>
      <c r="AB75">
        <v>0.72638672428794304</v>
      </c>
      <c r="AC75">
        <v>1.12344908533611E-2</v>
      </c>
      <c r="AD75">
        <v>576.39700393738303</v>
      </c>
      <c r="AE75">
        <v>0.114304306791151</v>
      </c>
      <c r="AF75" t="s">
        <v>575</v>
      </c>
      <c r="AG75">
        <v>1.5989670861259901E-2</v>
      </c>
    </row>
    <row r="76" spans="1:33" x14ac:dyDescent="0.3">
      <c r="A76" t="s">
        <v>715</v>
      </c>
      <c r="B76" t="s">
        <v>575</v>
      </c>
      <c r="C76">
        <v>5.1024662867537401E-2</v>
      </c>
      <c r="D76" t="s">
        <v>575</v>
      </c>
      <c r="E76">
        <v>0.33434580115646001</v>
      </c>
      <c r="F76">
        <v>1.01638485083723</v>
      </c>
      <c r="G76">
        <v>0.50594690168890499</v>
      </c>
      <c r="H76">
        <v>17.1280276960291</v>
      </c>
      <c r="I76">
        <v>3.3624330321972602</v>
      </c>
      <c r="J76">
        <v>0.2393249783478848</v>
      </c>
      <c r="K76">
        <v>0.13656492222549599</v>
      </c>
      <c r="L76">
        <v>6255.4813910022804</v>
      </c>
      <c r="M76">
        <v>0.28510183816040202</v>
      </c>
      <c r="N76" t="s">
        <v>575</v>
      </c>
      <c r="O76">
        <v>1.4223185387542501</v>
      </c>
      <c r="P76">
        <v>4.8170268679819301</v>
      </c>
      <c r="Q76">
        <v>0.18827061906182799</v>
      </c>
      <c r="R76">
        <v>45.295503955578901</v>
      </c>
      <c r="S76">
        <v>3.3420307413640098E-2</v>
      </c>
      <c r="T76" t="s">
        <v>575</v>
      </c>
      <c r="U76">
        <v>0.28638288804638701</v>
      </c>
      <c r="V76">
        <v>187.81013525223199</v>
      </c>
      <c r="W76">
        <v>7.8954956870101303E-2</v>
      </c>
      <c r="X76" t="s">
        <v>575</v>
      </c>
      <c r="Y76">
        <v>0.30604677666330199</v>
      </c>
      <c r="Z76" t="s">
        <v>575</v>
      </c>
      <c r="AA76">
        <v>3.8486302216363899E-2</v>
      </c>
      <c r="AB76">
        <v>0.86399024067996699</v>
      </c>
      <c r="AC76">
        <v>2.0254001024043899E-2</v>
      </c>
      <c r="AD76">
        <v>465.28796597104201</v>
      </c>
      <c r="AE76">
        <v>6.71015570609962E-2</v>
      </c>
      <c r="AF76" t="s">
        <v>575</v>
      </c>
      <c r="AG76">
        <v>1.3759656056746601E-2</v>
      </c>
    </row>
    <row r="77" spans="1:33" x14ac:dyDescent="0.3">
      <c r="A77" t="s">
        <v>716</v>
      </c>
      <c r="B77">
        <v>15.7420626058615</v>
      </c>
      <c r="C77">
        <v>0.131269847024716</v>
      </c>
      <c r="D77" t="s">
        <v>575</v>
      </c>
      <c r="E77">
        <v>0.83734658970900899</v>
      </c>
      <c r="F77">
        <v>16224.258150952501</v>
      </c>
      <c r="G77">
        <v>1.15503267954797</v>
      </c>
      <c r="H77">
        <v>50.014514107798803</v>
      </c>
      <c r="I77">
        <v>13.2072220848877</v>
      </c>
      <c r="J77">
        <v>0.3610242099299491</v>
      </c>
      <c r="K77">
        <v>0.24542651834544901</v>
      </c>
      <c r="L77">
        <v>15018.1253921558</v>
      </c>
      <c r="M77">
        <v>0.40430795311296303</v>
      </c>
      <c r="N77">
        <v>17.163359372879199</v>
      </c>
      <c r="O77">
        <v>2.4505257834708698</v>
      </c>
      <c r="P77" t="s">
        <v>575</v>
      </c>
      <c r="Q77">
        <v>0.393635983106775</v>
      </c>
      <c r="R77">
        <v>85.148105613103596</v>
      </c>
      <c r="S77">
        <v>8.2857783333130805E-2</v>
      </c>
      <c r="T77">
        <v>0.53273445732794</v>
      </c>
      <c r="U77">
        <v>0.33333349938909201</v>
      </c>
      <c r="V77">
        <v>41.627041090693801</v>
      </c>
      <c r="W77">
        <v>0.217434053895249</v>
      </c>
      <c r="X77" t="s">
        <v>575</v>
      </c>
      <c r="Y77">
        <v>0.56315527194872395</v>
      </c>
      <c r="Z77">
        <v>12.1255337992585</v>
      </c>
      <c r="AA77">
        <v>8.2992118397670997E-2</v>
      </c>
      <c r="AB77">
        <v>0.20278744001997601</v>
      </c>
      <c r="AC77">
        <v>3.8038512489308403E-2</v>
      </c>
      <c r="AD77">
        <v>2479.7652645210901</v>
      </c>
      <c r="AE77">
        <v>0.17346507165095301</v>
      </c>
      <c r="AF77" t="s">
        <v>575</v>
      </c>
      <c r="AG77">
        <v>2.49729091252399E-2</v>
      </c>
    </row>
    <row r="78" spans="1:33" x14ac:dyDescent="0.3">
      <c r="A78" t="s">
        <v>717</v>
      </c>
      <c r="B78">
        <v>15.1165113360632</v>
      </c>
      <c r="C78">
        <v>0.15813657758256999</v>
      </c>
      <c r="D78" t="s">
        <v>575</v>
      </c>
      <c r="E78">
        <v>0.95125355859902405</v>
      </c>
      <c r="F78">
        <v>14134.565967944</v>
      </c>
      <c r="G78">
        <v>0.80746933027282497</v>
      </c>
      <c r="H78" t="s">
        <v>575</v>
      </c>
      <c r="I78">
        <v>8.1727590427001893</v>
      </c>
      <c r="J78">
        <v>0.27476064580492637</v>
      </c>
      <c r="K78">
        <v>0.22764122994646899</v>
      </c>
      <c r="L78">
        <v>5955.55590921354</v>
      </c>
      <c r="M78">
        <v>0.46053095093163499</v>
      </c>
      <c r="N78">
        <v>12.3495310378476</v>
      </c>
      <c r="O78">
        <v>2.0659884720827599</v>
      </c>
      <c r="P78">
        <v>0.74746615916006998</v>
      </c>
      <c r="Q78">
        <v>0.26776953920503899</v>
      </c>
      <c r="R78">
        <v>117.483567563473</v>
      </c>
      <c r="S78">
        <v>9.40899279732548E-2</v>
      </c>
      <c r="T78" t="s">
        <v>575</v>
      </c>
      <c r="U78">
        <v>0.58075644935515502</v>
      </c>
      <c r="V78">
        <v>30.248122579004299</v>
      </c>
      <c r="W78">
        <v>0.153613586001242</v>
      </c>
      <c r="X78" t="s">
        <v>575</v>
      </c>
      <c r="Y78">
        <v>0.75509416038559796</v>
      </c>
      <c r="Z78">
        <v>3.2004935051507601</v>
      </c>
      <c r="AA78">
        <v>7.8154016843597601E-2</v>
      </c>
      <c r="AB78">
        <v>0.14287568433738601</v>
      </c>
      <c r="AC78">
        <v>3.4108114943656502E-2</v>
      </c>
      <c r="AD78">
        <v>1862.43491380817</v>
      </c>
      <c r="AE78">
        <v>0.181611260670374</v>
      </c>
      <c r="AF78" t="s">
        <v>575</v>
      </c>
      <c r="AG78">
        <v>2.7856829819481E-2</v>
      </c>
    </row>
    <row r="79" spans="1:33" x14ac:dyDescent="0.3">
      <c r="A79" t="s">
        <v>718</v>
      </c>
      <c r="B79">
        <v>22.208865229665001</v>
      </c>
      <c r="C79">
        <v>0.18109388336577201</v>
      </c>
      <c r="D79" t="s">
        <v>575</v>
      </c>
      <c r="E79">
        <v>0.90818960568425</v>
      </c>
      <c r="F79">
        <v>20098.615780260301</v>
      </c>
      <c r="G79">
        <v>0.77196783446952999</v>
      </c>
      <c r="H79">
        <v>485.78648352601903</v>
      </c>
      <c r="I79">
        <v>11.059861999177899</v>
      </c>
      <c r="J79">
        <v>0.2766078135357859</v>
      </c>
      <c r="K79">
        <v>0.25771964071688003</v>
      </c>
      <c r="L79">
        <v>13033.7073062323</v>
      </c>
      <c r="M79">
        <v>0.46398057493821698</v>
      </c>
      <c r="N79">
        <v>12.2737193186844</v>
      </c>
      <c r="O79">
        <v>2.2974155619452499</v>
      </c>
      <c r="P79">
        <v>0.64173703077239896</v>
      </c>
      <c r="Q79">
        <v>0.29206688297376499</v>
      </c>
      <c r="R79">
        <v>77.8459871198841</v>
      </c>
      <c r="S79">
        <v>8.6613291990862096E-2</v>
      </c>
      <c r="T79" t="s">
        <v>575</v>
      </c>
      <c r="U79">
        <v>0.59807553667711999</v>
      </c>
      <c r="V79">
        <v>58.255645218721902</v>
      </c>
      <c r="W79">
        <v>0.16138901014308499</v>
      </c>
      <c r="X79" t="s">
        <v>575</v>
      </c>
      <c r="Y79">
        <v>0.63853039903266595</v>
      </c>
      <c r="Z79">
        <v>10.1485382357241</v>
      </c>
      <c r="AA79">
        <v>7.8410526202406405E-2</v>
      </c>
      <c r="AB79">
        <v>0.213259668273315</v>
      </c>
      <c r="AC79">
        <v>3.44090672555089E-2</v>
      </c>
      <c r="AD79">
        <v>3620.23056405939</v>
      </c>
      <c r="AE79">
        <v>0.18760026093979101</v>
      </c>
      <c r="AF79" t="s">
        <v>575</v>
      </c>
      <c r="AG79">
        <v>2.0278416185255398E-2</v>
      </c>
    </row>
    <row r="80" spans="1:33" x14ac:dyDescent="0.3">
      <c r="A80" t="s">
        <v>719</v>
      </c>
      <c r="B80">
        <v>18.958605059996898</v>
      </c>
      <c r="C80">
        <v>0.15607159854411001</v>
      </c>
      <c r="D80" t="s">
        <v>575</v>
      </c>
      <c r="E80">
        <v>1.00255875941982</v>
      </c>
      <c r="F80">
        <v>14768.722587465199</v>
      </c>
      <c r="G80">
        <v>1.3328944938052401</v>
      </c>
      <c r="H80">
        <v>46.866790563752801</v>
      </c>
      <c r="I80">
        <v>15.7873372623945</v>
      </c>
      <c r="J80" t="s">
        <v>799</v>
      </c>
      <c r="K80">
        <v>0.38728674311165601</v>
      </c>
      <c r="L80">
        <v>3876.7603407975198</v>
      </c>
      <c r="M80">
        <v>0.67946486510066695</v>
      </c>
      <c r="N80">
        <v>18.525305653857799</v>
      </c>
      <c r="O80">
        <v>2.2454130523294999</v>
      </c>
      <c r="P80">
        <v>1.73157649123303</v>
      </c>
      <c r="Q80">
        <v>0.46433212478614999</v>
      </c>
      <c r="R80">
        <v>109.670510607521</v>
      </c>
      <c r="S80">
        <v>0.104904443470251</v>
      </c>
      <c r="T80" t="s">
        <v>575</v>
      </c>
      <c r="U80">
        <v>0.67166466678456804</v>
      </c>
      <c r="V80">
        <v>49.109074028517298</v>
      </c>
      <c r="W80">
        <v>0.17369940198000899</v>
      </c>
      <c r="X80" t="s">
        <v>575</v>
      </c>
      <c r="Y80">
        <v>0.54534106772687296</v>
      </c>
      <c r="Z80">
        <v>0.65095045475498403</v>
      </c>
      <c r="AA80">
        <v>0.150323570740798</v>
      </c>
      <c r="AB80">
        <v>0.23246266071446001</v>
      </c>
      <c r="AC80">
        <v>5.2479272479059501E-2</v>
      </c>
      <c r="AD80">
        <v>471.66978792846101</v>
      </c>
      <c r="AE80">
        <v>0.228669580989798</v>
      </c>
      <c r="AF80" t="s">
        <v>575</v>
      </c>
      <c r="AG80">
        <v>2.6623385699178902E-2</v>
      </c>
    </row>
    <row r="81" spans="1:33" x14ac:dyDescent="0.3">
      <c r="A81" t="s">
        <v>720</v>
      </c>
      <c r="B81">
        <v>45.084223339709801</v>
      </c>
      <c r="C81">
        <v>0.134841164064543</v>
      </c>
      <c r="D81">
        <v>1.4856625839734201</v>
      </c>
      <c r="E81">
        <v>0.62931441403548305</v>
      </c>
      <c r="F81">
        <v>22827.9266131941</v>
      </c>
      <c r="G81">
        <v>0.75099565685393199</v>
      </c>
      <c r="H81">
        <v>395.45140743121902</v>
      </c>
      <c r="I81">
        <v>10.579582400529301</v>
      </c>
      <c r="J81">
        <v>0.65888797374208286</v>
      </c>
      <c r="K81">
        <v>0.276129519335445</v>
      </c>
      <c r="L81">
        <v>12530.667201484601</v>
      </c>
      <c r="M81">
        <v>0.52717790384458196</v>
      </c>
      <c r="N81">
        <v>12.969749871923501</v>
      </c>
      <c r="O81">
        <v>2.8657243690940599</v>
      </c>
      <c r="P81">
        <v>0.43574738681772401</v>
      </c>
      <c r="Q81">
        <v>0.11812872469504899</v>
      </c>
      <c r="R81">
        <v>213.067341140765</v>
      </c>
      <c r="S81">
        <v>8.1286337306327797E-2</v>
      </c>
      <c r="T81">
        <v>11.3664346697827</v>
      </c>
      <c r="U81">
        <v>0.46337493118002698</v>
      </c>
      <c r="V81">
        <v>61.3442636119131</v>
      </c>
      <c r="W81">
        <v>0.122236317675938</v>
      </c>
      <c r="X81" t="s">
        <v>575</v>
      </c>
      <c r="Y81">
        <v>0.43297128182487599</v>
      </c>
      <c r="Z81">
        <v>25.6865470725504</v>
      </c>
      <c r="AA81">
        <v>8.8307780827283605E-2</v>
      </c>
      <c r="AB81">
        <v>0.16288257282985399</v>
      </c>
      <c r="AC81">
        <v>3.2554321504156103E-2</v>
      </c>
      <c r="AD81">
        <v>3382.6992698060399</v>
      </c>
      <c r="AE81">
        <v>0.204598418405496</v>
      </c>
      <c r="AF81" t="s">
        <v>575</v>
      </c>
      <c r="AG81">
        <v>2.9648546294197699E-2</v>
      </c>
    </row>
    <row r="82" spans="1:33" x14ac:dyDescent="0.3">
      <c r="A82" t="s">
        <v>721</v>
      </c>
      <c r="B82">
        <v>47.493717741532599</v>
      </c>
      <c r="C82">
        <v>0.109744616641721</v>
      </c>
      <c r="D82">
        <v>1.2005126069702401</v>
      </c>
      <c r="E82">
        <v>0.74668645871271899</v>
      </c>
      <c r="F82">
        <v>6441.9367902918502</v>
      </c>
      <c r="G82">
        <v>0.81038648618041997</v>
      </c>
      <c r="H82" t="s">
        <v>575</v>
      </c>
      <c r="I82">
        <v>11.7880377308639</v>
      </c>
      <c r="J82">
        <v>0.28579640580867605</v>
      </c>
      <c r="K82">
        <v>0.22954306364348601</v>
      </c>
      <c r="L82">
        <v>5611.9251266235296</v>
      </c>
      <c r="M82">
        <v>0.454638491033522</v>
      </c>
      <c r="N82">
        <v>26.901579639402801</v>
      </c>
      <c r="O82">
        <v>2.3684533503245899</v>
      </c>
      <c r="P82">
        <v>1.40957740182703</v>
      </c>
      <c r="Q82">
        <v>0.235466437792583</v>
      </c>
      <c r="R82">
        <v>23.397073379363501</v>
      </c>
      <c r="S82">
        <v>9.0096298823489906E-2</v>
      </c>
      <c r="T82" t="s">
        <v>575</v>
      </c>
      <c r="U82">
        <v>0.67641561466972999</v>
      </c>
      <c r="V82">
        <v>15.345814350561</v>
      </c>
      <c r="W82">
        <v>0.15218791456240599</v>
      </c>
      <c r="X82" t="s">
        <v>575</v>
      </c>
      <c r="Y82">
        <v>0.34918988542446999</v>
      </c>
      <c r="Z82">
        <v>0.71726828936269305</v>
      </c>
      <c r="AA82">
        <v>8.1578258775773294E-2</v>
      </c>
      <c r="AB82">
        <v>7.1222592300047599E-2</v>
      </c>
      <c r="AC82">
        <v>4.4157697936823101E-2</v>
      </c>
      <c r="AD82">
        <v>1740.9018175047399</v>
      </c>
      <c r="AE82">
        <v>0.225749705749448</v>
      </c>
      <c r="AF82" t="s">
        <v>575</v>
      </c>
      <c r="AG82">
        <v>2.6728803984970899E-2</v>
      </c>
    </row>
    <row r="83" spans="1:33" x14ac:dyDescent="0.3">
      <c r="A83" t="s">
        <v>722</v>
      </c>
      <c r="B83">
        <v>27.87357380081</v>
      </c>
      <c r="C83">
        <v>0.150204559656368</v>
      </c>
      <c r="D83" t="s">
        <v>575</v>
      </c>
      <c r="E83">
        <v>1.3347870406561799</v>
      </c>
      <c r="F83">
        <v>16170.689407870799</v>
      </c>
      <c r="G83">
        <v>0.92452168025614101</v>
      </c>
      <c r="H83">
        <v>223.498302200719</v>
      </c>
      <c r="I83">
        <v>11.483604318269199</v>
      </c>
      <c r="J83">
        <v>0.84902078764367361</v>
      </c>
      <c r="K83">
        <v>0.20021988490735099</v>
      </c>
      <c r="L83">
        <v>17334.5472488997</v>
      </c>
      <c r="M83">
        <v>0.50100929380265002</v>
      </c>
      <c r="N83">
        <v>17.611373070061401</v>
      </c>
      <c r="O83">
        <v>2.10647533770867</v>
      </c>
      <c r="P83">
        <v>0.925184642519565</v>
      </c>
      <c r="Q83">
        <v>0.310381370143817</v>
      </c>
      <c r="R83">
        <v>49.339397110786301</v>
      </c>
      <c r="S83">
        <v>5.4964379265362302E-2</v>
      </c>
      <c r="T83">
        <v>0.76242640432531406</v>
      </c>
      <c r="U83">
        <v>0.48891546885513498</v>
      </c>
      <c r="V83">
        <v>43.4606818717496</v>
      </c>
      <c r="W83">
        <v>0.174412167621213</v>
      </c>
      <c r="X83" t="s">
        <v>575</v>
      </c>
      <c r="Y83">
        <v>0.46868881302389898</v>
      </c>
      <c r="Z83">
        <v>14.2451126855438</v>
      </c>
      <c r="AA83">
        <v>0.11847553779013401</v>
      </c>
      <c r="AB83">
        <v>0.593463322658484</v>
      </c>
      <c r="AC83">
        <v>2.9428256256869199E-2</v>
      </c>
      <c r="AD83">
        <v>757.180241420779</v>
      </c>
      <c r="AE83">
        <v>0.15271505579681</v>
      </c>
      <c r="AF83" t="s">
        <v>575</v>
      </c>
      <c r="AG83">
        <v>2.9754496182457801E-2</v>
      </c>
    </row>
    <row r="84" spans="1:33" x14ac:dyDescent="0.3">
      <c r="A84" t="s">
        <v>723</v>
      </c>
      <c r="B84">
        <v>8.8152974023211392</v>
      </c>
      <c r="C84">
        <v>0.103468816053482</v>
      </c>
      <c r="D84" t="s">
        <v>575</v>
      </c>
      <c r="E84">
        <v>0.93054551823811005</v>
      </c>
      <c r="F84">
        <v>19878.379223597</v>
      </c>
      <c r="G84">
        <v>0.89432563960998002</v>
      </c>
      <c r="H84">
        <v>51.0477486939565</v>
      </c>
      <c r="I84">
        <v>13.049218078614899</v>
      </c>
      <c r="J84">
        <v>0.41733509283496001</v>
      </c>
      <c r="K84">
        <v>0.42945789403874801</v>
      </c>
      <c r="L84">
        <v>5950.8584058637798</v>
      </c>
      <c r="M84">
        <v>0.57723926024469796</v>
      </c>
      <c r="N84">
        <v>7.9092811989702199</v>
      </c>
      <c r="O84">
        <v>2.5483814427017202</v>
      </c>
      <c r="P84" t="s">
        <v>575</v>
      </c>
      <c r="Q84">
        <v>0.28364018700142102</v>
      </c>
      <c r="R84">
        <v>260.83333431746001</v>
      </c>
      <c r="S84">
        <v>0.13684930700477199</v>
      </c>
      <c r="T84" t="s">
        <v>575</v>
      </c>
      <c r="U84">
        <v>0.64986040175906701</v>
      </c>
      <c r="V84">
        <v>25.9480865626082</v>
      </c>
      <c r="W84">
        <v>0.17397453425044501</v>
      </c>
      <c r="X84" t="s">
        <v>575</v>
      </c>
      <c r="Y84">
        <v>0.59735526598831801</v>
      </c>
      <c r="Z84">
        <v>18.2087873013114</v>
      </c>
      <c r="AA84">
        <v>0.118480224706459</v>
      </c>
      <c r="AB84">
        <v>0.26496622802622699</v>
      </c>
      <c r="AC84">
        <v>3.1073731512944298E-2</v>
      </c>
      <c r="AD84">
        <v>1915.0616501688601</v>
      </c>
      <c r="AE84">
        <v>0.18799222248150901</v>
      </c>
      <c r="AF84" t="s">
        <v>575</v>
      </c>
      <c r="AG84">
        <v>3.1549244861019697E-2</v>
      </c>
    </row>
    <row r="85" spans="1:33" x14ac:dyDescent="0.3">
      <c r="A85" t="s">
        <v>724</v>
      </c>
      <c r="B85">
        <v>11.5273233945651</v>
      </c>
      <c r="C85">
        <v>9.9939671278214903E-2</v>
      </c>
      <c r="D85" t="s">
        <v>575</v>
      </c>
      <c r="E85">
        <v>1.0440688852109801</v>
      </c>
      <c r="F85">
        <v>11292.370648517301</v>
      </c>
      <c r="G85">
        <v>1.0475435067524399</v>
      </c>
      <c r="H85" t="s">
        <v>575</v>
      </c>
      <c r="I85">
        <v>9.3985175768395592</v>
      </c>
      <c r="J85" t="s">
        <v>800</v>
      </c>
      <c r="K85">
        <v>0.25380221702021299</v>
      </c>
      <c r="L85">
        <v>5082.8352900894097</v>
      </c>
      <c r="M85">
        <v>0.44897945613836199</v>
      </c>
      <c r="N85">
        <v>11.9669526741217</v>
      </c>
      <c r="O85">
        <v>2.03166013858042</v>
      </c>
      <c r="P85">
        <v>0.82737449770659499</v>
      </c>
      <c r="Q85">
        <v>0.23231611673756999</v>
      </c>
      <c r="R85">
        <v>125.452901835994</v>
      </c>
      <c r="S85">
        <v>0.10162926379746801</v>
      </c>
      <c r="T85" t="s">
        <v>575</v>
      </c>
      <c r="U85">
        <v>0.34584466026410998</v>
      </c>
      <c r="V85">
        <v>9.6072423438537502</v>
      </c>
      <c r="W85">
        <v>0.14935452756871201</v>
      </c>
      <c r="X85" t="s">
        <v>575</v>
      </c>
      <c r="Y85">
        <v>0.616087592329568</v>
      </c>
      <c r="Z85">
        <v>2.3016341715032098</v>
      </c>
      <c r="AA85">
        <v>0.101166539775202</v>
      </c>
      <c r="AB85">
        <v>6.6073938201177795E-2</v>
      </c>
      <c r="AC85">
        <v>3.9791294172451697E-2</v>
      </c>
      <c r="AD85">
        <v>1237.3802299081401</v>
      </c>
      <c r="AE85">
        <v>0.13382417879417499</v>
      </c>
      <c r="AF85" t="s">
        <v>575</v>
      </c>
      <c r="AG85">
        <v>3.2562038307286302E-2</v>
      </c>
    </row>
    <row r="86" spans="1:33" x14ac:dyDescent="0.3">
      <c r="A86" t="s">
        <v>725</v>
      </c>
      <c r="B86">
        <v>15.671684118173999</v>
      </c>
      <c r="C86">
        <v>0.17343601176818299</v>
      </c>
      <c r="D86" t="s">
        <v>575</v>
      </c>
      <c r="E86">
        <v>1.4483224468917399</v>
      </c>
      <c r="F86">
        <v>11971.240647532501</v>
      </c>
      <c r="G86">
        <v>1.15298119345952</v>
      </c>
      <c r="H86">
        <v>36.760779756460998</v>
      </c>
      <c r="I86">
        <v>15.4552447952007</v>
      </c>
      <c r="J86">
        <v>0.49989545934695645</v>
      </c>
      <c r="K86">
        <v>0.31814499115133799</v>
      </c>
      <c r="L86">
        <v>11820.108843772399</v>
      </c>
      <c r="M86">
        <v>0.56396665447927297</v>
      </c>
      <c r="N86">
        <v>12.244190485557599</v>
      </c>
      <c r="O86">
        <v>2.8730393322010599</v>
      </c>
      <c r="P86">
        <v>0.70189953522392801</v>
      </c>
      <c r="Q86">
        <v>0.39334835240302002</v>
      </c>
      <c r="R86">
        <v>61.322566227943497</v>
      </c>
      <c r="S86">
        <v>0.10247323770568</v>
      </c>
      <c r="T86" t="s">
        <v>575</v>
      </c>
      <c r="U86">
        <v>0.55767042384968102</v>
      </c>
      <c r="V86">
        <v>46.059832801176597</v>
      </c>
      <c r="W86">
        <v>9.8703969893633295E-2</v>
      </c>
      <c r="X86" t="s">
        <v>575</v>
      </c>
      <c r="Y86">
        <v>0.68068727449414801</v>
      </c>
      <c r="Z86">
        <v>14.5043277747187</v>
      </c>
      <c r="AA86">
        <v>6.9068187405780801E-2</v>
      </c>
      <c r="AB86">
        <v>0.24397996828360799</v>
      </c>
      <c r="AC86">
        <v>2.9711496136394299E-2</v>
      </c>
      <c r="AD86">
        <v>1966.9302114449699</v>
      </c>
      <c r="AE86">
        <v>0.237321994760334</v>
      </c>
      <c r="AF86" t="s">
        <v>575</v>
      </c>
      <c r="AG86">
        <v>3.3016935498666598E-2</v>
      </c>
    </row>
    <row r="87" spans="1:33" x14ac:dyDescent="0.3">
      <c r="A87" t="s">
        <v>726</v>
      </c>
      <c r="B87">
        <v>20.2593008875055</v>
      </c>
      <c r="C87">
        <v>0.11197291856047301</v>
      </c>
      <c r="D87" t="s">
        <v>575</v>
      </c>
      <c r="E87">
        <v>0.834434268459054</v>
      </c>
      <c r="F87">
        <v>17138.425543245899</v>
      </c>
      <c r="G87">
        <v>0.86851211091422298</v>
      </c>
      <c r="H87">
        <v>34.683407991460001</v>
      </c>
      <c r="I87">
        <v>11.9803971144024</v>
      </c>
      <c r="J87">
        <v>0.64196095668377273</v>
      </c>
      <c r="K87">
        <v>0.21745105270637699</v>
      </c>
      <c r="L87">
        <v>6554.6415321161703</v>
      </c>
      <c r="M87">
        <v>0.56843955423860104</v>
      </c>
      <c r="N87">
        <v>35.174134410647902</v>
      </c>
      <c r="O87">
        <v>1.64239942846233</v>
      </c>
      <c r="P87">
        <v>0.78426761668411904</v>
      </c>
      <c r="Q87">
        <v>0.32418989425824801</v>
      </c>
      <c r="R87">
        <v>312.589628075056</v>
      </c>
      <c r="S87">
        <v>8.6870047498425404E-2</v>
      </c>
      <c r="T87">
        <v>0.51032265541775101</v>
      </c>
      <c r="U87">
        <v>0.45988655832775699</v>
      </c>
      <c r="V87">
        <v>34.045362203616001</v>
      </c>
      <c r="W87">
        <v>0.151641478286208</v>
      </c>
      <c r="X87" t="s">
        <v>575</v>
      </c>
      <c r="Y87">
        <v>0.85594166307235198</v>
      </c>
      <c r="Z87">
        <v>34.684072805084398</v>
      </c>
      <c r="AA87">
        <v>7.97745708399865E-2</v>
      </c>
      <c r="AB87">
        <v>0.28895948868399701</v>
      </c>
      <c r="AC87">
        <v>3.6747004845787502E-2</v>
      </c>
      <c r="AD87">
        <v>2344.3950049976402</v>
      </c>
      <c r="AE87">
        <v>0.15314012402034699</v>
      </c>
      <c r="AF87" t="s">
        <v>575</v>
      </c>
      <c r="AG87">
        <v>2.5450842383044601E-2</v>
      </c>
    </row>
    <row r="88" spans="1:33" x14ac:dyDescent="0.3">
      <c r="A88" t="s">
        <v>727</v>
      </c>
      <c r="B88">
        <v>135.89450750430399</v>
      </c>
      <c r="C88">
        <v>9.8384283793683205E-2</v>
      </c>
      <c r="D88">
        <v>13.3241736650555</v>
      </c>
      <c r="E88">
        <v>0.56587085426989303</v>
      </c>
      <c r="F88">
        <v>133.932653043301</v>
      </c>
      <c r="G88">
        <v>0.647948075473194</v>
      </c>
      <c r="H88" t="s">
        <v>575</v>
      </c>
      <c r="I88">
        <v>8.7859703876462003</v>
      </c>
      <c r="J88">
        <v>9.8208701880070137E-2</v>
      </c>
      <c r="K88">
        <v>0.15471020418070799</v>
      </c>
      <c r="L88">
        <v>1.72352325695979</v>
      </c>
      <c r="M88">
        <v>0.228617684211806</v>
      </c>
      <c r="N88">
        <v>165.0516849338</v>
      </c>
      <c r="O88">
        <v>1.3370491936012501</v>
      </c>
      <c r="P88">
        <v>4.3377292949888302</v>
      </c>
      <c r="Q88">
        <v>0.14976534282345599</v>
      </c>
      <c r="R88">
        <v>1.64246993032766</v>
      </c>
      <c r="S88">
        <v>6.6387866854233396E-2</v>
      </c>
      <c r="T88" t="s">
        <v>575</v>
      </c>
      <c r="U88">
        <v>0.229900410357014</v>
      </c>
      <c r="V88" t="s">
        <v>575</v>
      </c>
      <c r="W88">
        <v>8.5792324249094207E-2</v>
      </c>
      <c r="X88">
        <v>5.72831050960529</v>
      </c>
      <c r="Y88">
        <v>0.25164871323620203</v>
      </c>
      <c r="Z88">
        <v>0.226151355120248</v>
      </c>
      <c r="AA88">
        <v>5.1832883209920501E-2</v>
      </c>
      <c r="AB88" t="s">
        <v>575</v>
      </c>
      <c r="AC88">
        <v>1.5942096859119199E-2</v>
      </c>
      <c r="AD88">
        <v>1.1946377709862199</v>
      </c>
      <c r="AE88">
        <v>0.115248007368179</v>
      </c>
      <c r="AF88" t="s">
        <v>575</v>
      </c>
      <c r="AG88">
        <v>1.9872215768458799E-2</v>
      </c>
    </row>
    <row r="89" spans="1:33" x14ac:dyDescent="0.3">
      <c r="A89" t="s">
        <v>728</v>
      </c>
      <c r="B89">
        <v>179.56366625497199</v>
      </c>
      <c r="C89">
        <v>0.20870952218855801</v>
      </c>
      <c r="D89">
        <v>12.213917430333201</v>
      </c>
      <c r="E89">
        <v>1.2089673191210499</v>
      </c>
      <c r="F89">
        <v>99.161841839915397</v>
      </c>
      <c r="G89">
        <v>1.4812663049318799</v>
      </c>
      <c r="H89" t="s">
        <v>575</v>
      </c>
      <c r="I89">
        <v>17.973575845041399</v>
      </c>
      <c r="J89">
        <v>0.50685935119196701</v>
      </c>
      <c r="K89">
        <v>0.33528250840437601</v>
      </c>
      <c r="L89">
        <v>9.6424154787464502</v>
      </c>
      <c r="M89">
        <v>0.78971790461841695</v>
      </c>
      <c r="N89">
        <v>197.27564248637901</v>
      </c>
      <c r="O89">
        <v>3.1495008203805299</v>
      </c>
      <c r="P89">
        <v>59.617297748929403</v>
      </c>
      <c r="Q89">
        <v>0.28427834414046199</v>
      </c>
      <c r="R89" t="s">
        <v>575</v>
      </c>
      <c r="S89">
        <v>0.16510976202901201</v>
      </c>
      <c r="T89" t="s">
        <v>575</v>
      </c>
      <c r="U89">
        <v>0.58431206862347496</v>
      </c>
      <c r="V89" t="s">
        <v>575</v>
      </c>
      <c r="W89">
        <v>0.21296023946821399</v>
      </c>
      <c r="X89">
        <v>17.614595723971</v>
      </c>
      <c r="Y89">
        <v>0.754750640219503</v>
      </c>
      <c r="Z89">
        <v>0.48185632835099701</v>
      </c>
      <c r="AA89">
        <v>0.13452128227714399</v>
      </c>
      <c r="AB89" t="s">
        <v>575</v>
      </c>
      <c r="AC89">
        <v>5.7014600479484701E-2</v>
      </c>
      <c r="AD89">
        <v>0.83560993498140501</v>
      </c>
      <c r="AE89">
        <v>0.29750266199727599</v>
      </c>
      <c r="AF89">
        <v>2.2823337984427601E-2</v>
      </c>
      <c r="AG89">
        <v>2.07969917318532E-2</v>
      </c>
    </row>
    <row r="90" spans="1:33" x14ac:dyDescent="0.3">
      <c r="A90" t="s">
        <v>729</v>
      </c>
      <c r="B90">
        <v>72.801573690558101</v>
      </c>
      <c r="C90">
        <v>7.2145670819528301E-2</v>
      </c>
      <c r="D90">
        <v>6.8524342483683798</v>
      </c>
      <c r="E90">
        <v>1.0950906346720599</v>
      </c>
      <c r="F90">
        <v>53.984836371255199</v>
      </c>
      <c r="G90">
        <v>0.90206580916678702</v>
      </c>
      <c r="H90" t="s">
        <v>575</v>
      </c>
      <c r="I90">
        <v>7.6990270191939398</v>
      </c>
      <c r="J90" t="s">
        <v>575</v>
      </c>
      <c r="K90">
        <v>0.27599881786840902</v>
      </c>
      <c r="L90">
        <v>0.40759163310139301</v>
      </c>
      <c r="M90">
        <v>0.326729833850118</v>
      </c>
      <c r="N90">
        <v>110.986986806495</v>
      </c>
      <c r="O90">
        <v>1.92847939321211</v>
      </c>
      <c r="P90">
        <v>8.6943132653849595</v>
      </c>
      <c r="Q90">
        <v>0.26993978289871401</v>
      </c>
      <c r="R90" t="s">
        <v>575</v>
      </c>
      <c r="S90">
        <v>7.0597888098589898E-2</v>
      </c>
      <c r="T90" t="s">
        <v>575</v>
      </c>
      <c r="U90">
        <v>0.34323396578610899</v>
      </c>
      <c r="V90" t="s">
        <v>575</v>
      </c>
      <c r="W90">
        <v>0.13426753512105399</v>
      </c>
      <c r="X90">
        <v>1.64294734148308</v>
      </c>
      <c r="Y90">
        <v>0.51528985915224701</v>
      </c>
      <c r="Z90" t="s">
        <v>575</v>
      </c>
      <c r="AA90">
        <v>7.1026315584990701E-2</v>
      </c>
      <c r="AB90" t="s">
        <v>575</v>
      </c>
      <c r="AC90">
        <v>2.94687149325304E-2</v>
      </c>
      <c r="AD90" t="s">
        <v>575</v>
      </c>
      <c r="AE90">
        <v>0.122822998591242</v>
      </c>
      <c r="AF90">
        <v>3.2406044687081997E-2</v>
      </c>
      <c r="AG90">
        <v>2.6121411018800101E-2</v>
      </c>
    </row>
    <row r="91" spans="1:33" x14ac:dyDescent="0.3">
      <c r="A91" t="s">
        <v>730</v>
      </c>
      <c r="B91">
        <v>117.914956778381</v>
      </c>
      <c r="C91">
        <v>0.20680751648012699</v>
      </c>
      <c r="D91">
        <v>7.9308634621042904</v>
      </c>
      <c r="E91">
        <v>1.2915098467617101</v>
      </c>
      <c r="F91">
        <v>616.70868976912402</v>
      </c>
      <c r="G91">
        <v>2.23813081412418</v>
      </c>
      <c r="H91" t="s">
        <v>575</v>
      </c>
      <c r="I91">
        <v>12.180950391829199</v>
      </c>
      <c r="J91">
        <v>0.62018583339420497</v>
      </c>
      <c r="K91">
        <v>0.54098103978234402</v>
      </c>
      <c r="L91">
        <v>10.390112658111599</v>
      </c>
      <c r="M91">
        <v>1.0553477186714</v>
      </c>
      <c r="N91">
        <v>332.88447200936798</v>
      </c>
      <c r="O91">
        <v>3.97427249986091</v>
      </c>
      <c r="P91">
        <v>6.9037346532704698</v>
      </c>
      <c r="Q91">
        <v>0.567161074328703</v>
      </c>
      <c r="R91">
        <v>8.9699958874635897</v>
      </c>
      <c r="S91">
        <v>0.123182783999984</v>
      </c>
      <c r="T91" t="s">
        <v>575</v>
      </c>
      <c r="U91">
        <v>0.79513515989808903</v>
      </c>
      <c r="V91" t="s">
        <v>575</v>
      </c>
      <c r="W91">
        <v>0.24260268740644</v>
      </c>
      <c r="X91">
        <v>29.377231574563499</v>
      </c>
      <c r="Y91">
        <v>0.86246300587540503</v>
      </c>
      <c r="Z91">
        <v>1.7629831454651701</v>
      </c>
      <c r="AA91">
        <v>0.11669285328326599</v>
      </c>
      <c r="AB91" t="s">
        <v>575</v>
      </c>
      <c r="AC91">
        <v>7.5241054312948905E-2</v>
      </c>
      <c r="AD91">
        <v>1.3233312959596699</v>
      </c>
      <c r="AE91">
        <v>0.28947871434718198</v>
      </c>
      <c r="AF91" t="s">
        <v>575</v>
      </c>
      <c r="AG91">
        <v>3.8897591134841002E-2</v>
      </c>
    </row>
    <row r="92" spans="1:33" x14ac:dyDescent="0.3">
      <c r="A92" t="s">
        <v>731</v>
      </c>
      <c r="B92">
        <v>166.871385930168</v>
      </c>
      <c r="C92">
        <v>0.28535624922550401</v>
      </c>
      <c r="D92">
        <v>22.931165760149099</v>
      </c>
      <c r="E92">
        <v>1.3997143934840801</v>
      </c>
      <c r="F92">
        <v>679.81133247360594</v>
      </c>
      <c r="G92">
        <v>1.85469284516195</v>
      </c>
      <c r="H92" t="s">
        <v>575</v>
      </c>
      <c r="I92">
        <v>23.365849256235599</v>
      </c>
      <c r="J92" t="s">
        <v>575</v>
      </c>
      <c r="K92">
        <v>0.44925784710297101</v>
      </c>
      <c r="L92">
        <v>2.8319988610940099</v>
      </c>
      <c r="M92">
        <v>0.88813980488616096</v>
      </c>
      <c r="N92">
        <v>146.158062378903</v>
      </c>
      <c r="O92">
        <v>4.7591976099560398</v>
      </c>
      <c r="P92">
        <v>7.4440085616470197</v>
      </c>
      <c r="Q92">
        <v>0.39547894064060202</v>
      </c>
      <c r="R92">
        <v>0.31175972472152902</v>
      </c>
      <c r="S92">
        <v>0.16285599864869599</v>
      </c>
      <c r="T92" t="s">
        <v>575</v>
      </c>
      <c r="U92">
        <v>0.799544894883367</v>
      </c>
      <c r="V92" t="s">
        <v>575</v>
      </c>
      <c r="W92">
        <v>0.33544396600527698</v>
      </c>
      <c r="X92">
        <v>6.17247247514113</v>
      </c>
      <c r="Y92">
        <v>0.94849949038426595</v>
      </c>
      <c r="Z92">
        <v>3.12149059454475</v>
      </c>
      <c r="AA92">
        <v>0.12759444407180001</v>
      </c>
      <c r="AB92" t="s">
        <v>575</v>
      </c>
      <c r="AC92">
        <v>3.2309540357088599E-2</v>
      </c>
      <c r="AD92">
        <v>1.1709897526442401</v>
      </c>
      <c r="AE92">
        <v>0.25804773750210003</v>
      </c>
      <c r="AF92" t="s">
        <v>575</v>
      </c>
      <c r="AG92">
        <v>3.77631668139954E-2</v>
      </c>
    </row>
    <row r="93" spans="1:33" x14ac:dyDescent="0.3">
      <c r="A93" t="s">
        <v>810</v>
      </c>
      <c r="B93">
        <v>426.29251947461802</v>
      </c>
      <c r="C93">
        <v>0.16096425468907</v>
      </c>
      <c r="D93">
        <v>31.359055612818299</v>
      </c>
      <c r="E93">
        <v>1.4012529097136699</v>
      </c>
      <c r="F93">
        <v>85.340064265890405</v>
      </c>
      <c r="G93">
        <v>1.3063423462702599</v>
      </c>
      <c r="H93" t="s">
        <v>575</v>
      </c>
      <c r="I93">
        <v>17.5175644332693</v>
      </c>
      <c r="J93">
        <v>8.6966673406339456E-2</v>
      </c>
      <c r="K93">
        <v>0.45354140876995702</v>
      </c>
      <c r="L93">
        <v>4.9006731010973397</v>
      </c>
      <c r="M93">
        <v>0.59349466973270204</v>
      </c>
      <c r="N93">
        <v>247.051528629872</v>
      </c>
      <c r="O93">
        <v>3.6376095977837699</v>
      </c>
      <c r="P93">
        <v>9.0109060658947193</v>
      </c>
      <c r="Q93">
        <v>0.53430163534099795</v>
      </c>
      <c r="R93" t="s">
        <v>575</v>
      </c>
      <c r="S93">
        <v>0.104806795527223</v>
      </c>
      <c r="T93" t="s">
        <v>575</v>
      </c>
      <c r="U93">
        <v>0.60204522941373595</v>
      </c>
      <c r="V93" t="s">
        <v>575</v>
      </c>
      <c r="W93">
        <v>0.27540754033653397</v>
      </c>
      <c r="X93">
        <v>5.2880334126468496</v>
      </c>
      <c r="Y93">
        <v>0.58433523942493204</v>
      </c>
      <c r="Z93" t="s">
        <v>575</v>
      </c>
      <c r="AA93">
        <v>0.16494428693176899</v>
      </c>
      <c r="AB93" t="s">
        <v>575</v>
      </c>
      <c r="AC93">
        <v>7.3108997362886396E-2</v>
      </c>
      <c r="AD93" t="s">
        <v>575</v>
      </c>
      <c r="AE93">
        <v>0.22710741699966699</v>
      </c>
      <c r="AF93" t="s">
        <v>575</v>
      </c>
      <c r="AG93">
        <v>4.6978309738205402E-2</v>
      </c>
    </row>
    <row r="94" spans="1:33" x14ac:dyDescent="0.3">
      <c r="A94" t="s">
        <v>732</v>
      </c>
      <c r="B94" t="s">
        <v>575</v>
      </c>
      <c r="C94">
        <v>8.4249787816273E-2</v>
      </c>
      <c r="D94" t="s">
        <v>575</v>
      </c>
      <c r="E94">
        <v>0.55642392416122399</v>
      </c>
      <c r="F94">
        <v>8.2840929444183793</v>
      </c>
      <c r="G94">
        <v>0.48088717938057401</v>
      </c>
      <c r="H94">
        <v>6.0040500214547299</v>
      </c>
      <c r="I94">
        <v>5.7031353174330901</v>
      </c>
      <c r="J94" t="s">
        <v>575</v>
      </c>
      <c r="K94">
        <v>0.19298406769443599</v>
      </c>
      <c r="L94">
        <v>1671.67037556284</v>
      </c>
      <c r="M94">
        <v>0.33197558755658102</v>
      </c>
      <c r="N94">
        <v>448.42876399474898</v>
      </c>
      <c r="O94">
        <v>1.68458089373382</v>
      </c>
      <c r="P94" t="s">
        <v>575</v>
      </c>
      <c r="Q94">
        <v>0.21661432313833101</v>
      </c>
      <c r="R94" t="s">
        <v>575</v>
      </c>
      <c r="S94">
        <v>5.7725603811507903E-2</v>
      </c>
      <c r="T94" t="s">
        <v>575</v>
      </c>
      <c r="U94">
        <v>0.32935461499605201</v>
      </c>
      <c r="V94" t="s">
        <v>575</v>
      </c>
      <c r="W94">
        <v>0.104228386348624</v>
      </c>
      <c r="X94" t="s">
        <v>575</v>
      </c>
      <c r="Y94">
        <v>0.35129486017596401</v>
      </c>
      <c r="Z94" t="s">
        <v>575</v>
      </c>
      <c r="AA94">
        <v>6.9813469220081595E-2</v>
      </c>
      <c r="AB94" t="s">
        <v>575</v>
      </c>
      <c r="AC94">
        <v>1.4085569997043501E-2</v>
      </c>
      <c r="AD94">
        <v>0.98815284246045898</v>
      </c>
      <c r="AE94">
        <v>0.15061520164730299</v>
      </c>
      <c r="AF94" t="s">
        <v>575</v>
      </c>
      <c r="AG94">
        <v>1.33609165278191E-2</v>
      </c>
    </row>
    <row r="95" spans="1:33" x14ac:dyDescent="0.3">
      <c r="A95" t="s">
        <v>733</v>
      </c>
      <c r="B95">
        <v>1.15486024114358</v>
      </c>
      <c r="C95">
        <v>9.0678976574388198E-2</v>
      </c>
      <c r="D95" t="s">
        <v>575</v>
      </c>
      <c r="E95">
        <v>0.74929369147997005</v>
      </c>
      <c r="F95">
        <v>1360.2841919583</v>
      </c>
      <c r="G95">
        <v>0.98394195056164602</v>
      </c>
      <c r="H95">
        <v>2307.74076798847</v>
      </c>
      <c r="I95">
        <v>9.93024815191351</v>
      </c>
      <c r="J95" t="s">
        <v>575</v>
      </c>
      <c r="K95">
        <v>0.22579397006110699</v>
      </c>
      <c r="L95">
        <v>1471.6403067912099</v>
      </c>
      <c r="M95">
        <v>0.38045558103142502</v>
      </c>
      <c r="N95">
        <v>484.78351105008801</v>
      </c>
      <c r="O95">
        <v>2.7121447159247301</v>
      </c>
      <c r="P95" t="s">
        <v>575</v>
      </c>
      <c r="Q95">
        <v>0.21112049104313499</v>
      </c>
      <c r="R95">
        <v>9.3463000283305302</v>
      </c>
      <c r="S95">
        <v>9.9961052806830805E-2</v>
      </c>
      <c r="T95">
        <v>14.134023912703899</v>
      </c>
      <c r="U95">
        <v>0.58738512643819296</v>
      </c>
      <c r="V95">
        <v>19.699847709998998</v>
      </c>
      <c r="W95">
        <v>0.146536045965631</v>
      </c>
      <c r="X95" t="s">
        <v>575</v>
      </c>
      <c r="Y95">
        <v>0.343007992349737</v>
      </c>
      <c r="Z95">
        <v>0.19652634139573</v>
      </c>
      <c r="AA95">
        <v>3.55253568033672E-2</v>
      </c>
      <c r="AB95" t="s">
        <v>575</v>
      </c>
      <c r="AC95">
        <v>2.1454911747571699E-2</v>
      </c>
      <c r="AD95">
        <v>275.03977608948202</v>
      </c>
      <c r="AE95">
        <v>0.113969688408564</v>
      </c>
      <c r="AF95">
        <v>4.2133245177521102E-2</v>
      </c>
      <c r="AG95">
        <v>2.6656176349775299E-2</v>
      </c>
    </row>
    <row r="96" spans="1:33" x14ac:dyDescent="0.3">
      <c r="A96" t="s">
        <v>734</v>
      </c>
      <c r="B96" t="s">
        <v>575</v>
      </c>
      <c r="C96">
        <v>0.124052387119549</v>
      </c>
      <c r="D96" t="s">
        <v>575</v>
      </c>
      <c r="E96">
        <v>0.76729327568490302</v>
      </c>
      <c r="F96">
        <v>1759.6696053068599</v>
      </c>
      <c r="G96">
        <v>0.654304169903412</v>
      </c>
      <c r="H96">
        <v>85800.011650892397</v>
      </c>
      <c r="I96">
        <v>9.4273388923790495</v>
      </c>
      <c r="J96">
        <v>0.69011618045981571</v>
      </c>
      <c r="K96">
        <v>0.19757152552156401</v>
      </c>
      <c r="L96">
        <v>980.56261867714204</v>
      </c>
      <c r="M96">
        <v>0.64441046493626497</v>
      </c>
      <c r="N96">
        <v>665.61350272052402</v>
      </c>
      <c r="O96">
        <v>2.34485842465803</v>
      </c>
      <c r="P96">
        <v>0.30629553220662697</v>
      </c>
      <c r="Q96">
        <v>0.22566985641477499</v>
      </c>
      <c r="R96">
        <v>9.0989628064265595</v>
      </c>
      <c r="S96">
        <v>8.3188921139765296E-2</v>
      </c>
      <c r="T96">
        <v>498.71084527710502</v>
      </c>
      <c r="U96">
        <v>0.613204005751953</v>
      </c>
      <c r="V96">
        <v>1.1575995198884299</v>
      </c>
      <c r="W96">
        <v>0.122619718892627</v>
      </c>
      <c r="X96" t="s">
        <v>575</v>
      </c>
      <c r="Y96">
        <v>0.65556759095655703</v>
      </c>
      <c r="Z96">
        <v>0.206746458240954</v>
      </c>
      <c r="AA96">
        <v>6.1216260386313302E-2</v>
      </c>
      <c r="AB96" t="s">
        <v>575</v>
      </c>
      <c r="AC96">
        <v>3.75150814796694E-2</v>
      </c>
      <c r="AD96">
        <v>105.183092871456</v>
      </c>
      <c r="AE96">
        <v>0.14067447901739399</v>
      </c>
      <c r="AF96" t="s">
        <v>575</v>
      </c>
      <c r="AG96">
        <v>2.9158466600047499E-2</v>
      </c>
    </row>
    <row r="97" spans="1:33" x14ac:dyDescent="0.3">
      <c r="A97" t="s">
        <v>735</v>
      </c>
      <c r="B97" t="s">
        <v>575</v>
      </c>
      <c r="C97">
        <v>9.3469392912632399E-2</v>
      </c>
      <c r="D97" t="s">
        <v>575</v>
      </c>
      <c r="E97">
        <v>0.70540404880914198</v>
      </c>
      <c r="F97">
        <v>61.5572760144589</v>
      </c>
      <c r="G97">
        <v>1.0387041836830799</v>
      </c>
      <c r="H97">
        <v>5034.9077816879399</v>
      </c>
      <c r="I97">
        <v>6.7333549092412497</v>
      </c>
      <c r="J97" t="s">
        <v>575</v>
      </c>
      <c r="K97">
        <v>0.251317262863895</v>
      </c>
      <c r="L97">
        <v>1360.5884688321401</v>
      </c>
      <c r="M97">
        <v>0.40421428063419901</v>
      </c>
      <c r="N97">
        <v>750.74247532220704</v>
      </c>
      <c r="O97">
        <v>2.5349791055478201</v>
      </c>
      <c r="P97" t="s">
        <v>575</v>
      </c>
      <c r="Q97">
        <v>0.44134228478228699</v>
      </c>
      <c r="R97">
        <v>1.8576945195427801</v>
      </c>
      <c r="S97">
        <v>0.163307891283588</v>
      </c>
      <c r="T97">
        <v>17.368439620126001</v>
      </c>
      <c r="U97">
        <v>0.20872640660390401</v>
      </c>
      <c r="V97">
        <v>0.36594152643863698</v>
      </c>
      <c r="W97">
        <v>0.18442952139466801</v>
      </c>
      <c r="X97">
        <v>0.58960158460186096</v>
      </c>
      <c r="Y97">
        <v>0.28905825064573398</v>
      </c>
      <c r="Z97" t="s">
        <v>575</v>
      </c>
      <c r="AA97">
        <v>8.9481325951891594E-2</v>
      </c>
      <c r="AB97" t="s">
        <v>575</v>
      </c>
      <c r="AC97">
        <v>2.1325134570572699E-2</v>
      </c>
      <c r="AD97">
        <v>15.116652073421999</v>
      </c>
      <c r="AE97">
        <v>0.14365067046607699</v>
      </c>
      <c r="AF97" t="s">
        <v>575</v>
      </c>
      <c r="AG97">
        <v>2.7528293399196799E-2</v>
      </c>
    </row>
    <row r="98" spans="1:33" x14ac:dyDescent="0.3">
      <c r="A98" t="s">
        <v>736</v>
      </c>
      <c r="B98" t="s">
        <v>575</v>
      </c>
      <c r="C98">
        <v>0.23628539637389001</v>
      </c>
      <c r="D98" t="s">
        <v>575</v>
      </c>
      <c r="E98">
        <v>1.19858390483243</v>
      </c>
      <c r="F98">
        <v>576.55046371149797</v>
      </c>
      <c r="G98">
        <v>0.98652835793923599</v>
      </c>
      <c r="H98">
        <v>4239.6671852673398</v>
      </c>
      <c r="I98">
        <v>13.000878237387701</v>
      </c>
      <c r="J98">
        <v>0.37463371935856049</v>
      </c>
      <c r="K98">
        <v>0.21348714397075599</v>
      </c>
      <c r="L98">
        <v>511.58617980308799</v>
      </c>
      <c r="M98">
        <v>0.31922564954514199</v>
      </c>
      <c r="N98">
        <v>640.95959253149999</v>
      </c>
      <c r="O98">
        <v>3.5607285124307801</v>
      </c>
      <c r="P98" t="s">
        <v>575</v>
      </c>
      <c r="Q98">
        <v>0.35934459715841699</v>
      </c>
      <c r="R98">
        <v>8.7294193779889202</v>
      </c>
      <c r="S98">
        <v>0.14905032222005801</v>
      </c>
      <c r="T98">
        <v>29.242161014255199</v>
      </c>
      <c r="U98">
        <v>0.59578323741198203</v>
      </c>
      <c r="V98">
        <v>1.8088780969810201</v>
      </c>
      <c r="W98">
        <v>0.16671827962852001</v>
      </c>
      <c r="X98" t="s">
        <v>575</v>
      </c>
      <c r="Y98">
        <v>0.75268855552635106</v>
      </c>
      <c r="Z98" t="s">
        <v>575</v>
      </c>
      <c r="AA98">
        <v>9.20049062273392E-2</v>
      </c>
      <c r="AB98" t="s">
        <v>575</v>
      </c>
      <c r="AC98">
        <v>4.7483961142157402E-2</v>
      </c>
      <c r="AD98">
        <v>82.119155719655694</v>
      </c>
      <c r="AE98">
        <v>0.19221588348021099</v>
      </c>
      <c r="AF98" t="s">
        <v>575</v>
      </c>
      <c r="AG98">
        <v>2.1064049393274099E-2</v>
      </c>
    </row>
    <row r="99" spans="1:33" x14ac:dyDescent="0.3">
      <c r="A99" t="s">
        <v>737</v>
      </c>
      <c r="B99" t="s">
        <v>575</v>
      </c>
      <c r="C99">
        <v>0.106223532562497</v>
      </c>
      <c r="D99" t="s">
        <v>575</v>
      </c>
      <c r="E99">
        <v>1.3402506320784999</v>
      </c>
      <c r="F99">
        <v>241.530653059765</v>
      </c>
      <c r="G99">
        <v>1.143193104748</v>
      </c>
      <c r="H99">
        <v>1206.1246727524101</v>
      </c>
      <c r="I99">
        <v>11.725549430954</v>
      </c>
      <c r="J99">
        <v>0.25956260042030888</v>
      </c>
      <c r="K99">
        <v>0.38296494739914899</v>
      </c>
      <c r="L99">
        <v>895.98368433053997</v>
      </c>
      <c r="M99">
        <v>0.37571362992553398</v>
      </c>
      <c r="N99">
        <v>663.018609789263</v>
      </c>
      <c r="O99">
        <v>3.1365904126233102</v>
      </c>
      <c r="P99" t="s">
        <v>575</v>
      </c>
      <c r="Q99">
        <v>0.42951270383834</v>
      </c>
      <c r="R99">
        <v>4.6955464591491003</v>
      </c>
      <c r="S99">
        <v>8.7043330011197795E-2</v>
      </c>
      <c r="T99">
        <v>5.4598313106392498</v>
      </c>
      <c r="U99">
        <v>0.63129476554472397</v>
      </c>
      <c r="V99">
        <v>0.96889483737510596</v>
      </c>
      <c r="W99">
        <v>0.22998258152544401</v>
      </c>
      <c r="X99" t="s">
        <v>575</v>
      </c>
      <c r="Y99">
        <v>0.62792146232815904</v>
      </c>
      <c r="Z99" t="s">
        <v>575</v>
      </c>
      <c r="AA99">
        <v>5.5833897559680198E-2</v>
      </c>
      <c r="AB99" t="s">
        <v>575</v>
      </c>
      <c r="AC99">
        <v>6.5046883316153006E-2</v>
      </c>
      <c r="AD99">
        <v>56.391621555387303</v>
      </c>
      <c r="AE99">
        <v>0.20282018175203401</v>
      </c>
      <c r="AF99" t="s">
        <v>575</v>
      </c>
      <c r="AG99">
        <v>2.4524874860509999E-2</v>
      </c>
    </row>
    <row r="100" spans="1:33" x14ac:dyDescent="0.3">
      <c r="A100" t="s">
        <v>738</v>
      </c>
      <c r="B100" t="s">
        <v>575</v>
      </c>
      <c r="C100">
        <v>0.120152187529753</v>
      </c>
      <c r="D100" t="s">
        <v>575</v>
      </c>
      <c r="E100">
        <v>0.98911600136373301</v>
      </c>
      <c r="F100">
        <v>467.39238687608503</v>
      </c>
      <c r="G100">
        <v>0.84018932613764596</v>
      </c>
      <c r="H100">
        <v>402.93442031626898</v>
      </c>
      <c r="I100">
        <v>7.0764479710594497</v>
      </c>
      <c r="J100">
        <v>0.13026639420131936</v>
      </c>
      <c r="K100">
        <v>0.26581052719763598</v>
      </c>
      <c r="L100">
        <v>3262.3143932193898</v>
      </c>
      <c r="M100">
        <v>0.43738354817052499</v>
      </c>
      <c r="N100">
        <v>1235.36759053938</v>
      </c>
      <c r="O100">
        <v>1.8196477958906501</v>
      </c>
      <c r="P100">
        <v>0.41343248477896499</v>
      </c>
      <c r="Q100">
        <v>0.30878140138107701</v>
      </c>
      <c r="R100">
        <v>6.15964501058889</v>
      </c>
      <c r="S100">
        <v>7.1989874538837401E-2</v>
      </c>
      <c r="T100">
        <v>1.22000982892316</v>
      </c>
      <c r="U100">
        <v>0.30204940067564501</v>
      </c>
      <c r="V100">
        <v>2.1957040603115598</v>
      </c>
      <c r="W100">
        <v>0.149218886374645</v>
      </c>
      <c r="X100">
        <v>4.0822157475769796</v>
      </c>
      <c r="Y100">
        <v>0.40225440336586799</v>
      </c>
      <c r="Z100">
        <v>0.28730503124928097</v>
      </c>
      <c r="AA100">
        <v>0.10830151104001801</v>
      </c>
      <c r="AB100" t="s">
        <v>575</v>
      </c>
      <c r="AC100">
        <v>6.7746387631769794E-2</v>
      </c>
      <c r="AD100">
        <v>82.192035056159597</v>
      </c>
      <c r="AE100">
        <v>0.15023670425032201</v>
      </c>
      <c r="AF100" t="s">
        <v>575</v>
      </c>
      <c r="AG100">
        <v>2.2251538000702901E-2</v>
      </c>
    </row>
    <row r="101" spans="1:33" x14ac:dyDescent="0.3">
      <c r="A101" t="s">
        <v>739</v>
      </c>
      <c r="B101" t="s">
        <v>575</v>
      </c>
      <c r="C101">
        <v>0.11752735237923601</v>
      </c>
      <c r="D101" t="s">
        <v>575</v>
      </c>
      <c r="E101">
        <v>0.61394783520220497</v>
      </c>
      <c r="F101">
        <v>545.85574844837197</v>
      </c>
      <c r="G101">
        <v>1.3356039498080501</v>
      </c>
      <c r="H101">
        <v>116565.517219348</v>
      </c>
      <c r="I101">
        <v>16.6917847962218</v>
      </c>
      <c r="J101">
        <v>0.76300188703613969</v>
      </c>
      <c r="K101">
        <v>0.246794567368333</v>
      </c>
      <c r="L101">
        <v>1338.10332231711</v>
      </c>
      <c r="M101">
        <v>0.59584859802175605</v>
      </c>
      <c r="N101">
        <v>1062.02825751349</v>
      </c>
      <c r="O101">
        <v>4.1986273464330797</v>
      </c>
      <c r="P101" t="s">
        <v>575</v>
      </c>
      <c r="Q101">
        <v>0.21546542545897901</v>
      </c>
      <c r="R101">
        <v>19.484120574641199</v>
      </c>
      <c r="S101">
        <v>0.102527986056706</v>
      </c>
      <c r="T101">
        <v>729.59205851663501</v>
      </c>
      <c r="U101">
        <v>0.67464455926080702</v>
      </c>
      <c r="V101">
        <v>6.11154279361243</v>
      </c>
      <c r="W101">
        <v>0.13512043523080999</v>
      </c>
      <c r="X101">
        <v>0.66278041107166796</v>
      </c>
      <c r="Y101">
        <v>0.39998266674627098</v>
      </c>
      <c r="Z101">
        <v>0.122155119580341</v>
      </c>
      <c r="AA101">
        <v>9.7183226448351298E-2</v>
      </c>
      <c r="AB101" t="s">
        <v>575</v>
      </c>
      <c r="AC101">
        <v>3.7303433975715498E-2</v>
      </c>
      <c r="AD101">
        <v>444.320435201294</v>
      </c>
      <c r="AE101">
        <v>0.15635769273421399</v>
      </c>
      <c r="AF101" t="s">
        <v>575</v>
      </c>
      <c r="AG101">
        <v>3.4179066767316101E-2</v>
      </c>
    </row>
    <row r="102" spans="1:33" x14ac:dyDescent="0.3">
      <c r="A102" t="s">
        <v>740</v>
      </c>
      <c r="B102">
        <v>1.2326541858711999</v>
      </c>
      <c r="C102">
        <v>9.8671534732403296E-2</v>
      </c>
      <c r="D102" t="s">
        <v>575</v>
      </c>
      <c r="E102">
        <v>1.0464147509094199</v>
      </c>
      <c r="F102">
        <v>614.27388852796105</v>
      </c>
      <c r="G102">
        <v>0.77021498456416904</v>
      </c>
      <c r="H102">
        <v>3373.2874247766799</v>
      </c>
      <c r="I102">
        <v>11.169744307930801</v>
      </c>
      <c r="J102">
        <v>1.6367305058876003</v>
      </c>
      <c r="K102">
        <v>0.21612495707523199</v>
      </c>
      <c r="L102">
        <v>3615.9426180811001</v>
      </c>
      <c r="M102">
        <v>0.452330589307398</v>
      </c>
      <c r="N102">
        <v>1097.1625354779101</v>
      </c>
      <c r="O102">
        <v>2.7711150587288498</v>
      </c>
      <c r="P102">
        <v>1.0103107460331899</v>
      </c>
      <c r="Q102">
        <v>0.26022675571567</v>
      </c>
      <c r="R102">
        <v>13.662397747728599</v>
      </c>
      <c r="S102">
        <v>0.136676542330468</v>
      </c>
      <c r="T102">
        <v>5.6884453725161697</v>
      </c>
      <c r="U102">
        <v>0.62334899336484295</v>
      </c>
      <c r="V102">
        <v>24.3614893300449</v>
      </c>
      <c r="W102">
        <v>0.208443908311916</v>
      </c>
      <c r="X102" t="s">
        <v>575</v>
      </c>
      <c r="Y102">
        <v>0.763627945513491</v>
      </c>
      <c r="Z102">
        <v>0.28065681593913799</v>
      </c>
      <c r="AA102">
        <v>0.12573003094549601</v>
      </c>
      <c r="AB102">
        <v>6.6280538547151394E-2</v>
      </c>
      <c r="AC102">
        <v>5.0584091911949298E-2</v>
      </c>
      <c r="AD102">
        <v>1452.8946234385401</v>
      </c>
      <c r="AE102">
        <v>0.15540681353873601</v>
      </c>
      <c r="AF102" t="s">
        <v>575</v>
      </c>
      <c r="AG102">
        <v>3.2167544229045997E-2</v>
      </c>
    </row>
    <row r="103" spans="1:33" x14ac:dyDescent="0.3">
      <c r="A103" t="s">
        <v>741</v>
      </c>
      <c r="B103" t="s">
        <v>575</v>
      </c>
      <c r="C103">
        <v>0.223135723883673</v>
      </c>
      <c r="D103" t="s">
        <v>575</v>
      </c>
      <c r="E103">
        <v>1.49871812690983</v>
      </c>
      <c r="F103">
        <v>138.09884105349499</v>
      </c>
      <c r="G103">
        <v>0.82566139996630405</v>
      </c>
      <c r="H103">
        <v>518.99964755567601</v>
      </c>
      <c r="I103">
        <v>13.2916408389941</v>
      </c>
      <c r="J103" t="s">
        <v>575</v>
      </c>
      <c r="K103">
        <v>0.36233855883070998</v>
      </c>
      <c r="L103">
        <v>429.345831364064</v>
      </c>
      <c r="M103">
        <v>0.48026357118064</v>
      </c>
      <c r="N103">
        <v>578.86524680009097</v>
      </c>
      <c r="O103">
        <v>3.4046737150849302</v>
      </c>
      <c r="P103" t="s">
        <v>575</v>
      </c>
      <c r="Q103">
        <v>0.28981099492276002</v>
      </c>
      <c r="R103">
        <v>4.0136135345973196</v>
      </c>
      <c r="S103">
        <v>4.2765994571649299E-2</v>
      </c>
      <c r="T103">
        <v>4.2080658423482804</v>
      </c>
      <c r="U103">
        <v>0.60611046624980902</v>
      </c>
      <c r="V103">
        <v>0.63227297820617501</v>
      </c>
      <c r="W103">
        <v>0.182732131751178</v>
      </c>
      <c r="X103" t="s">
        <v>575</v>
      </c>
      <c r="Y103">
        <v>0.60121783834203701</v>
      </c>
      <c r="Z103" t="s">
        <v>575</v>
      </c>
      <c r="AA103">
        <v>7.8506835059723806E-2</v>
      </c>
      <c r="AB103" t="s">
        <v>575</v>
      </c>
      <c r="AC103">
        <v>4.3562153152626799E-2</v>
      </c>
      <c r="AD103">
        <v>33.447722803708501</v>
      </c>
      <c r="AE103">
        <v>0.19567105367455401</v>
      </c>
      <c r="AF103" t="s">
        <v>575</v>
      </c>
      <c r="AG103">
        <v>3.7471938424620703E-2</v>
      </c>
    </row>
    <row r="104" spans="1:33" x14ac:dyDescent="0.3">
      <c r="A104" t="s">
        <v>742</v>
      </c>
      <c r="B104" t="s">
        <v>575</v>
      </c>
      <c r="C104">
        <v>0.16350170919010901</v>
      </c>
      <c r="D104" t="s">
        <v>575</v>
      </c>
      <c r="E104">
        <v>1.0927713205343399</v>
      </c>
      <c r="F104">
        <v>539.891847745929</v>
      </c>
      <c r="G104">
        <v>1.1730508143337199</v>
      </c>
      <c r="H104">
        <v>1227.9064556068399</v>
      </c>
      <c r="I104">
        <v>11.170035278009999</v>
      </c>
      <c r="J104">
        <v>2.1146535520795648</v>
      </c>
      <c r="K104">
        <v>0.17824779182787701</v>
      </c>
      <c r="L104">
        <v>1913.87136847485</v>
      </c>
      <c r="M104">
        <v>0.71875773244340901</v>
      </c>
      <c r="N104">
        <v>1218.0931338642399</v>
      </c>
      <c r="O104">
        <v>3.3798723119825702</v>
      </c>
      <c r="P104" t="s">
        <v>575</v>
      </c>
      <c r="Q104">
        <v>0.59607124108660903</v>
      </c>
      <c r="R104">
        <v>12.1535950793442</v>
      </c>
      <c r="S104">
        <v>0.15405354905694099</v>
      </c>
      <c r="T104">
        <v>7.6602247822291796</v>
      </c>
      <c r="U104">
        <v>0.46829040398018101</v>
      </c>
      <c r="V104">
        <v>1.1042144691001201</v>
      </c>
      <c r="W104">
        <v>0.16792383870195501</v>
      </c>
      <c r="X104">
        <v>1.9132853793178299</v>
      </c>
      <c r="Y104">
        <v>0.66855215939372503</v>
      </c>
      <c r="Z104" t="s">
        <v>575</v>
      </c>
      <c r="AA104">
        <v>0.102871530597826</v>
      </c>
      <c r="AB104" t="s">
        <v>575</v>
      </c>
      <c r="AC104">
        <v>3.80895676134494E-2</v>
      </c>
      <c r="AD104">
        <v>85.934394085917305</v>
      </c>
      <c r="AE104">
        <v>0.217265857856863</v>
      </c>
      <c r="AF104">
        <v>3.0946737031340502E-2</v>
      </c>
      <c r="AG104">
        <v>1.9214980847408199E-2</v>
      </c>
    </row>
    <row r="105" spans="1:33" x14ac:dyDescent="0.3">
      <c r="A105" t="s">
        <v>743</v>
      </c>
      <c r="B105">
        <v>0.27959622731433498</v>
      </c>
      <c r="C105">
        <v>0.104461704682629</v>
      </c>
      <c r="D105">
        <v>2.9951530117974001</v>
      </c>
      <c r="E105">
        <v>0.95128542993999599</v>
      </c>
      <c r="F105">
        <v>1538.6133494363501</v>
      </c>
      <c r="G105">
        <v>0.648716906101936</v>
      </c>
      <c r="H105">
        <v>15800.633123994599</v>
      </c>
      <c r="I105">
        <v>7.6850137304552897</v>
      </c>
      <c r="J105" t="s">
        <v>575</v>
      </c>
      <c r="K105">
        <v>0.25735701941836597</v>
      </c>
      <c r="L105">
        <v>230.49479866300899</v>
      </c>
      <c r="M105">
        <v>0.30169275991443401</v>
      </c>
      <c r="N105">
        <v>488.836409027228</v>
      </c>
      <c r="O105">
        <v>2.13869192495789</v>
      </c>
      <c r="P105" t="s">
        <v>575</v>
      </c>
      <c r="Q105">
        <v>0.18866037340693201</v>
      </c>
      <c r="R105">
        <v>11.158715444558</v>
      </c>
      <c r="S105">
        <v>0.115901351334285</v>
      </c>
      <c r="T105">
        <v>68.4974952919966</v>
      </c>
      <c r="U105">
        <v>0.36202534837403899</v>
      </c>
      <c r="V105">
        <v>9.0392325915394807</v>
      </c>
      <c r="W105">
        <v>6.5163467859063795E-2</v>
      </c>
      <c r="X105" t="s">
        <v>575</v>
      </c>
      <c r="Y105">
        <v>0.40315049485193599</v>
      </c>
      <c r="Z105" t="s">
        <v>575</v>
      </c>
      <c r="AA105">
        <v>9.0612455975618497E-2</v>
      </c>
      <c r="AB105">
        <v>2.1342521284156299E-2</v>
      </c>
      <c r="AC105">
        <v>1.57997081773587E-2</v>
      </c>
      <c r="AD105">
        <v>222.57145195790201</v>
      </c>
      <c r="AE105">
        <v>0.15412419367201799</v>
      </c>
      <c r="AF105">
        <v>6.8730935302409799E-2</v>
      </c>
      <c r="AG105">
        <v>1.66809669265401E-2</v>
      </c>
    </row>
    <row r="106" spans="1:33" x14ac:dyDescent="0.3">
      <c r="A106" t="s">
        <v>744</v>
      </c>
      <c r="B106" t="s">
        <v>575</v>
      </c>
      <c r="C106">
        <v>0.104917419348454</v>
      </c>
      <c r="D106" t="s">
        <v>575</v>
      </c>
      <c r="E106">
        <v>1.0413152432578801</v>
      </c>
      <c r="F106">
        <v>112.138964612823</v>
      </c>
      <c r="G106">
        <v>0.66103458003488602</v>
      </c>
      <c r="H106">
        <v>1182.72664486903</v>
      </c>
      <c r="I106">
        <v>8.1583361095920708</v>
      </c>
      <c r="J106">
        <v>4.7198405357118389E-2</v>
      </c>
      <c r="K106">
        <v>0.22469079494541899</v>
      </c>
      <c r="L106">
        <v>1414.8995435588399</v>
      </c>
      <c r="M106">
        <v>0.39283341165004598</v>
      </c>
      <c r="N106">
        <v>732.17364376746195</v>
      </c>
      <c r="O106">
        <v>3.0167244805110101</v>
      </c>
      <c r="P106">
        <v>0.33411190048627398</v>
      </c>
      <c r="Q106">
        <v>0.29869906068455998</v>
      </c>
      <c r="R106">
        <v>7.2188228658540403</v>
      </c>
      <c r="S106">
        <v>9.9794583394223493E-2</v>
      </c>
      <c r="T106">
        <v>7.8275568680957299</v>
      </c>
      <c r="U106">
        <v>0.43362219889209502</v>
      </c>
      <c r="V106">
        <v>2.53074538027471</v>
      </c>
      <c r="W106">
        <v>0.103118382256169</v>
      </c>
      <c r="X106">
        <v>0.67737806036123305</v>
      </c>
      <c r="Y106">
        <v>0.60749113222943096</v>
      </c>
      <c r="Z106" t="s">
        <v>575</v>
      </c>
      <c r="AA106">
        <v>6.25228015242274E-2</v>
      </c>
      <c r="AB106" t="s">
        <v>575</v>
      </c>
      <c r="AC106">
        <v>2.8773449032286801E-2</v>
      </c>
      <c r="AD106">
        <v>147.67070296602901</v>
      </c>
      <c r="AE106">
        <v>0.13016905779090199</v>
      </c>
      <c r="AF106" t="s">
        <v>575</v>
      </c>
      <c r="AG106">
        <v>2.2436367315451199E-2</v>
      </c>
    </row>
    <row r="107" spans="1:33" x14ac:dyDescent="0.3">
      <c r="A107" t="s">
        <v>745</v>
      </c>
      <c r="B107">
        <v>0.49225538618453002</v>
      </c>
      <c r="C107">
        <v>8.4023508482026305E-2</v>
      </c>
      <c r="D107" t="s">
        <v>575</v>
      </c>
      <c r="E107">
        <v>1.0754059141918599</v>
      </c>
      <c r="F107">
        <v>3133.4821074595002</v>
      </c>
      <c r="G107">
        <v>0.841371343765971</v>
      </c>
      <c r="H107">
        <v>2217.5188488834301</v>
      </c>
      <c r="I107">
        <v>12.9299570419345</v>
      </c>
      <c r="J107">
        <v>5.536891239084361</v>
      </c>
      <c r="K107">
        <v>0.332468303456874</v>
      </c>
      <c r="L107">
        <v>3668.4777107345599</v>
      </c>
      <c r="M107">
        <v>0.51333598768353095</v>
      </c>
      <c r="N107">
        <v>697.57472593118405</v>
      </c>
      <c r="O107">
        <v>2.0897546505496298</v>
      </c>
      <c r="P107" t="s">
        <v>575</v>
      </c>
      <c r="Q107">
        <v>0.358864639008662</v>
      </c>
      <c r="R107">
        <v>48.734977797181799</v>
      </c>
      <c r="S107">
        <v>6.3657013617765296E-2</v>
      </c>
      <c r="T107">
        <v>7.9155455051986001</v>
      </c>
      <c r="U107">
        <v>0.60155245466376694</v>
      </c>
      <c r="V107">
        <v>32.9214305841761</v>
      </c>
      <c r="W107">
        <v>0.13297937963807999</v>
      </c>
      <c r="X107">
        <v>0.75220582512523704</v>
      </c>
      <c r="Y107">
        <v>0.35525959847633898</v>
      </c>
      <c r="Z107">
        <v>64.451720833939007</v>
      </c>
      <c r="AA107">
        <v>6.4685638015550301E-2</v>
      </c>
      <c r="AB107">
        <v>0.12233905274979701</v>
      </c>
      <c r="AC107">
        <v>3.4901619665281901E-2</v>
      </c>
      <c r="AD107">
        <v>801.62334869425501</v>
      </c>
      <c r="AE107">
        <v>0.16013738027624599</v>
      </c>
      <c r="AF107" t="s">
        <v>575</v>
      </c>
      <c r="AG107">
        <v>1.4784412702143101E-2</v>
      </c>
    </row>
    <row r="108" spans="1:33" x14ac:dyDescent="0.3">
      <c r="A108" t="s">
        <v>746</v>
      </c>
      <c r="B108">
        <v>72.904482176302196</v>
      </c>
      <c r="C108">
        <v>0.11607427754201</v>
      </c>
      <c r="D108">
        <v>8.9762860063048606</v>
      </c>
      <c r="E108">
        <v>1.13403448179096</v>
      </c>
      <c r="F108">
        <v>8893.2285028816696</v>
      </c>
      <c r="G108">
        <v>1.2313566429917</v>
      </c>
      <c r="H108">
        <v>16.946151103861901</v>
      </c>
      <c r="I108">
        <v>9.0980229149721801</v>
      </c>
      <c r="J108">
        <v>0.23256963145493634</v>
      </c>
      <c r="K108">
        <v>0.22968019534769599</v>
      </c>
      <c r="L108">
        <v>108.868949842671</v>
      </c>
      <c r="M108">
        <v>0.52323846862572798</v>
      </c>
      <c r="N108">
        <v>22.177252015918501</v>
      </c>
      <c r="O108">
        <v>3.5182672141209599</v>
      </c>
      <c r="P108">
        <v>7.7676649306365304</v>
      </c>
      <c r="Q108">
        <v>0.41657485692712398</v>
      </c>
      <c r="R108">
        <v>0.21144639312612701</v>
      </c>
      <c r="S108">
        <v>9.8845357575784304E-2</v>
      </c>
      <c r="T108" t="s">
        <v>575</v>
      </c>
      <c r="U108">
        <v>0.47296201986723002</v>
      </c>
      <c r="V108">
        <v>0.43820173509210097</v>
      </c>
      <c r="W108">
        <v>0.118864763490432</v>
      </c>
      <c r="X108">
        <v>0.990938013178984</v>
      </c>
      <c r="Y108">
        <v>0.87648452154980006</v>
      </c>
      <c r="Z108">
        <v>0.21790690800541099</v>
      </c>
      <c r="AA108">
        <v>6.2834827904537302E-2</v>
      </c>
      <c r="AB108">
        <v>7.3439608977658305E-2</v>
      </c>
      <c r="AC108">
        <v>5.7943645149271202E-2</v>
      </c>
      <c r="AD108">
        <v>9.1288147472863699</v>
      </c>
      <c r="AE108">
        <v>0.20404353320833099</v>
      </c>
      <c r="AF108">
        <v>0.100608321444037</v>
      </c>
      <c r="AG108">
        <v>3.0942356173206901E-2</v>
      </c>
    </row>
    <row r="109" spans="1:33" x14ac:dyDescent="0.3">
      <c r="A109" t="s">
        <v>747</v>
      </c>
      <c r="B109">
        <v>379.03589329010902</v>
      </c>
      <c r="C109">
        <v>0.18995711374566901</v>
      </c>
      <c r="D109">
        <v>45.025448481382099</v>
      </c>
      <c r="E109">
        <v>1.0957584400945299</v>
      </c>
      <c r="F109">
        <v>1667.32408135487</v>
      </c>
      <c r="G109">
        <v>1.4272780787981001</v>
      </c>
      <c r="H109" t="s">
        <v>575</v>
      </c>
      <c r="I109">
        <v>13.249488742111501</v>
      </c>
      <c r="J109" t="s">
        <v>801</v>
      </c>
      <c r="K109">
        <v>0.40935703562604198</v>
      </c>
      <c r="L109">
        <v>22.6500262373048</v>
      </c>
      <c r="M109">
        <v>0.40705147651463502</v>
      </c>
      <c r="N109">
        <v>5.3358979972914504</v>
      </c>
      <c r="O109">
        <v>4.09798239855487</v>
      </c>
      <c r="P109">
        <v>31.778628560636498</v>
      </c>
      <c r="Q109">
        <v>0.18957118442020399</v>
      </c>
      <c r="R109">
        <v>0.395671657458042</v>
      </c>
      <c r="S109">
        <v>0.158376065086554</v>
      </c>
      <c r="T109" t="s">
        <v>575</v>
      </c>
      <c r="U109">
        <v>0.62648104492600898</v>
      </c>
      <c r="V109">
        <v>0.736745296528038</v>
      </c>
      <c r="W109">
        <v>0.22381326990115499</v>
      </c>
      <c r="X109">
        <v>4.8376019805492403</v>
      </c>
      <c r="Y109">
        <v>0.91029085103518703</v>
      </c>
      <c r="Z109">
        <v>0.47275919088448998</v>
      </c>
      <c r="AA109">
        <v>0.27411550800572398</v>
      </c>
      <c r="AB109">
        <v>0.58410456942501898</v>
      </c>
      <c r="AC109">
        <v>4.5593370147927498E-2</v>
      </c>
      <c r="AD109">
        <v>30.592463109447898</v>
      </c>
      <c r="AE109">
        <v>0.17617729698464701</v>
      </c>
      <c r="AF109">
        <v>0.45239116247727701</v>
      </c>
      <c r="AG109">
        <v>3.1671178681602102E-2</v>
      </c>
    </row>
    <row r="110" spans="1:33" x14ac:dyDescent="0.3">
      <c r="A110" t="s">
        <v>748</v>
      </c>
      <c r="B110" t="s">
        <v>575</v>
      </c>
      <c r="C110">
        <v>0.26186241816081002</v>
      </c>
      <c r="D110" t="s">
        <v>575</v>
      </c>
      <c r="E110">
        <v>1.50695703148148</v>
      </c>
      <c r="F110" t="s">
        <v>575</v>
      </c>
      <c r="G110">
        <v>1.44374537275556</v>
      </c>
      <c r="H110" t="s">
        <v>575</v>
      </c>
      <c r="I110">
        <v>13.630979255584499</v>
      </c>
      <c r="J110" t="s">
        <v>802</v>
      </c>
      <c r="K110">
        <v>0.529979729654803</v>
      </c>
      <c r="L110" t="s">
        <v>575</v>
      </c>
      <c r="M110">
        <v>0.75008371727118806</v>
      </c>
      <c r="N110" t="s">
        <v>575</v>
      </c>
      <c r="O110">
        <v>3.4753075320167199</v>
      </c>
      <c r="P110" t="s">
        <v>575</v>
      </c>
      <c r="Q110">
        <v>0.70742875287418105</v>
      </c>
      <c r="R110">
        <v>14.574486659067199</v>
      </c>
      <c r="S110">
        <v>0.14584739321179299</v>
      </c>
      <c r="T110" t="s">
        <v>575</v>
      </c>
      <c r="U110">
        <v>0.60036189664375805</v>
      </c>
      <c r="V110" t="s">
        <v>575</v>
      </c>
      <c r="W110">
        <v>0.220779149690527</v>
      </c>
      <c r="X110" t="s">
        <v>575</v>
      </c>
      <c r="Y110">
        <v>0.48078355232499298</v>
      </c>
      <c r="Z110" t="s">
        <v>575</v>
      </c>
      <c r="AA110">
        <v>9.6241765171378904E-2</v>
      </c>
      <c r="AB110">
        <v>4.5262019979894603</v>
      </c>
      <c r="AC110">
        <v>5.2878237854393703E-2</v>
      </c>
      <c r="AD110" t="s">
        <v>575</v>
      </c>
      <c r="AE110">
        <v>0.20443379551608501</v>
      </c>
      <c r="AF110" t="s">
        <v>575</v>
      </c>
      <c r="AG110">
        <v>2.2848355138075399E-2</v>
      </c>
    </row>
    <row r="111" spans="1:33" x14ac:dyDescent="0.3">
      <c r="A111" t="s">
        <v>749</v>
      </c>
      <c r="B111">
        <v>92.173394426189205</v>
      </c>
      <c r="C111">
        <v>0.16322179336807999</v>
      </c>
      <c r="D111">
        <v>2.5505648422742699</v>
      </c>
      <c r="E111">
        <v>1.53858265212983</v>
      </c>
      <c r="F111">
        <v>174.994929005241</v>
      </c>
      <c r="G111">
        <v>1.4790901298039301</v>
      </c>
      <c r="H111" t="s">
        <v>575</v>
      </c>
      <c r="I111">
        <v>13.5171534260234</v>
      </c>
      <c r="J111" t="s">
        <v>803</v>
      </c>
      <c r="K111">
        <v>0.468872350393501</v>
      </c>
      <c r="L111">
        <v>28.192283105080001</v>
      </c>
      <c r="M111">
        <v>0.69186060309573505</v>
      </c>
      <c r="N111" t="s">
        <v>575</v>
      </c>
      <c r="O111">
        <v>3.8719712411501401</v>
      </c>
      <c r="P111">
        <v>3.4473410869930801</v>
      </c>
      <c r="Q111">
        <v>0.45566887911280901</v>
      </c>
      <c r="R111" t="s">
        <v>575</v>
      </c>
      <c r="S111">
        <v>0.16620872008451201</v>
      </c>
      <c r="T111" t="s">
        <v>575</v>
      </c>
      <c r="U111">
        <v>0.97599136219251503</v>
      </c>
      <c r="V111">
        <v>0.256920872647176</v>
      </c>
      <c r="W111">
        <v>0.198537897660616</v>
      </c>
      <c r="X111" t="s">
        <v>575</v>
      </c>
      <c r="Y111">
        <v>0.78492230170953603</v>
      </c>
      <c r="Z111" t="s">
        <v>575</v>
      </c>
      <c r="AA111">
        <v>0.146301964314971</v>
      </c>
      <c r="AB111" t="s">
        <v>575</v>
      </c>
      <c r="AC111">
        <v>5.6860068381162601E-2</v>
      </c>
      <c r="AD111">
        <v>5.9783798919782098</v>
      </c>
      <c r="AE111">
        <v>0.27743788209686399</v>
      </c>
      <c r="AF111" t="s">
        <v>575</v>
      </c>
      <c r="AG111">
        <v>4.88923769149852E-2</v>
      </c>
    </row>
    <row r="112" spans="1:33" x14ac:dyDescent="0.3">
      <c r="A112" t="s">
        <v>750</v>
      </c>
      <c r="B112">
        <v>184.43945250041401</v>
      </c>
      <c r="C112">
        <v>0.27610452642294597</v>
      </c>
      <c r="D112">
        <v>15.708548081643899</v>
      </c>
      <c r="E112">
        <v>1.74383368575036</v>
      </c>
      <c r="F112">
        <v>792.06462481693404</v>
      </c>
      <c r="G112">
        <v>1.5027045346980601</v>
      </c>
      <c r="H112">
        <v>19.3010885040269</v>
      </c>
      <c r="I112">
        <v>15.4602015364802</v>
      </c>
      <c r="J112" t="s">
        <v>804</v>
      </c>
      <c r="K112">
        <v>0.46268058048946997</v>
      </c>
      <c r="L112">
        <v>44.846997603661499</v>
      </c>
      <c r="M112">
        <v>0.91811886697153</v>
      </c>
      <c r="N112" t="s">
        <v>575</v>
      </c>
      <c r="O112">
        <v>6.3014427744434602</v>
      </c>
      <c r="P112">
        <v>15.336466627796501</v>
      </c>
      <c r="Q112">
        <v>0.57944678651627801</v>
      </c>
      <c r="R112">
        <v>0.45910483802387198</v>
      </c>
      <c r="S112">
        <v>7.2567964997178797E-2</v>
      </c>
      <c r="T112" t="s">
        <v>575</v>
      </c>
      <c r="U112">
        <v>0.58490217737622896</v>
      </c>
      <c r="V112">
        <v>0.65553312485161397</v>
      </c>
      <c r="W112">
        <v>0.42791384904496998</v>
      </c>
      <c r="X112">
        <v>1.3808584599757501</v>
      </c>
      <c r="Y112">
        <v>1.0220383279769401</v>
      </c>
      <c r="Z112" t="s">
        <v>575</v>
      </c>
      <c r="AA112">
        <v>0.26221346406237001</v>
      </c>
      <c r="AB112">
        <v>0.36325616981437098</v>
      </c>
      <c r="AC112">
        <v>7.2484963271667299E-2</v>
      </c>
      <c r="AD112">
        <v>24.389802935921999</v>
      </c>
      <c r="AE112">
        <v>0.33657199546247102</v>
      </c>
      <c r="AF112">
        <v>9.8780196760531097E-2</v>
      </c>
      <c r="AG112">
        <v>3.0044460079530801E-2</v>
      </c>
    </row>
    <row r="113" spans="1:33" x14ac:dyDescent="0.3">
      <c r="A113" t="s">
        <v>751</v>
      </c>
      <c r="B113">
        <v>1809.3061929127</v>
      </c>
      <c r="C113">
        <v>0.33679237502463999</v>
      </c>
      <c r="D113">
        <v>221.768608694714</v>
      </c>
      <c r="E113">
        <v>2.12882096310517</v>
      </c>
      <c r="F113">
        <v>7265.5747675503599</v>
      </c>
      <c r="G113">
        <v>1.8386543986786099</v>
      </c>
      <c r="H113">
        <v>94.996351357930493</v>
      </c>
      <c r="I113">
        <v>18.8602552675844</v>
      </c>
      <c r="J113">
        <v>0.35979734098479105</v>
      </c>
      <c r="K113">
        <v>0.56529498699514702</v>
      </c>
      <c r="L113">
        <v>19.5852756948204</v>
      </c>
      <c r="M113">
        <v>1.11989747909612</v>
      </c>
      <c r="N113">
        <v>31.5559209017546</v>
      </c>
      <c r="O113">
        <v>7.6733456017667603</v>
      </c>
      <c r="P113">
        <v>32.023068340456099</v>
      </c>
      <c r="Q113">
        <v>0.70595058316261206</v>
      </c>
      <c r="R113">
        <v>1.0756958835233601</v>
      </c>
      <c r="S113">
        <v>8.8932489047589505E-2</v>
      </c>
      <c r="T113">
        <v>1.37091742360186</v>
      </c>
      <c r="U113">
        <v>0.71340450627625496</v>
      </c>
      <c r="V113" t="s">
        <v>575</v>
      </c>
      <c r="W113">
        <v>0.52096335834555896</v>
      </c>
      <c r="X113">
        <v>4.5102371896799802</v>
      </c>
      <c r="Y113">
        <v>1.25096368278683</v>
      </c>
      <c r="Z113">
        <v>0.69154175768612403</v>
      </c>
      <c r="AA113">
        <v>0.319298998639237</v>
      </c>
      <c r="AB113">
        <v>1.39902776964945</v>
      </c>
      <c r="AC113">
        <v>8.8745623160240497E-2</v>
      </c>
      <c r="AD113">
        <v>68.635305561716706</v>
      </c>
      <c r="AE113">
        <v>0.41250582253735901</v>
      </c>
      <c r="AF113">
        <v>1.1330956158565599</v>
      </c>
      <c r="AG113">
        <v>3.6767020986744302E-2</v>
      </c>
    </row>
    <row r="114" spans="1:33" x14ac:dyDescent="0.3">
      <c r="A114" t="s">
        <v>752</v>
      </c>
      <c r="B114">
        <v>40.484453929596</v>
      </c>
      <c r="C114">
        <v>0.20415929931826601</v>
      </c>
      <c r="D114">
        <v>3.6447085204108101</v>
      </c>
      <c r="E114">
        <v>1.7892597974812099</v>
      </c>
      <c r="F114">
        <v>1534.82347616786</v>
      </c>
      <c r="G114">
        <v>1.5566773663757401</v>
      </c>
      <c r="H114" t="s">
        <v>575</v>
      </c>
      <c r="I114">
        <v>14.8144201276295</v>
      </c>
      <c r="J114" t="s">
        <v>805</v>
      </c>
      <c r="K114">
        <v>0.32122836397256199</v>
      </c>
      <c r="L114">
        <v>61.431104351956499</v>
      </c>
      <c r="M114">
        <v>0.73849488195064505</v>
      </c>
      <c r="N114" t="s">
        <v>575</v>
      </c>
      <c r="O114">
        <v>3.9029263226871098</v>
      </c>
      <c r="P114">
        <v>10.333906789119</v>
      </c>
      <c r="Q114">
        <v>0.51586479630736404</v>
      </c>
      <c r="R114" t="s">
        <v>575</v>
      </c>
      <c r="S114">
        <v>0.20353552393483099</v>
      </c>
      <c r="T114" t="s">
        <v>575</v>
      </c>
      <c r="U114">
        <v>1.0219787173823001</v>
      </c>
      <c r="V114" t="s">
        <v>575</v>
      </c>
      <c r="W114">
        <v>0.23759592511848501</v>
      </c>
      <c r="X114" t="s">
        <v>575</v>
      </c>
      <c r="Y114">
        <v>1.1201834330960201</v>
      </c>
      <c r="Z114" t="s">
        <v>575</v>
      </c>
      <c r="AA114">
        <v>0.12290001494014501</v>
      </c>
      <c r="AB114" t="s">
        <v>575</v>
      </c>
      <c r="AC114">
        <v>4.7181116383575E-2</v>
      </c>
      <c r="AD114">
        <v>4.9653702664932</v>
      </c>
      <c r="AE114">
        <v>0.29377593840209898</v>
      </c>
      <c r="AF114" t="s">
        <v>575</v>
      </c>
      <c r="AG114">
        <v>3.1713280085162297E-2</v>
      </c>
    </row>
    <row r="115" spans="1:33" x14ac:dyDescent="0.3">
      <c r="A115" t="s">
        <v>753</v>
      </c>
      <c r="B115" t="s">
        <v>575</v>
      </c>
      <c r="C115">
        <v>0.18986560999169499</v>
      </c>
      <c r="D115" t="s">
        <v>575</v>
      </c>
      <c r="E115">
        <v>1.1628015248060599</v>
      </c>
      <c r="F115">
        <v>19.617855459772802</v>
      </c>
      <c r="G115">
        <v>1.2012447509790101</v>
      </c>
      <c r="H115">
        <v>18.4067841674775</v>
      </c>
      <c r="I115">
        <v>13.193362239322299</v>
      </c>
      <c r="J115">
        <v>0.46173160275468161</v>
      </c>
      <c r="K115">
        <v>0.24797009510088699</v>
      </c>
      <c r="L115">
        <v>3500.6891885616601</v>
      </c>
      <c r="M115">
        <v>0.78434366936269195</v>
      </c>
      <c r="N115" t="s">
        <v>575</v>
      </c>
      <c r="O115">
        <v>3.26096854497619</v>
      </c>
      <c r="P115">
        <v>1.1739302470769899</v>
      </c>
      <c r="Q115">
        <v>0.40332071297900901</v>
      </c>
      <c r="R115">
        <v>0.24617154213932399</v>
      </c>
      <c r="S115">
        <v>0.17730683201883901</v>
      </c>
      <c r="T115" t="s">
        <v>575</v>
      </c>
      <c r="U115">
        <v>0.85811874336875704</v>
      </c>
      <c r="V115">
        <v>15.519980947095499</v>
      </c>
      <c r="W115">
        <v>0.19743011612786401</v>
      </c>
      <c r="X115">
        <v>1.98459321941112</v>
      </c>
      <c r="Y115">
        <v>1.23834521777485</v>
      </c>
      <c r="Z115">
        <v>2.3393824805956802</v>
      </c>
      <c r="AA115">
        <v>8.1194407303602098E-2</v>
      </c>
      <c r="AB115">
        <v>5.44391895354563</v>
      </c>
      <c r="AC115">
        <v>6.1635042831020399E-2</v>
      </c>
      <c r="AD115">
        <v>344.94324961980999</v>
      </c>
      <c r="AE115">
        <v>0.29641191959220797</v>
      </c>
      <c r="AF115">
        <v>0.199918218391093</v>
      </c>
      <c r="AG115">
        <v>3.2880682927991803E-2</v>
      </c>
    </row>
    <row r="116" spans="1:33" x14ac:dyDescent="0.3">
      <c r="A116" t="s">
        <v>754</v>
      </c>
      <c r="B116">
        <v>0.257523001047059</v>
      </c>
      <c r="C116">
        <v>0.125628402104312</v>
      </c>
      <c r="D116" t="s">
        <v>575</v>
      </c>
      <c r="E116">
        <v>1.7395898722580001</v>
      </c>
      <c r="F116">
        <v>28.267431185051301</v>
      </c>
      <c r="G116">
        <v>0.97428870233731502</v>
      </c>
      <c r="H116">
        <v>28.073782589934101</v>
      </c>
      <c r="I116">
        <v>17.729158401615798</v>
      </c>
      <c r="J116">
        <v>0.58145674274842885</v>
      </c>
      <c r="K116">
        <v>0.36831784965516201</v>
      </c>
      <c r="L116">
        <v>4092.6674179819902</v>
      </c>
      <c r="M116">
        <v>0.62897601729512798</v>
      </c>
      <c r="N116" t="s">
        <v>575</v>
      </c>
      <c r="O116">
        <v>3.28517442050916</v>
      </c>
      <c r="P116" t="s">
        <v>575</v>
      </c>
      <c r="Q116">
        <v>0.356066345099879</v>
      </c>
      <c r="R116" t="s">
        <v>575</v>
      </c>
      <c r="S116">
        <v>0.20933960162961299</v>
      </c>
      <c r="T116" t="s">
        <v>575</v>
      </c>
      <c r="U116">
        <v>0.73963677979547504</v>
      </c>
      <c r="V116">
        <v>19.797775804317801</v>
      </c>
      <c r="W116">
        <v>0.23889870280047401</v>
      </c>
      <c r="X116">
        <v>8.7082379898627007</v>
      </c>
      <c r="Y116">
        <v>0.52436230474295797</v>
      </c>
      <c r="Z116">
        <v>2.59905322408718</v>
      </c>
      <c r="AA116">
        <v>0.15363293616518001</v>
      </c>
      <c r="AB116">
        <v>1.23532718441161</v>
      </c>
      <c r="AC116">
        <v>2.7760630457476999E-2</v>
      </c>
      <c r="AD116">
        <v>246.85616766367701</v>
      </c>
      <c r="AE116">
        <v>0.218046593731861</v>
      </c>
      <c r="AF116">
        <v>0.278136536860637</v>
      </c>
      <c r="AG116">
        <v>3.7430474966848197E-2</v>
      </c>
    </row>
    <row r="117" spans="1:33" x14ac:dyDescent="0.3">
      <c r="A117" t="s">
        <v>755</v>
      </c>
      <c r="B117" t="s">
        <v>575</v>
      </c>
      <c r="C117">
        <v>0.21311497768659499</v>
      </c>
      <c r="D117" t="s">
        <v>575</v>
      </c>
      <c r="E117">
        <v>1.8294532474073</v>
      </c>
      <c r="F117">
        <v>75.894810036201093</v>
      </c>
      <c r="G117">
        <v>1.5812595223597099</v>
      </c>
      <c r="H117">
        <v>260.50493508862201</v>
      </c>
      <c r="I117">
        <v>15.3837049242597</v>
      </c>
      <c r="J117">
        <v>5.7423316130879698</v>
      </c>
      <c r="K117">
        <v>0.41557132110356798</v>
      </c>
      <c r="L117">
        <v>3991.5941285870699</v>
      </c>
      <c r="M117">
        <v>0.83068780356261596</v>
      </c>
      <c r="N117" t="s">
        <v>575</v>
      </c>
      <c r="O117">
        <v>4.1038856254945104</v>
      </c>
      <c r="P117">
        <v>6.7143162357389201</v>
      </c>
      <c r="Q117">
        <v>0.38613209145406002</v>
      </c>
      <c r="R117">
        <v>0.53767586407366796</v>
      </c>
      <c r="S117">
        <v>0.18570292169484801</v>
      </c>
      <c r="T117">
        <v>1.26045543486232</v>
      </c>
      <c r="U117">
        <v>0.80501290278775195</v>
      </c>
      <c r="V117">
        <v>66.638067784743996</v>
      </c>
      <c r="W117">
        <v>0.18363897638551199</v>
      </c>
      <c r="X117">
        <v>30.355550924146101</v>
      </c>
      <c r="Y117">
        <v>0.67688445852342305</v>
      </c>
      <c r="Z117">
        <v>8.8834983555436402</v>
      </c>
      <c r="AA117">
        <v>0.132435645451531</v>
      </c>
      <c r="AB117">
        <v>100.19486909296999</v>
      </c>
      <c r="AC117">
        <v>7.8215905813289993E-2</v>
      </c>
      <c r="AD117">
        <v>419.46937137401699</v>
      </c>
      <c r="AE117">
        <v>0.28023595857980399</v>
      </c>
      <c r="AF117">
        <v>3.2491056139897401</v>
      </c>
      <c r="AG117">
        <v>3.50423654915532E-2</v>
      </c>
    </row>
    <row r="118" spans="1:33" x14ac:dyDescent="0.3">
      <c r="A118" t="s">
        <v>756</v>
      </c>
      <c r="B118" t="s">
        <v>575</v>
      </c>
      <c r="C118">
        <v>0.25111943846744</v>
      </c>
      <c r="D118" t="s">
        <v>575</v>
      </c>
      <c r="E118">
        <v>1.50425419222243</v>
      </c>
      <c r="F118">
        <v>184.17510412043501</v>
      </c>
      <c r="G118">
        <v>0.95658828144191599</v>
      </c>
      <c r="H118">
        <v>370.914511057472</v>
      </c>
      <c r="I118">
        <v>10.6516443598713</v>
      </c>
      <c r="J118">
        <v>3.2842055085303383</v>
      </c>
      <c r="K118">
        <v>0.39614008880097201</v>
      </c>
      <c r="L118">
        <v>3149.9550099903699</v>
      </c>
      <c r="M118">
        <v>0.72345269347711505</v>
      </c>
      <c r="N118" t="s">
        <v>575</v>
      </c>
      <c r="O118">
        <v>4.1655121626738802</v>
      </c>
      <c r="P118">
        <v>6.2889738530942898</v>
      </c>
      <c r="Q118">
        <v>0.260198926896413</v>
      </c>
      <c r="R118">
        <v>0.479638596062953</v>
      </c>
      <c r="S118">
        <v>7.7071674228953196E-2</v>
      </c>
      <c r="T118">
        <v>1.70207121962376</v>
      </c>
      <c r="U118">
        <v>0.63296180549736603</v>
      </c>
      <c r="V118">
        <v>150.83858978051401</v>
      </c>
      <c r="W118">
        <v>0.11701340323717099</v>
      </c>
      <c r="X118">
        <v>23.342001047920402</v>
      </c>
      <c r="Y118">
        <v>0.90872293031184903</v>
      </c>
      <c r="Z118">
        <v>2.23697345202774</v>
      </c>
      <c r="AA118">
        <v>0.10914290812583199</v>
      </c>
      <c r="AB118">
        <v>31.775722709680199</v>
      </c>
      <c r="AC118">
        <v>6.3561043615133206E-2</v>
      </c>
      <c r="AD118">
        <v>410.06838681582502</v>
      </c>
      <c r="AE118">
        <v>0.256637154623647</v>
      </c>
      <c r="AF118">
        <v>1.09555525770339</v>
      </c>
      <c r="AG118">
        <v>3.5105343708063001E-2</v>
      </c>
    </row>
    <row r="119" spans="1:33" x14ac:dyDescent="0.3">
      <c r="A119" t="s">
        <v>757</v>
      </c>
      <c r="B119" t="s">
        <v>575</v>
      </c>
      <c r="C119">
        <v>4.9658228999094403E-2</v>
      </c>
      <c r="D119" t="s">
        <v>575</v>
      </c>
      <c r="E119">
        <v>0.52273002066146501</v>
      </c>
      <c r="F119">
        <v>57.851655929872102</v>
      </c>
      <c r="G119">
        <v>0.49954988747821699</v>
      </c>
      <c r="H119">
        <v>18.275766144504399</v>
      </c>
      <c r="I119">
        <v>4.7215245068501304</v>
      </c>
      <c r="J119">
        <v>0.18183519796619957</v>
      </c>
      <c r="K119">
        <v>0.16278771418976701</v>
      </c>
      <c r="L119">
        <v>1947.3569887379799</v>
      </c>
      <c r="M119">
        <v>0.24321082339814801</v>
      </c>
      <c r="N119" t="s">
        <v>575</v>
      </c>
      <c r="O119">
        <v>1.88664610033432</v>
      </c>
      <c r="P119">
        <v>2.7054965107386399</v>
      </c>
      <c r="Q119">
        <v>0.26163743254694699</v>
      </c>
      <c r="R119">
        <v>0.86535294365097004</v>
      </c>
      <c r="S119">
        <v>5.3815683369688297E-2</v>
      </c>
      <c r="T119" t="s">
        <v>575</v>
      </c>
      <c r="U119">
        <v>0.243168722720533</v>
      </c>
      <c r="V119">
        <v>132.25677777712801</v>
      </c>
      <c r="W119">
        <v>6.2189747316113597E-2</v>
      </c>
      <c r="X119">
        <v>15.0330026616538</v>
      </c>
      <c r="Y119">
        <v>0.38764304936320898</v>
      </c>
      <c r="Z119">
        <v>2.38975198101034</v>
      </c>
      <c r="AA119">
        <v>3.7768248609434403E-2</v>
      </c>
      <c r="AB119">
        <v>13.857536646486301</v>
      </c>
      <c r="AC119">
        <v>2.5747547975534201E-2</v>
      </c>
      <c r="AD119">
        <v>296.14629865123197</v>
      </c>
      <c r="AE119">
        <v>8.4997668700085793E-2</v>
      </c>
      <c r="AF119">
        <v>1.00810962940037</v>
      </c>
      <c r="AG119">
        <v>2.1950720288350999E-2</v>
      </c>
    </row>
    <row r="120" spans="1:33" x14ac:dyDescent="0.3">
      <c r="A120" t="s">
        <v>758</v>
      </c>
      <c r="B120">
        <v>0.15008793022205699</v>
      </c>
      <c r="C120">
        <v>0.12258624139197299</v>
      </c>
      <c r="D120" t="s">
        <v>575</v>
      </c>
      <c r="E120">
        <v>1.3993531435627</v>
      </c>
      <c r="F120">
        <v>325.81481307083999</v>
      </c>
      <c r="G120">
        <v>0.82950125071955005</v>
      </c>
      <c r="H120">
        <v>42.087013726122301</v>
      </c>
      <c r="I120">
        <v>7.6347708894809401</v>
      </c>
      <c r="J120">
        <v>0.70869017192368089</v>
      </c>
      <c r="K120">
        <v>0.26410956270917302</v>
      </c>
      <c r="L120">
        <v>4243.0757273521203</v>
      </c>
      <c r="M120">
        <v>0.52075356588089705</v>
      </c>
      <c r="N120" t="s">
        <v>575</v>
      </c>
      <c r="O120">
        <v>1.8284766726163499</v>
      </c>
      <c r="P120">
        <v>14.182486201688199</v>
      </c>
      <c r="Q120">
        <v>0.24173789595062201</v>
      </c>
      <c r="R120">
        <v>3.0917924645114701</v>
      </c>
      <c r="S120">
        <v>4.0223689262897003E-2</v>
      </c>
      <c r="T120" t="s">
        <v>575</v>
      </c>
      <c r="U120">
        <v>0.55119760475949697</v>
      </c>
      <c r="V120">
        <v>160.65671164041299</v>
      </c>
      <c r="W120">
        <v>0.22186450156572701</v>
      </c>
      <c r="X120">
        <v>10.358525636392001</v>
      </c>
      <c r="Y120">
        <v>0.55079194202170501</v>
      </c>
      <c r="Z120">
        <v>2.1440146970607299</v>
      </c>
      <c r="AA120">
        <v>5.9128006188012297E-2</v>
      </c>
      <c r="AB120">
        <v>116.20381541414601</v>
      </c>
      <c r="AC120">
        <v>2.8507382930605001E-2</v>
      </c>
      <c r="AD120">
        <v>426.868366073478</v>
      </c>
      <c r="AE120">
        <v>0.191403170764776</v>
      </c>
      <c r="AF120">
        <v>0.41361701244089499</v>
      </c>
      <c r="AG120">
        <v>3.0903558371104999E-2</v>
      </c>
    </row>
    <row r="121" spans="1:33" x14ac:dyDescent="0.3">
      <c r="A121" t="s">
        <v>759</v>
      </c>
      <c r="B121">
        <v>0.393279952659849</v>
      </c>
      <c r="C121">
        <v>0.13197761930291399</v>
      </c>
      <c r="D121" t="s">
        <v>575</v>
      </c>
      <c r="E121">
        <v>0.90781566007495496</v>
      </c>
      <c r="F121">
        <v>99.879160973014393</v>
      </c>
      <c r="G121">
        <v>0.76649474035884002</v>
      </c>
      <c r="H121">
        <v>52.083896289925299</v>
      </c>
      <c r="I121">
        <v>8.8432557029147496</v>
      </c>
      <c r="J121">
        <v>0.45033120267658378</v>
      </c>
      <c r="K121">
        <v>0.27637220837717402</v>
      </c>
      <c r="L121">
        <v>1802.96409837228</v>
      </c>
      <c r="M121">
        <v>0.47783970172783802</v>
      </c>
      <c r="N121" t="s">
        <v>575</v>
      </c>
      <c r="O121">
        <v>2.04490279745787</v>
      </c>
      <c r="P121" t="s">
        <v>575</v>
      </c>
      <c r="Q121">
        <v>0.36067995256414598</v>
      </c>
      <c r="R121">
        <v>0.63792012827169697</v>
      </c>
      <c r="S121">
        <v>5.0498243882156402E-2</v>
      </c>
      <c r="T121">
        <v>0.65351710220654402</v>
      </c>
      <c r="U121">
        <v>0.58089521325341897</v>
      </c>
      <c r="V121">
        <v>9.2853222309094399</v>
      </c>
      <c r="W121">
        <v>0.122345708973939</v>
      </c>
      <c r="X121">
        <v>1.95858422204478</v>
      </c>
      <c r="Y121">
        <v>0.391139784425173</v>
      </c>
      <c r="Z121">
        <v>1.24823398733791</v>
      </c>
      <c r="AA121">
        <v>0.111796375341184</v>
      </c>
      <c r="AB121">
        <v>9.4460383902276099</v>
      </c>
      <c r="AC121">
        <v>2.6188020860543702E-2</v>
      </c>
      <c r="AD121">
        <v>202.157438035409</v>
      </c>
      <c r="AE121">
        <v>0.15986800765520001</v>
      </c>
      <c r="AF121">
        <v>7.5159578487827797E-2</v>
      </c>
      <c r="AG121">
        <v>2.9584995625249699E-2</v>
      </c>
    </row>
    <row r="122" spans="1:33" x14ac:dyDescent="0.3">
      <c r="A122" t="s">
        <v>760</v>
      </c>
      <c r="B122">
        <v>2.5632846538402498</v>
      </c>
      <c r="C122">
        <v>0.191318492855581</v>
      </c>
      <c r="D122" t="s">
        <v>575</v>
      </c>
      <c r="E122">
        <v>1.7454062527218399</v>
      </c>
      <c r="F122">
        <v>4218.7040183140098</v>
      </c>
      <c r="G122">
        <v>1.7618804876737499</v>
      </c>
      <c r="H122" t="s">
        <v>575</v>
      </c>
      <c r="I122">
        <v>14.363267934299801</v>
      </c>
      <c r="J122" t="s">
        <v>806</v>
      </c>
      <c r="K122">
        <v>0.37375044788103701</v>
      </c>
      <c r="L122">
        <v>4029.5003388937498</v>
      </c>
      <c r="M122">
        <v>0.50781949194276299</v>
      </c>
      <c r="N122" t="s">
        <v>575</v>
      </c>
      <c r="O122">
        <v>3.5260697571696902</v>
      </c>
      <c r="P122">
        <v>28.0942355140429</v>
      </c>
      <c r="Q122">
        <v>0.38791898735444502</v>
      </c>
      <c r="R122">
        <v>1.84189324839734</v>
      </c>
      <c r="S122">
        <v>0.161540313365134</v>
      </c>
      <c r="T122" t="s">
        <v>575</v>
      </c>
      <c r="U122">
        <v>0.61477511707626098</v>
      </c>
      <c r="V122">
        <v>47.209790457310604</v>
      </c>
      <c r="W122">
        <v>0.184247308621454</v>
      </c>
      <c r="X122">
        <v>20.559208876719499</v>
      </c>
      <c r="Y122">
        <v>0.89063838099234804</v>
      </c>
      <c r="Z122">
        <v>3.35891079402455</v>
      </c>
      <c r="AA122">
        <v>0.16026179920573799</v>
      </c>
      <c r="AB122">
        <v>1.0724875353843899</v>
      </c>
      <c r="AC122">
        <v>4.3126705046443899E-2</v>
      </c>
      <c r="AD122">
        <v>1617.22127520412</v>
      </c>
      <c r="AE122">
        <v>0.35066061121165798</v>
      </c>
      <c r="AF122">
        <v>5.2050608742577502</v>
      </c>
      <c r="AG122">
        <v>3.7979213875758498E-2</v>
      </c>
    </row>
    <row r="123" spans="1:33" x14ac:dyDescent="0.3">
      <c r="A123" t="s">
        <v>761</v>
      </c>
      <c r="B123">
        <v>29.788002637834101</v>
      </c>
      <c r="C123">
        <v>0.18418129952564399</v>
      </c>
      <c r="D123" t="s">
        <v>575</v>
      </c>
      <c r="E123">
        <v>1.96217861716919</v>
      </c>
      <c r="F123">
        <v>6580.9984338049899</v>
      </c>
      <c r="G123">
        <v>1.2523578353462601</v>
      </c>
      <c r="H123">
        <v>122.117088360805</v>
      </c>
      <c r="I123">
        <v>19.9036278796689</v>
      </c>
      <c r="J123">
        <v>0.5471729030799457</v>
      </c>
      <c r="K123">
        <v>0.31108042964522897</v>
      </c>
      <c r="L123">
        <v>5921.2674435512799</v>
      </c>
      <c r="M123">
        <v>0.82925252602240096</v>
      </c>
      <c r="N123" t="s">
        <v>575</v>
      </c>
      <c r="O123">
        <v>5.1712337111806699</v>
      </c>
      <c r="P123">
        <v>51.070425750298398</v>
      </c>
      <c r="Q123">
        <v>0.48292251758170801</v>
      </c>
      <c r="R123">
        <v>3.6180428971115002</v>
      </c>
      <c r="S123">
        <v>0.15940003308739201</v>
      </c>
      <c r="T123" t="s">
        <v>575</v>
      </c>
      <c r="U123">
        <v>1.1331929734733699</v>
      </c>
      <c r="V123">
        <v>62.488405948879702</v>
      </c>
      <c r="W123">
        <v>0.22759229805494399</v>
      </c>
      <c r="X123">
        <v>25.3074563717696</v>
      </c>
      <c r="Y123">
        <v>0.99833192753418798</v>
      </c>
      <c r="Z123">
        <v>4.71563783702618</v>
      </c>
      <c r="AA123">
        <v>0.15452188247197099</v>
      </c>
      <c r="AB123">
        <v>26.1083796243968</v>
      </c>
      <c r="AC123">
        <v>7.4504008327340804E-2</v>
      </c>
      <c r="AD123">
        <v>854.24426902529603</v>
      </c>
      <c r="AE123">
        <v>0.27952830359064101</v>
      </c>
      <c r="AF123">
        <v>23.675330162010201</v>
      </c>
      <c r="AG123">
        <v>6.9411785074020904E-2</v>
      </c>
    </row>
    <row r="124" spans="1:33" x14ac:dyDescent="0.3">
      <c r="A124" t="s">
        <v>762</v>
      </c>
      <c r="B124">
        <v>2.9971969917053198</v>
      </c>
      <c r="C124">
        <v>0.118114597744651</v>
      </c>
      <c r="D124" t="s">
        <v>575</v>
      </c>
      <c r="E124">
        <v>1.57808327723856</v>
      </c>
      <c r="F124">
        <v>3725.3442212485202</v>
      </c>
      <c r="G124">
        <v>1.31336841669524</v>
      </c>
      <c r="H124">
        <v>17.1713096743131</v>
      </c>
      <c r="I124">
        <v>11.726397490460499</v>
      </c>
      <c r="J124" t="s">
        <v>807</v>
      </c>
      <c r="K124">
        <v>0.37093954350248498</v>
      </c>
      <c r="L124">
        <v>4680.7567619515303</v>
      </c>
      <c r="M124">
        <v>0.64350448717375297</v>
      </c>
      <c r="N124" t="s">
        <v>575</v>
      </c>
      <c r="O124">
        <v>3.6820124291256899</v>
      </c>
      <c r="P124">
        <v>30.102234508501301</v>
      </c>
      <c r="Q124">
        <v>0.30631137001759401</v>
      </c>
      <c r="R124">
        <v>1.6570839075508299</v>
      </c>
      <c r="S124">
        <v>0.142004576718465</v>
      </c>
      <c r="T124" t="s">
        <v>575</v>
      </c>
      <c r="U124">
        <v>0.67408199995950402</v>
      </c>
      <c r="V124">
        <v>49.600375860502197</v>
      </c>
      <c r="W124">
        <v>0.23250633712895899</v>
      </c>
      <c r="X124">
        <v>12.1191507018236</v>
      </c>
      <c r="Y124">
        <v>1.05382096072388</v>
      </c>
      <c r="Z124">
        <v>3.17827485745857</v>
      </c>
      <c r="AA124">
        <v>6.0776707449813103E-2</v>
      </c>
      <c r="AB124">
        <v>3.1953257887390998</v>
      </c>
      <c r="AC124">
        <v>6.9119057882807394E-2</v>
      </c>
      <c r="AD124">
        <v>1340.6798608355</v>
      </c>
      <c r="AE124">
        <v>0.34590966030404502</v>
      </c>
      <c r="AF124">
        <v>15.3875611195008</v>
      </c>
      <c r="AG124">
        <v>4.6520940655911502E-2</v>
      </c>
    </row>
    <row r="125" spans="1:33" x14ac:dyDescent="0.3">
      <c r="A125" t="s">
        <v>763</v>
      </c>
      <c r="B125">
        <v>0.56280667458705302</v>
      </c>
      <c r="C125">
        <v>0.26207996719451898</v>
      </c>
      <c r="D125" t="s">
        <v>575</v>
      </c>
      <c r="E125">
        <v>2.0370504214793099</v>
      </c>
      <c r="F125">
        <v>348.60171184403799</v>
      </c>
      <c r="G125">
        <v>1.96337991715297</v>
      </c>
      <c r="H125">
        <v>136.26077881212601</v>
      </c>
      <c r="I125">
        <v>19.542926522881402</v>
      </c>
      <c r="J125" t="s">
        <v>808</v>
      </c>
      <c r="K125">
        <v>0.589620698058685</v>
      </c>
      <c r="L125">
        <v>5404.3525241700199</v>
      </c>
      <c r="M125">
        <v>1.07743457258173</v>
      </c>
      <c r="N125" t="s">
        <v>575</v>
      </c>
      <c r="O125">
        <v>4.4538712730157499</v>
      </c>
      <c r="P125">
        <v>31.2530896331854</v>
      </c>
      <c r="Q125">
        <v>1.05929587333609</v>
      </c>
      <c r="R125">
        <v>0.27216939213691799</v>
      </c>
      <c r="S125">
        <v>0.125291102833159</v>
      </c>
      <c r="T125" t="s">
        <v>575</v>
      </c>
      <c r="U125">
        <v>0.74066313947098195</v>
      </c>
      <c r="V125">
        <v>46.326436782408997</v>
      </c>
      <c r="W125">
        <v>0.20348131884975301</v>
      </c>
      <c r="X125">
        <v>46.679217291323802</v>
      </c>
      <c r="Y125">
        <v>1.2298641495456</v>
      </c>
      <c r="Z125">
        <v>4.7944274014417498</v>
      </c>
      <c r="AA125">
        <v>8.2185481884140696E-2</v>
      </c>
      <c r="AB125">
        <v>23.529416702809598</v>
      </c>
      <c r="AC125">
        <v>0.10266989013193099</v>
      </c>
      <c r="AD125">
        <v>449.77516111275099</v>
      </c>
      <c r="AE125">
        <v>0.20869889327566199</v>
      </c>
      <c r="AF125">
        <v>6.6727938794742698</v>
      </c>
      <c r="AG125">
        <v>5.9467850257385997E-2</v>
      </c>
    </row>
    <row r="126" spans="1:33" x14ac:dyDescent="0.3">
      <c r="A126" t="s">
        <v>764</v>
      </c>
      <c r="B126">
        <v>7.7295747939702304</v>
      </c>
      <c r="C126">
        <v>0.27775633809860001</v>
      </c>
      <c r="D126" t="s">
        <v>575</v>
      </c>
      <c r="E126">
        <v>1.77238591834495</v>
      </c>
      <c r="F126">
        <v>726.80547631054606</v>
      </c>
      <c r="G126">
        <v>2.4586772392348801</v>
      </c>
      <c r="H126">
        <v>426.60013757698403</v>
      </c>
      <c r="I126">
        <v>17.713790205521502</v>
      </c>
      <c r="J126" t="s">
        <v>809</v>
      </c>
      <c r="K126">
        <v>0.55879331362079798</v>
      </c>
      <c r="L126">
        <v>4303.0640545301503</v>
      </c>
      <c r="M126">
        <v>0.56043592069633597</v>
      </c>
      <c r="N126" t="s">
        <v>575</v>
      </c>
      <c r="O126">
        <v>4.0441647757012804</v>
      </c>
      <c r="P126">
        <v>22.695719747909099</v>
      </c>
      <c r="Q126">
        <v>0.59161099293642405</v>
      </c>
      <c r="R126">
        <v>0.83912912118114502</v>
      </c>
      <c r="S126">
        <v>0.18247328991178399</v>
      </c>
      <c r="T126">
        <v>2.8321868525048699</v>
      </c>
      <c r="U126">
        <v>0.54755216588278299</v>
      </c>
      <c r="V126">
        <v>29.4610642713454</v>
      </c>
      <c r="W126">
        <v>0.235499393062233</v>
      </c>
      <c r="X126">
        <v>16.780561128801999</v>
      </c>
      <c r="Y126">
        <v>1.1648306146859599</v>
      </c>
      <c r="Z126">
        <v>3.3047786689283498</v>
      </c>
      <c r="AA126">
        <v>0.18399270748713001</v>
      </c>
      <c r="AB126">
        <v>76.542695462307506</v>
      </c>
      <c r="AC126">
        <v>6.2926184379587802E-2</v>
      </c>
      <c r="AD126">
        <v>338.11962026466</v>
      </c>
      <c r="AE126">
        <v>0.33740851236951602</v>
      </c>
      <c r="AF126">
        <v>17.113029160109399</v>
      </c>
      <c r="AG126">
        <v>4.2291209365895997E-2</v>
      </c>
    </row>
    <row r="127" spans="1:33" x14ac:dyDescent="0.3">
      <c r="A127" t="s">
        <v>765</v>
      </c>
      <c r="B127">
        <v>3.2797027769184699</v>
      </c>
      <c r="C127">
        <v>0.145990394981</v>
      </c>
      <c r="D127" t="s">
        <v>575</v>
      </c>
      <c r="E127">
        <v>1.24436442393498</v>
      </c>
      <c r="F127">
        <v>751.031726201742</v>
      </c>
      <c r="G127">
        <v>1.22000534814879</v>
      </c>
      <c r="H127">
        <v>158.01942725225999</v>
      </c>
      <c r="I127">
        <v>22.013807723745099</v>
      </c>
      <c r="J127">
        <v>0.57551049352146622</v>
      </c>
      <c r="K127">
        <v>0.44528169057942901</v>
      </c>
      <c r="L127">
        <v>5456.0273745577597</v>
      </c>
      <c r="M127">
        <v>0.736233015054233</v>
      </c>
      <c r="N127" t="s">
        <v>575</v>
      </c>
      <c r="O127">
        <v>5.4637099147324104</v>
      </c>
      <c r="P127">
        <v>19.616187134552</v>
      </c>
      <c r="Q127">
        <v>0.61557230384202599</v>
      </c>
      <c r="R127">
        <v>1.36371189338591</v>
      </c>
      <c r="S127">
        <v>0.15520433063924699</v>
      </c>
      <c r="T127" t="s">
        <v>575</v>
      </c>
      <c r="U127">
        <v>0.88908118471616104</v>
      </c>
      <c r="V127">
        <v>83.330705759612997</v>
      </c>
      <c r="W127">
        <v>0.22997738928310901</v>
      </c>
      <c r="X127">
        <v>61.145430076971302</v>
      </c>
      <c r="Y127">
        <v>0.60869136864186102</v>
      </c>
      <c r="Z127">
        <v>5.8940593170848503</v>
      </c>
      <c r="AA127">
        <v>0.11645541147642501</v>
      </c>
      <c r="AB127">
        <v>27.972739062613599</v>
      </c>
      <c r="AC127">
        <v>7.0694306380764793E-2</v>
      </c>
      <c r="AD127">
        <v>1722.7377772478001</v>
      </c>
      <c r="AE127">
        <v>0.31839729890511198</v>
      </c>
      <c r="AF127">
        <v>10.215583581996199</v>
      </c>
      <c r="AG127">
        <v>4.7254561740117898E-2</v>
      </c>
    </row>
    <row r="128" spans="1:33" x14ac:dyDescent="0.3">
      <c r="A128" t="s">
        <v>766</v>
      </c>
      <c r="B128">
        <v>7.6214694549224697</v>
      </c>
      <c r="C128">
        <v>0.20034839827917</v>
      </c>
      <c r="D128" t="s">
        <v>575</v>
      </c>
      <c r="E128">
        <v>1.6627373414439699</v>
      </c>
      <c r="F128">
        <v>546.95470714391399</v>
      </c>
      <c r="G128">
        <v>1.7045783924801601</v>
      </c>
      <c r="H128">
        <v>189.485049162363</v>
      </c>
      <c r="I128">
        <v>15.2102251756658</v>
      </c>
      <c r="J128">
        <v>1.2861672163593714</v>
      </c>
      <c r="K128">
        <v>0.40041870192968099</v>
      </c>
      <c r="L128">
        <v>3492.72268948797</v>
      </c>
      <c r="M128">
        <v>0.62021559422657702</v>
      </c>
      <c r="N128" t="s">
        <v>575</v>
      </c>
      <c r="O128">
        <v>3.68522427485878</v>
      </c>
      <c r="P128">
        <v>24.064366830595599</v>
      </c>
      <c r="Q128">
        <v>0.71928085110601403</v>
      </c>
      <c r="R128">
        <v>0.57688104090925996</v>
      </c>
      <c r="S128">
        <v>0.120381788469531</v>
      </c>
      <c r="T128" t="s">
        <v>575</v>
      </c>
      <c r="U128">
        <v>0.73994940972339296</v>
      </c>
      <c r="V128">
        <v>26.409579960895101</v>
      </c>
      <c r="W128">
        <v>0.264527423756383</v>
      </c>
      <c r="X128">
        <v>19.002320786621102</v>
      </c>
      <c r="Y128">
        <v>0.59614871925461999</v>
      </c>
      <c r="Z128">
        <v>3.47232029653884</v>
      </c>
      <c r="AA128">
        <v>0.19896245322880099</v>
      </c>
      <c r="AB128">
        <v>94.474971858415799</v>
      </c>
      <c r="AC128">
        <v>5.5863399572901401E-2</v>
      </c>
      <c r="AD128">
        <v>241.675918888681</v>
      </c>
      <c r="AE128">
        <v>0.17066863513482</v>
      </c>
      <c r="AF128">
        <v>13.5806138915449</v>
      </c>
      <c r="AG128">
        <v>4.5855793973968002E-2</v>
      </c>
    </row>
  </sheetData>
  <conditionalFormatting sqref="B2:AG128">
    <cfRule type="cellIs" dxfId="0" priority="1" operator="equal">
      <formula>-10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0FD6-1F8E-4C14-AD66-D8EA277B5A1F}">
  <dimension ref="A1:V49"/>
  <sheetViews>
    <sheetView workbookViewId="0">
      <selection activeCell="N19" sqref="N19"/>
    </sheetView>
  </sheetViews>
  <sheetFormatPr baseColWidth="10" defaultRowHeight="14.4" x14ac:dyDescent="0.3"/>
  <sheetData>
    <row r="1" spans="1:22" x14ac:dyDescent="0.3">
      <c r="A1" s="2" t="s">
        <v>116</v>
      </c>
      <c r="B1" s="2" t="s">
        <v>118</v>
      </c>
      <c r="C1" s="2" t="s">
        <v>367</v>
      </c>
      <c r="D1" s="2" t="s">
        <v>368</v>
      </c>
      <c r="E1" s="2" t="s">
        <v>369</v>
      </c>
      <c r="F1" s="2" t="s">
        <v>370</v>
      </c>
      <c r="G1" s="3" t="s">
        <v>344</v>
      </c>
      <c r="H1" s="3" t="s">
        <v>345</v>
      </c>
      <c r="I1" s="3" t="s">
        <v>346</v>
      </c>
      <c r="J1" s="3" t="s">
        <v>347</v>
      </c>
      <c r="K1" s="3" t="s">
        <v>349</v>
      </c>
      <c r="L1" s="3" t="s">
        <v>350</v>
      </c>
      <c r="M1" s="3" t="s">
        <v>351</v>
      </c>
      <c r="N1" s="3" t="s">
        <v>352</v>
      </c>
      <c r="O1" s="3" t="s">
        <v>353</v>
      </c>
      <c r="P1" s="3" t="s">
        <v>354</v>
      </c>
      <c r="Q1" s="3" t="s">
        <v>357</v>
      </c>
      <c r="R1" s="3" t="s">
        <v>358</v>
      </c>
      <c r="S1" s="3" t="s">
        <v>359</v>
      </c>
      <c r="T1" s="3" t="s">
        <v>361</v>
      </c>
      <c r="U1" s="3" t="s">
        <v>362</v>
      </c>
      <c r="V1" s="3" t="s">
        <v>363</v>
      </c>
    </row>
    <row r="2" spans="1:22" x14ac:dyDescent="0.3">
      <c r="A2" t="s">
        <v>500</v>
      </c>
      <c r="B2" t="s">
        <v>120</v>
      </c>
      <c r="C2" t="s">
        <v>128</v>
      </c>
      <c r="D2" t="s">
        <v>570</v>
      </c>
      <c r="E2" t="s">
        <v>508</v>
      </c>
      <c r="G2">
        <v>18.72</v>
      </c>
      <c r="H2">
        <v>1.85</v>
      </c>
      <c r="I2">
        <v>1.64</v>
      </c>
      <c r="J2" t="s">
        <v>575</v>
      </c>
      <c r="K2">
        <v>2.41</v>
      </c>
      <c r="L2" t="s">
        <v>575</v>
      </c>
      <c r="M2">
        <v>360.02</v>
      </c>
      <c r="N2" t="s">
        <v>575</v>
      </c>
      <c r="O2" t="s">
        <v>575</v>
      </c>
      <c r="P2">
        <v>8.7999999999999995E-2</v>
      </c>
      <c r="Q2" t="s">
        <v>575</v>
      </c>
      <c r="R2">
        <v>0.16600000000000001</v>
      </c>
      <c r="S2">
        <v>7.0000000000000001E-3</v>
      </c>
      <c r="T2" t="s">
        <v>575</v>
      </c>
      <c r="U2" t="s">
        <v>575</v>
      </c>
      <c r="V2" t="s">
        <v>575</v>
      </c>
    </row>
    <row r="3" spans="1:22" x14ac:dyDescent="0.3">
      <c r="A3" t="s">
        <v>500</v>
      </c>
      <c r="B3" t="s">
        <v>120</v>
      </c>
      <c r="C3" t="s">
        <v>128</v>
      </c>
      <c r="D3" t="s">
        <v>570</v>
      </c>
      <c r="E3" t="s">
        <v>508</v>
      </c>
      <c r="G3">
        <v>37.44</v>
      </c>
      <c r="H3">
        <v>9.17</v>
      </c>
      <c r="I3">
        <v>313.55</v>
      </c>
      <c r="J3">
        <v>1.97</v>
      </c>
      <c r="K3">
        <v>1.34</v>
      </c>
      <c r="L3">
        <v>1.07</v>
      </c>
      <c r="M3">
        <v>202.23</v>
      </c>
      <c r="N3">
        <v>0.33400000000000002</v>
      </c>
      <c r="O3">
        <v>4.9000000000000002E-2</v>
      </c>
      <c r="P3" t="s">
        <v>575</v>
      </c>
      <c r="Q3" t="s">
        <v>575</v>
      </c>
      <c r="R3" t="s">
        <v>575</v>
      </c>
      <c r="S3" t="s">
        <v>575</v>
      </c>
      <c r="T3">
        <v>4.4000000000000003E-3</v>
      </c>
      <c r="U3">
        <v>2.16</v>
      </c>
      <c r="V3">
        <v>9.7000000000000003E-2</v>
      </c>
    </row>
    <row r="4" spans="1:22" x14ac:dyDescent="0.3">
      <c r="A4" t="s">
        <v>500</v>
      </c>
      <c r="B4" t="s">
        <v>120</v>
      </c>
      <c r="C4" t="s">
        <v>128</v>
      </c>
      <c r="D4" t="s">
        <v>570</v>
      </c>
      <c r="E4" t="s">
        <v>508</v>
      </c>
      <c r="G4">
        <v>30.89</v>
      </c>
      <c r="H4">
        <v>11.2</v>
      </c>
      <c r="I4">
        <v>46.47</v>
      </c>
      <c r="J4">
        <v>59.34</v>
      </c>
      <c r="K4">
        <v>1.75</v>
      </c>
      <c r="L4">
        <v>1.04</v>
      </c>
      <c r="M4">
        <v>254.73</v>
      </c>
      <c r="N4">
        <v>0.19500000000000001</v>
      </c>
      <c r="O4">
        <v>3.7999999999999999E-2</v>
      </c>
      <c r="P4" t="s">
        <v>575</v>
      </c>
      <c r="Q4" t="s">
        <v>575</v>
      </c>
      <c r="R4">
        <v>0.127</v>
      </c>
      <c r="S4" t="s">
        <v>575</v>
      </c>
      <c r="T4">
        <v>4.2999999999999997E-2</v>
      </c>
      <c r="U4">
        <v>1.44</v>
      </c>
      <c r="V4">
        <v>7.3000000000000001E-3</v>
      </c>
    </row>
    <row r="5" spans="1:22" x14ac:dyDescent="0.3">
      <c r="A5" t="s">
        <v>500</v>
      </c>
      <c r="B5" t="s">
        <v>120</v>
      </c>
      <c r="C5" t="s">
        <v>128</v>
      </c>
      <c r="D5" t="s">
        <v>570</v>
      </c>
      <c r="E5" t="s">
        <v>508</v>
      </c>
      <c r="G5">
        <v>328.37</v>
      </c>
      <c r="H5">
        <v>67.02</v>
      </c>
      <c r="I5">
        <v>757.4</v>
      </c>
      <c r="J5">
        <v>1677.03</v>
      </c>
      <c r="K5">
        <v>2.41</v>
      </c>
      <c r="L5">
        <v>6.2</v>
      </c>
      <c r="M5">
        <v>305.83999999999997</v>
      </c>
      <c r="N5">
        <v>1.35</v>
      </c>
      <c r="O5">
        <v>0.73</v>
      </c>
      <c r="P5" t="s">
        <v>575</v>
      </c>
      <c r="Q5">
        <v>0.28000000000000003</v>
      </c>
      <c r="R5">
        <v>2.2799999999999998</v>
      </c>
      <c r="S5">
        <v>7.3999999999999996E-2</v>
      </c>
      <c r="T5">
        <v>0.11700000000000001</v>
      </c>
      <c r="U5">
        <v>9.25</v>
      </c>
      <c r="V5">
        <v>0.154</v>
      </c>
    </row>
    <row r="6" spans="1:22" x14ac:dyDescent="0.3">
      <c r="A6" t="s">
        <v>500</v>
      </c>
      <c r="B6" t="s">
        <v>120</v>
      </c>
      <c r="C6" t="s">
        <v>128</v>
      </c>
      <c r="D6" t="s">
        <v>570</v>
      </c>
      <c r="E6" t="s">
        <v>508</v>
      </c>
      <c r="G6">
        <v>476.45</v>
      </c>
      <c r="H6">
        <v>52.71</v>
      </c>
      <c r="I6">
        <v>651.72</v>
      </c>
      <c r="J6">
        <v>1529.49</v>
      </c>
      <c r="K6">
        <v>2.2400000000000002</v>
      </c>
      <c r="L6">
        <v>4.6100000000000003</v>
      </c>
      <c r="M6">
        <v>212.41</v>
      </c>
      <c r="N6">
        <v>1.7</v>
      </c>
      <c r="O6">
        <v>0.62</v>
      </c>
      <c r="P6" t="s">
        <v>575</v>
      </c>
      <c r="Q6">
        <v>0.27</v>
      </c>
      <c r="R6">
        <v>1.81</v>
      </c>
      <c r="S6" t="s">
        <v>575</v>
      </c>
      <c r="T6" t="s">
        <v>575</v>
      </c>
      <c r="U6">
        <v>5.21</v>
      </c>
      <c r="V6">
        <v>0.16500000000000001</v>
      </c>
    </row>
    <row r="7" spans="1:22" x14ac:dyDescent="0.3">
      <c r="A7" t="s">
        <v>500</v>
      </c>
      <c r="B7" t="s">
        <v>120</v>
      </c>
      <c r="C7" t="s">
        <v>128</v>
      </c>
      <c r="D7" t="s">
        <v>570</v>
      </c>
      <c r="E7" t="s">
        <v>508</v>
      </c>
      <c r="G7">
        <v>198.06</v>
      </c>
      <c r="H7">
        <v>48.46</v>
      </c>
      <c r="I7">
        <v>510.46</v>
      </c>
      <c r="J7">
        <v>1654.44</v>
      </c>
      <c r="K7">
        <v>3.18</v>
      </c>
      <c r="L7">
        <v>5.83</v>
      </c>
      <c r="M7">
        <v>249.47</v>
      </c>
      <c r="N7">
        <v>1.18</v>
      </c>
      <c r="O7">
        <v>1.07</v>
      </c>
      <c r="P7" t="s">
        <v>575</v>
      </c>
      <c r="Q7">
        <v>0.16</v>
      </c>
      <c r="R7" t="s">
        <v>575</v>
      </c>
      <c r="S7" t="s">
        <v>575</v>
      </c>
      <c r="T7">
        <v>0.09</v>
      </c>
      <c r="U7">
        <v>3.98</v>
      </c>
      <c r="V7">
        <v>4.1000000000000002E-2</v>
      </c>
    </row>
    <row r="8" spans="1:22" x14ac:dyDescent="0.3">
      <c r="A8" t="s">
        <v>500</v>
      </c>
      <c r="B8" t="s">
        <v>120</v>
      </c>
      <c r="C8" t="s">
        <v>128</v>
      </c>
      <c r="D8" t="s">
        <v>570</v>
      </c>
      <c r="E8" t="s">
        <v>508</v>
      </c>
      <c r="G8">
        <v>422.27</v>
      </c>
      <c r="H8">
        <v>52.31</v>
      </c>
      <c r="I8">
        <v>739.3</v>
      </c>
      <c r="J8">
        <v>1589.6</v>
      </c>
      <c r="K8">
        <v>2.82</v>
      </c>
      <c r="L8">
        <v>7.26</v>
      </c>
      <c r="M8">
        <v>216.63</v>
      </c>
      <c r="N8">
        <v>1.63</v>
      </c>
      <c r="O8">
        <v>0.95</v>
      </c>
      <c r="P8">
        <v>0.57999999999999996</v>
      </c>
      <c r="Q8">
        <v>0.24</v>
      </c>
      <c r="R8">
        <v>1.38</v>
      </c>
      <c r="S8" t="s">
        <v>575</v>
      </c>
      <c r="T8">
        <v>0.105</v>
      </c>
      <c r="U8">
        <v>5.71</v>
      </c>
      <c r="V8">
        <v>9.6000000000000002E-2</v>
      </c>
    </row>
    <row r="9" spans="1:22" x14ac:dyDescent="0.3">
      <c r="A9" t="s">
        <v>500</v>
      </c>
      <c r="B9" t="s">
        <v>120</v>
      </c>
      <c r="C9" t="s">
        <v>128</v>
      </c>
      <c r="D9" t="s">
        <v>570</v>
      </c>
      <c r="E9" t="s">
        <v>508</v>
      </c>
      <c r="G9">
        <v>439.01</v>
      </c>
      <c r="H9">
        <v>49.99</v>
      </c>
      <c r="I9">
        <v>538.87</v>
      </c>
      <c r="J9">
        <v>1566.74</v>
      </c>
      <c r="K9">
        <v>3.57</v>
      </c>
      <c r="L9">
        <v>3.12</v>
      </c>
      <c r="M9">
        <v>245.9</v>
      </c>
      <c r="N9">
        <v>0.68</v>
      </c>
      <c r="O9">
        <v>0.49</v>
      </c>
      <c r="P9" t="s">
        <v>575</v>
      </c>
      <c r="Q9" t="s">
        <v>575</v>
      </c>
      <c r="R9" t="s">
        <v>575</v>
      </c>
      <c r="S9" t="s">
        <v>575</v>
      </c>
      <c r="T9">
        <v>7.1999999999999995E-2</v>
      </c>
      <c r="U9">
        <v>10.77</v>
      </c>
      <c r="V9">
        <v>0.11700000000000001</v>
      </c>
    </row>
    <row r="10" spans="1:22" x14ac:dyDescent="0.3">
      <c r="A10" t="s">
        <v>500</v>
      </c>
      <c r="B10" t="s">
        <v>120</v>
      </c>
      <c r="C10" t="s">
        <v>128</v>
      </c>
      <c r="D10" t="s">
        <v>570</v>
      </c>
      <c r="E10" t="s">
        <v>508</v>
      </c>
      <c r="G10">
        <v>54.76</v>
      </c>
      <c r="H10">
        <v>39.67</v>
      </c>
      <c r="I10">
        <v>106.64</v>
      </c>
      <c r="J10">
        <v>90.92</v>
      </c>
      <c r="K10">
        <v>1.07</v>
      </c>
      <c r="L10">
        <v>0.8</v>
      </c>
      <c r="M10">
        <v>165.05</v>
      </c>
      <c r="N10">
        <v>2.0499999999999998</v>
      </c>
      <c r="O10">
        <v>0.14899999999999999</v>
      </c>
      <c r="P10">
        <v>4.7300000000000004</v>
      </c>
      <c r="Q10" t="s">
        <v>575</v>
      </c>
      <c r="R10">
        <v>0.27</v>
      </c>
      <c r="S10" t="s">
        <v>575</v>
      </c>
      <c r="T10">
        <v>0.16</v>
      </c>
      <c r="U10">
        <v>51.2</v>
      </c>
      <c r="V10">
        <v>0.37</v>
      </c>
    </row>
    <row r="11" spans="1:22" x14ac:dyDescent="0.3">
      <c r="A11" t="s">
        <v>500</v>
      </c>
      <c r="B11" t="s">
        <v>120</v>
      </c>
      <c r="C11" t="s">
        <v>128</v>
      </c>
      <c r="D11" t="s">
        <v>570</v>
      </c>
      <c r="E11" t="s">
        <v>508</v>
      </c>
      <c r="G11">
        <v>121.97</v>
      </c>
      <c r="H11">
        <v>12.58</v>
      </c>
      <c r="I11">
        <v>10.94</v>
      </c>
      <c r="J11">
        <v>2.48</v>
      </c>
      <c r="K11">
        <v>1.06</v>
      </c>
      <c r="L11" t="s">
        <v>575</v>
      </c>
      <c r="M11">
        <v>191.8</v>
      </c>
      <c r="N11">
        <v>0.11799999999999999</v>
      </c>
      <c r="O11">
        <v>8.5000000000000006E-2</v>
      </c>
      <c r="P11" t="s">
        <v>575</v>
      </c>
      <c r="Q11" t="s">
        <v>575</v>
      </c>
      <c r="R11" t="s">
        <v>575</v>
      </c>
      <c r="S11" t="s">
        <v>575</v>
      </c>
      <c r="T11" t="s">
        <v>575</v>
      </c>
      <c r="U11">
        <v>0.41399999999999998</v>
      </c>
      <c r="V11">
        <v>2.7E-2</v>
      </c>
    </row>
    <row r="12" spans="1:22" x14ac:dyDescent="0.3">
      <c r="A12" t="s">
        <v>500</v>
      </c>
      <c r="B12" t="s">
        <v>120</v>
      </c>
      <c r="C12" t="s">
        <v>128</v>
      </c>
      <c r="D12" t="s">
        <v>570</v>
      </c>
      <c r="E12" t="s">
        <v>508</v>
      </c>
      <c r="G12">
        <v>29.59</v>
      </c>
      <c r="H12">
        <v>16.61</v>
      </c>
      <c r="I12">
        <v>5.49</v>
      </c>
      <c r="J12">
        <v>2.99</v>
      </c>
      <c r="K12">
        <v>1.66</v>
      </c>
      <c r="L12" t="s">
        <v>575</v>
      </c>
      <c r="M12">
        <v>176.76</v>
      </c>
      <c r="N12" t="s">
        <v>575</v>
      </c>
      <c r="O12" t="s">
        <v>575</v>
      </c>
      <c r="P12" t="s">
        <v>575</v>
      </c>
      <c r="Q12" t="s">
        <v>575</v>
      </c>
      <c r="R12" t="s">
        <v>575</v>
      </c>
      <c r="S12" t="s">
        <v>575</v>
      </c>
      <c r="T12" t="s">
        <v>575</v>
      </c>
      <c r="U12" t="s">
        <v>575</v>
      </c>
      <c r="V12" t="s">
        <v>575</v>
      </c>
    </row>
    <row r="13" spans="1:22" x14ac:dyDescent="0.3">
      <c r="A13" t="s">
        <v>500</v>
      </c>
      <c r="B13" t="s">
        <v>120</v>
      </c>
      <c r="C13" t="s">
        <v>128</v>
      </c>
      <c r="D13" t="s">
        <v>570</v>
      </c>
      <c r="E13" t="s">
        <v>508</v>
      </c>
      <c r="G13">
        <v>115.19</v>
      </c>
      <c r="H13">
        <v>43.5</v>
      </c>
      <c r="I13">
        <v>105.69</v>
      </c>
      <c r="J13">
        <v>6.26</v>
      </c>
      <c r="K13">
        <v>0.85</v>
      </c>
      <c r="L13">
        <v>1.31</v>
      </c>
      <c r="M13">
        <v>103.86</v>
      </c>
      <c r="N13">
        <v>0.19</v>
      </c>
      <c r="O13">
        <v>0.11700000000000001</v>
      </c>
      <c r="P13" t="s">
        <v>575</v>
      </c>
      <c r="Q13">
        <v>0.14899999999999999</v>
      </c>
      <c r="R13">
        <v>0.31</v>
      </c>
      <c r="S13" t="s">
        <v>575</v>
      </c>
      <c r="T13">
        <v>1.7999999999999999E-2</v>
      </c>
      <c r="U13">
        <v>3.74</v>
      </c>
      <c r="V13">
        <v>0.40200000000000002</v>
      </c>
    </row>
    <row r="14" spans="1:22" x14ac:dyDescent="0.3">
      <c r="A14" t="s">
        <v>500</v>
      </c>
      <c r="B14" t="s">
        <v>120</v>
      </c>
      <c r="C14" t="s">
        <v>128</v>
      </c>
      <c r="D14" t="s">
        <v>570</v>
      </c>
      <c r="E14" t="s">
        <v>508</v>
      </c>
      <c r="G14">
        <v>43.16</v>
      </c>
      <c r="H14">
        <v>49.45</v>
      </c>
      <c r="I14">
        <v>126.94</v>
      </c>
      <c r="J14">
        <v>7.09</v>
      </c>
      <c r="K14">
        <v>1.06</v>
      </c>
      <c r="L14" t="s">
        <v>575</v>
      </c>
      <c r="M14">
        <v>124.42</v>
      </c>
      <c r="N14">
        <v>2.46</v>
      </c>
      <c r="O14">
        <v>0.22700000000000001</v>
      </c>
      <c r="P14" t="s">
        <v>575</v>
      </c>
      <c r="Q14">
        <v>0.22900000000000001</v>
      </c>
      <c r="R14" t="s">
        <v>575</v>
      </c>
      <c r="S14" t="s">
        <v>575</v>
      </c>
      <c r="T14" t="s">
        <v>575</v>
      </c>
      <c r="U14">
        <v>5.49</v>
      </c>
      <c r="V14">
        <v>0.46899999999999997</v>
      </c>
    </row>
    <row r="16" spans="1:22" x14ac:dyDescent="0.3">
      <c r="A16" t="s">
        <v>375</v>
      </c>
      <c r="B16" t="s">
        <v>122</v>
      </c>
      <c r="C16" t="s">
        <v>568</v>
      </c>
      <c r="D16" t="s">
        <v>570</v>
      </c>
    </row>
    <row r="17" spans="1:22" x14ac:dyDescent="0.3">
      <c r="A17" t="s">
        <v>375</v>
      </c>
      <c r="B17" t="s">
        <v>122</v>
      </c>
      <c r="C17" t="s">
        <v>568</v>
      </c>
      <c r="D17" t="s">
        <v>570</v>
      </c>
      <c r="E17" t="s">
        <v>479</v>
      </c>
      <c r="G17">
        <v>23.81</v>
      </c>
      <c r="H17">
        <v>2.04</v>
      </c>
      <c r="I17">
        <v>889.06</v>
      </c>
      <c r="J17" t="s">
        <v>575</v>
      </c>
      <c r="K17">
        <v>0.17</v>
      </c>
      <c r="L17">
        <v>26.95</v>
      </c>
      <c r="M17">
        <v>10.93</v>
      </c>
      <c r="N17">
        <v>2.8</v>
      </c>
      <c r="O17">
        <v>7.0000000000000007E-2</v>
      </c>
      <c r="P17" t="s">
        <v>575</v>
      </c>
      <c r="Q17">
        <v>0.13700000000000001</v>
      </c>
      <c r="R17">
        <v>24.44</v>
      </c>
      <c r="S17">
        <v>6.9000000000000006E-2</v>
      </c>
      <c r="T17">
        <v>0.154</v>
      </c>
      <c r="U17">
        <v>0.17499999999999999</v>
      </c>
      <c r="V17">
        <v>25.57</v>
      </c>
    </row>
    <row r="18" spans="1:22" x14ac:dyDescent="0.3">
      <c r="A18" t="s">
        <v>375</v>
      </c>
      <c r="B18" t="s">
        <v>122</v>
      </c>
      <c r="C18" t="s">
        <v>568</v>
      </c>
      <c r="D18" t="s">
        <v>570</v>
      </c>
      <c r="E18" t="s">
        <v>479</v>
      </c>
      <c r="G18">
        <v>825.75</v>
      </c>
      <c r="H18">
        <v>8.6</v>
      </c>
      <c r="I18">
        <v>15.25</v>
      </c>
      <c r="J18">
        <v>22.35</v>
      </c>
      <c r="K18">
        <v>0.71</v>
      </c>
      <c r="L18">
        <v>13.8</v>
      </c>
      <c r="M18">
        <v>123.75</v>
      </c>
      <c r="N18">
        <v>59.56</v>
      </c>
      <c r="O18">
        <v>0.47499999999999998</v>
      </c>
      <c r="P18" t="s">
        <v>575</v>
      </c>
      <c r="Q18">
        <v>0.95</v>
      </c>
      <c r="R18">
        <v>16.59</v>
      </c>
      <c r="S18">
        <v>0.16400000000000001</v>
      </c>
      <c r="T18">
        <v>0.09</v>
      </c>
      <c r="U18">
        <v>15.45</v>
      </c>
      <c r="V18">
        <v>5.67</v>
      </c>
    </row>
    <row r="19" spans="1:22" x14ac:dyDescent="0.3">
      <c r="A19" t="s">
        <v>375</v>
      </c>
      <c r="B19" t="s">
        <v>122</v>
      </c>
      <c r="C19" t="s">
        <v>568</v>
      </c>
      <c r="D19" t="s">
        <v>570</v>
      </c>
      <c r="E19" t="s">
        <v>479</v>
      </c>
      <c r="G19">
        <v>244.36</v>
      </c>
      <c r="H19">
        <v>70.22</v>
      </c>
      <c r="I19">
        <v>128.62</v>
      </c>
      <c r="J19">
        <v>16.04</v>
      </c>
      <c r="K19">
        <v>0.48199999999999998</v>
      </c>
      <c r="L19">
        <v>3043.97</v>
      </c>
      <c r="M19">
        <v>58.31</v>
      </c>
      <c r="N19">
        <v>22.37</v>
      </c>
      <c r="O19">
        <v>4.16</v>
      </c>
      <c r="P19">
        <v>0.33</v>
      </c>
      <c r="Q19">
        <v>218.2</v>
      </c>
      <c r="R19">
        <v>97.87</v>
      </c>
      <c r="S19">
        <v>2.76</v>
      </c>
      <c r="T19">
        <v>168.23</v>
      </c>
      <c r="U19">
        <v>295.76</v>
      </c>
      <c r="V19">
        <v>58.7</v>
      </c>
    </row>
    <row r="20" spans="1:22" x14ac:dyDescent="0.3">
      <c r="A20" t="s">
        <v>375</v>
      </c>
      <c r="B20" t="s">
        <v>122</v>
      </c>
      <c r="C20" t="s">
        <v>568</v>
      </c>
      <c r="D20" t="s">
        <v>570</v>
      </c>
      <c r="E20" t="s">
        <v>479</v>
      </c>
      <c r="G20">
        <v>135</v>
      </c>
      <c r="H20">
        <v>25.49</v>
      </c>
      <c r="I20">
        <v>213.57</v>
      </c>
      <c r="J20">
        <v>682.45</v>
      </c>
      <c r="K20">
        <v>0.189</v>
      </c>
      <c r="L20">
        <v>257.45999999999998</v>
      </c>
      <c r="M20">
        <v>17.829999999999998</v>
      </c>
      <c r="N20">
        <v>44.77</v>
      </c>
      <c r="O20">
        <v>2.2400000000000002</v>
      </c>
      <c r="P20">
        <v>2.8</v>
      </c>
      <c r="Q20">
        <v>14.86</v>
      </c>
      <c r="R20">
        <v>43.24</v>
      </c>
      <c r="S20">
        <v>1.2</v>
      </c>
      <c r="T20">
        <v>8.5000000000000006E-2</v>
      </c>
      <c r="U20">
        <v>306.02</v>
      </c>
      <c r="V20">
        <v>60.69</v>
      </c>
    </row>
    <row r="21" spans="1:22" x14ac:dyDescent="0.3">
      <c r="A21" t="s">
        <v>375</v>
      </c>
      <c r="B21" t="s">
        <v>122</v>
      </c>
      <c r="C21" t="s">
        <v>568</v>
      </c>
      <c r="D21" t="s">
        <v>570</v>
      </c>
      <c r="E21" t="s">
        <v>479</v>
      </c>
      <c r="G21">
        <v>575.16</v>
      </c>
      <c r="H21">
        <v>7.67</v>
      </c>
      <c r="I21">
        <v>75.55</v>
      </c>
      <c r="J21">
        <v>361.59</v>
      </c>
      <c r="K21">
        <v>1.26</v>
      </c>
      <c r="L21">
        <v>11.33</v>
      </c>
      <c r="M21">
        <v>98.49</v>
      </c>
      <c r="N21">
        <v>19.05</v>
      </c>
      <c r="O21">
        <v>0.29699999999999999</v>
      </c>
      <c r="P21" t="s">
        <v>575</v>
      </c>
      <c r="Q21">
        <v>0.45600000000000002</v>
      </c>
      <c r="R21">
        <v>33.89</v>
      </c>
      <c r="S21">
        <v>0.48299999999999998</v>
      </c>
      <c r="T21">
        <v>1.9400000000000001E-2</v>
      </c>
      <c r="U21">
        <v>7.43</v>
      </c>
      <c r="V21">
        <v>20.04</v>
      </c>
    </row>
    <row r="22" spans="1:22" x14ac:dyDescent="0.3">
      <c r="A22" t="s">
        <v>375</v>
      </c>
      <c r="B22" t="s">
        <v>122</v>
      </c>
      <c r="C22" t="s">
        <v>568</v>
      </c>
      <c r="D22" t="s">
        <v>570</v>
      </c>
      <c r="E22" t="s">
        <v>479</v>
      </c>
      <c r="G22">
        <v>419.28</v>
      </c>
      <c r="H22">
        <v>11.07</v>
      </c>
      <c r="I22">
        <v>33.130000000000003</v>
      </c>
      <c r="J22">
        <v>11.47</v>
      </c>
      <c r="K22">
        <v>0.48399999999999999</v>
      </c>
      <c r="L22">
        <v>116.11</v>
      </c>
      <c r="M22">
        <v>99.29</v>
      </c>
      <c r="N22">
        <v>52.44</v>
      </c>
      <c r="O22">
        <v>0.98</v>
      </c>
      <c r="P22" t="s">
        <v>575</v>
      </c>
      <c r="Q22">
        <v>11.86</v>
      </c>
      <c r="R22">
        <v>13.71</v>
      </c>
      <c r="S22">
        <v>0.28000000000000003</v>
      </c>
      <c r="T22">
        <v>0.28399999999999997</v>
      </c>
      <c r="U22">
        <v>190.16</v>
      </c>
      <c r="V22">
        <v>49.21</v>
      </c>
    </row>
    <row r="23" spans="1:22" x14ac:dyDescent="0.3">
      <c r="A23" t="s">
        <v>375</v>
      </c>
      <c r="B23" t="s">
        <v>122</v>
      </c>
      <c r="C23" t="s">
        <v>568</v>
      </c>
      <c r="D23" t="s">
        <v>570</v>
      </c>
      <c r="E23" t="s">
        <v>479</v>
      </c>
      <c r="G23">
        <v>689.31</v>
      </c>
      <c r="H23">
        <v>8.6199999999999992</v>
      </c>
      <c r="I23">
        <v>21</v>
      </c>
      <c r="J23" t="s">
        <v>575</v>
      </c>
      <c r="K23">
        <v>0.73</v>
      </c>
      <c r="L23">
        <v>4.09</v>
      </c>
      <c r="M23">
        <v>129.76</v>
      </c>
      <c r="N23">
        <v>8.7100000000000009</v>
      </c>
      <c r="O23">
        <v>1.4E-2</v>
      </c>
      <c r="P23" t="s">
        <v>575</v>
      </c>
      <c r="Q23" t="s">
        <v>575</v>
      </c>
      <c r="R23">
        <v>10.82</v>
      </c>
      <c r="S23">
        <v>4.8000000000000001E-2</v>
      </c>
      <c r="T23">
        <v>2.8400000000000002E-2</v>
      </c>
      <c r="U23">
        <v>0.69699999999999995</v>
      </c>
      <c r="V23">
        <v>2.73</v>
      </c>
    </row>
    <row r="24" spans="1:22" x14ac:dyDescent="0.3">
      <c r="A24" t="s">
        <v>375</v>
      </c>
      <c r="B24" t="s">
        <v>122</v>
      </c>
      <c r="C24" t="s">
        <v>568</v>
      </c>
      <c r="D24" t="s">
        <v>570</v>
      </c>
      <c r="E24" t="s">
        <v>479</v>
      </c>
      <c r="G24">
        <v>3047.28</v>
      </c>
      <c r="H24">
        <v>0.76</v>
      </c>
      <c r="I24">
        <v>44.35</v>
      </c>
      <c r="J24" t="s">
        <v>575</v>
      </c>
      <c r="K24">
        <v>5.5</v>
      </c>
      <c r="L24">
        <v>5.64</v>
      </c>
      <c r="M24">
        <v>900.65</v>
      </c>
      <c r="N24">
        <v>2</v>
      </c>
      <c r="O24">
        <v>6.4000000000000001E-2</v>
      </c>
      <c r="P24" t="s">
        <v>575</v>
      </c>
      <c r="Q24">
        <v>5.2999999999999999E-2</v>
      </c>
      <c r="R24">
        <v>238.38</v>
      </c>
      <c r="S24">
        <v>0.39100000000000001</v>
      </c>
      <c r="T24">
        <v>9.7000000000000003E-2</v>
      </c>
      <c r="U24">
        <v>0.26700000000000002</v>
      </c>
      <c r="V24">
        <v>3.31</v>
      </c>
    </row>
    <row r="25" spans="1:22" x14ac:dyDescent="0.3">
      <c r="A25" t="s">
        <v>375</v>
      </c>
      <c r="B25" t="s">
        <v>122</v>
      </c>
      <c r="C25" t="s">
        <v>568</v>
      </c>
      <c r="D25" t="s">
        <v>570</v>
      </c>
      <c r="E25" t="s">
        <v>479</v>
      </c>
      <c r="G25">
        <v>1487.75</v>
      </c>
      <c r="H25">
        <v>0.25</v>
      </c>
      <c r="I25">
        <v>10.06</v>
      </c>
      <c r="J25" t="s">
        <v>575</v>
      </c>
      <c r="K25">
        <v>3.69</v>
      </c>
      <c r="L25">
        <v>4</v>
      </c>
      <c r="M25">
        <v>593.72</v>
      </c>
      <c r="N25">
        <v>0.217</v>
      </c>
      <c r="O25" t="s">
        <v>575</v>
      </c>
      <c r="P25" t="s">
        <v>575</v>
      </c>
      <c r="Q25" t="s">
        <v>575</v>
      </c>
      <c r="R25">
        <v>194.52</v>
      </c>
      <c r="S25">
        <v>0.36299999999999999</v>
      </c>
      <c r="T25" t="s">
        <v>575</v>
      </c>
      <c r="U25">
        <v>1.2500000000000001E-2</v>
      </c>
      <c r="V25">
        <v>4.7E-2</v>
      </c>
    </row>
    <row r="26" spans="1:22" x14ac:dyDescent="0.3">
      <c r="A26" t="s">
        <v>375</v>
      </c>
      <c r="B26" t="s">
        <v>122</v>
      </c>
      <c r="C26" t="s">
        <v>568</v>
      </c>
      <c r="D26" t="s">
        <v>570</v>
      </c>
      <c r="E26" t="s">
        <v>479</v>
      </c>
      <c r="G26">
        <v>1633.23</v>
      </c>
      <c r="H26">
        <v>10.050000000000001</v>
      </c>
      <c r="I26">
        <v>17.32</v>
      </c>
      <c r="J26" t="s">
        <v>575</v>
      </c>
      <c r="K26">
        <v>2.2799999999999998</v>
      </c>
      <c r="L26">
        <v>3.08</v>
      </c>
      <c r="M26">
        <v>381.23</v>
      </c>
      <c r="N26" t="s">
        <v>575</v>
      </c>
      <c r="O26" t="s">
        <v>575</v>
      </c>
      <c r="P26">
        <v>0.109</v>
      </c>
      <c r="Q26" t="s">
        <v>575</v>
      </c>
      <c r="R26">
        <v>76.89</v>
      </c>
      <c r="S26">
        <v>0.02</v>
      </c>
      <c r="T26" t="s">
        <v>575</v>
      </c>
      <c r="U26">
        <v>0.21199999999999999</v>
      </c>
      <c r="V26">
        <v>0.22600000000000001</v>
      </c>
    </row>
    <row r="27" spans="1:22" x14ac:dyDescent="0.3">
      <c r="A27" t="s">
        <v>375</v>
      </c>
      <c r="B27" t="s">
        <v>122</v>
      </c>
      <c r="C27" t="s">
        <v>568</v>
      </c>
      <c r="D27" t="s">
        <v>570</v>
      </c>
      <c r="E27" t="s">
        <v>479</v>
      </c>
      <c r="G27">
        <v>1604.41</v>
      </c>
      <c r="H27">
        <v>0.31</v>
      </c>
      <c r="I27">
        <v>125.15</v>
      </c>
      <c r="J27">
        <v>1.2</v>
      </c>
      <c r="K27">
        <v>3.32</v>
      </c>
      <c r="L27">
        <v>0.83</v>
      </c>
      <c r="M27">
        <v>513.82000000000005</v>
      </c>
      <c r="N27">
        <v>2.09</v>
      </c>
      <c r="O27" t="s">
        <v>575</v>
      </c>
      <c r="P27">
        <v>3.9E-2</v>
      </c>
      <c r="Q27" t="s">
        <v>575</v>
      </c>
      <c r="R27">
        <v>73.58</v>
      </c>
      <c r="S27" t="s">
        <v>575</v>
      </c>
      <c r="T27" t="s">
        <v>575</v>
      </c>
      <c r="U27" t="s">
        <v>575</v>
      </c>
      <c r="V27">
        <v>1.1900000000000001E-2</v>
      </c>
    </row>
    <row r="28" spans="1:22" x14ac:dyDescent="0.3">
      <c r="A28" t="s">
        <v>375</v>
      </c>
      <c r="B28" t="s">
        <v>122</v>
      </c>
      <c r="C28" t="s">
        <v>568</v>
      </c>
      <c r="D28" t="s">
        <v>570</v>
      </c>
      <c r="E28" t="s">
        <v>479</v>
      </c>
      <c r="G28">
        <v>92.67</v>
      </c>
      <c r="H28" t="s">
        <v>575</v>
      </c>
      <c r="I28">
        <v>20.329999999999998</v>
      </c>
      <c r="J28" t="s">
        <v>575</v>
      </c>
      <c r="K28">
        <v>1.38</v>
      </c>
      <c r="L28">
        <v>0.67</v>
      </c>
      <c r="M28">
        <v>214.26</v>
      </c>
      <c r="N28">
        <v>2.73</v>
      </c>
      <c r="O28" t="s">
        <v>575</v>
      </c>
      <c r="P28" t="s">
        <v>575</v>
      </c>
      <c r="Q28" t="s">
        <v>575</v>
      </c>
      <c r="R28">
        <v>50.72</v>
      </c>
      <c r="S28">
        <v>6.0999999999999999E-2</v>
      </c>
      <c r="T28" t="s">
        <v>575</v>
      </c>
      <c r="U28">
        <v>4.4999999999999998E-2</v>
      </c>
      <c r="V28">
        <v>2.0400000000000001E-2</v>
      </c>
    </row>
    <row r="29" spans="1:22" x14ac:dyDescent="0.3">
      <c r="A29" t="s">
        <v>375</v>
      </c>
      <c r="B29" t="s">
        <v>122</v>
      </c>
      <c r="C29" t="s">
        <v>568</v>
      </c>
      <c r="D29" t="s">
        <v>570</v>
      </c>
      <c r="E29" t="s">
        <v>479</v>
      </c>
      <c r="G29">
        <v>195.51</v>
      </c>
      <c r="H29" t="s">
        <v>575</v>
      </c>
      <c r="I29">
        <v>9.7799999999999994</v>
      </c>
      <c r="J29" t="s">
        <v>575</v>
      </c>
      <c r="K29">
        <v>1.75</v>
      </c>
      <c r="L29">
        <v>0.61</v>
      </c>
      <c r="M29">
        <v>242.82</v>
      </c>
      <c r="N29">
        <v>9.74</v>
      </c>
      <c r="O29">
        <v>4.8999999999999998E-3</v>
      </c>
      <c r="P29" t="s">
        <v>575</v>
      </c>
      <c r="Q29" t="s">
        <v>575</v>
      </c>
      <c r="R29">
        <v>53.97</v>
      </c>
      <c r="S29">
        <v>0.63700000000000001</v>
      </c>
      <c r="T29" t="s">
        <v>575</v>
      </c>
      <c r="U29">
        <v>3.4000000000000002E-2</v>
      </c>
      <c r="V29">
        <v>8.2000000000000003E-2</v>
      </c>
    </row>
    <row r="30" spans="1:22" x14ac:dyDescent="0.3">
      <c r="A30" t="s">
        <v>375</v>
      </c>
      <c r="B30" t="s">
        <v>122</v>
      </c>
      <c r="C30" t="s">
        <v>568</v>
      </c>
      <c r="D30" t="s">
        <v>570</v>
      </c>
      <c r="E30" t="s">
        <v>479</v>
      </c>
      <c r="G30">
        <v>311.99</v>
      </c>
      <c r="H30" t="s">
        <v>575</v>
      </c>
      <c r="I30">
        <v>75.53</v>
      </c>
      <c r="J30" t="s">
        <v>575</v>
      </c>
      <c r="K30">
        <v>1.1200000000000001</v>
      </c>
      <c r="L30">
        <v>0.78</v>
      </c>
      <c r="M30">
        <v>178</v>
      </c>
      <c r="N30">
        <v>0.55000000000000004</v>
      </c>
      <c r="O30" t="s">
        <v>575</v>
      </c>
      <c r="P30" t="s">
        <v>575</v>
      </c>
      <c r="Q30">
        <v>3.5999999999999997E-2</v>
      </c>
      <c r="R30">
        <v>13.66</v>
      </c>
      <c r="S30">
        <v>2.5999999999999999E-2</v>
      </c>
      <c r="T30" t="s">
        <v>575</v>
      </c>
      <c r="U30">
        <v>0.04</v>
      </c>
      <c r="V30">
        <v>0.22900000000000001</v>
      </c>
    </row>
    <row r="31" spans="1:22" x14ac:dyDescent="0.3">
      <c r="A31" t="s">
        <v>375</v>
      </c>
      <c r="B31" t="s">
        <v>122</v>
      </c>
      <c r="C31" t="s">
        <v>568</v>
      </c>
      <c r="D31" t="s">
        <v>570</v>
      </c>
      <c r="E31" t="s">
        <v>479</v>
      </c>
      <c r="G31">
        <v>1559.69</v>
      </c>
      <c r="H31">
        <v>1.26</v>
      </c>
      <c r="I31">
        <v>60</v>
      </c>
      <c r="J31" t="s">
        <v>575</v>
      </c>
      <c r="K31">
        <v>2.99</v>
      </c>
      <c r="L31">
        <v>83.32</v>
      </c>
      <c r="M31">
        <v>460.58</v>
      </c>
      <c r="N31">
        <v>0.20100000000000001</v>
      </c>
      <c r="O31" t="s">
        <v>575</v>
      </c>
      <c r="P31" t="s">
        <v>575</v>
      </c>
      <c r="Q31" t="s">
        <v>575</v>
      </c>
      <c r="R31">
        <v>97.31</v>
      </c>
      <c r="S31">
        <v>1.4999999999999999E-2</v>
      </c>
      <c r="T31" t="s">
        <v>575</v>
      </c>
      <c r="U31" t="s">
        <v>575</v>
      </c>
      <c r="V31" t="s">
        <v>575</v>
      </c>
    </row>
    <row r="32" spans="1:22" x14ac:dyDescent="0.3">
      <c r="A32" t="s">
        <v>375</v>
      </c>
      <c r="B32" t="s">
        <v>122</v>
      </c>
      <c r="C32" t="s">
        <v>568</v>
      </c>
      <c r="D32" t="s">
        <v>570</v>
      </c>
      <c r="E32" t="s">
        <v>479</v>
      </c>
      <c r="G32">
        <v>0.69399999999999995</v>
      </c>
      <c r="H32">
        <v>0.48</v>
      </c>
      <c r="I32">
        <v>9.2899999999999991</v>
      </c>
      <c r="J32">
        <v>6.68</v>
      </c>
      <c r="K32">
        <v>0.27300000000000002</v>
      </c>
      <c r="L32">
        <v>14997.8</v>
      </c>
      <c r="M32" t="s">
        <v>575</v>
      </c>
      <c r="N32">
        <v>53.68</v>
      </c>
      <c r="O32">
        <v>0.46100000000000002</v>
      </c>
      <c r="P32" t="s">
        <v>575</v>
      </c>
      <c r="Q32">
        <v>88.68</v>
      </c>
      <c r="R32" t="s">
        <v>575</v>
      </c>
      <c r="S32" t="s">
        <v>575</v>
      </c>
      <c r="T32">
        <v>427.78</v>
      </c>
      <c r="U32">
        <v>117.47</v>
      </c>
      <c r="V32">
        <v>1.2800000000000001E-2</v>
      </c>
    </row>
    <row r="33" spans="1:22" x14ac:dyDescent="0.3">
      <c r="A33" t="s">
        <v>375</v>
      </c>
      <c r="B33" t="s">
        <v>122</v>
      </c>
      <c r="C33" t="s">
        <v>568</v>
      </c>
      <c r="D33" t="s">
        <v>570</v>
      </c>
      <c r="E33" t="s">
        <v>479</v>
      </c>
      <c r="G33">
        <v>70.959999999999994</v>
      </c>
      <c r="H33">
        <v>2.83</v>
      </c>
      <c r="I33">
        <v>2.97</v>
      </c>
      <c r="J33" t="s">
        <v>575</v>
      </c>
      <c r="K33">
        <v>0.192</v>
      </c>
      <c r="L33">
        <v>0.82</v>
      </c>
      <c r="M33">
        <v>9.69</v>
      </c>
      <c r="N33">
        <v>14.96</v>
      </c>
      <c r="O33" t="s">
        <v>575</v>
      </c>
      <c r="P33">
        <v>0.10199999999999999</v>
      </c>
      <c r="Q33">
        <v>5.1999999999999998E-2</v>
      </c>
      <c r="R33">
        <v>1.47</v>
      </c>
      <c r="S33" t="s">
        <v>575</v>
      </c>
      <c r="T33" t="s">
        <v>575</v>
      </c>
      <c r="U33">
        <v>0.317</v>
      </c>
      <c r="V33">
        <v>0.124</v>
      </c>
    </row>
    <row r="34" spans="1:22" x14ac:dyDescent="0.3">
      <c r="A34" t="s">
        <v>375</v>
      </c>
      <c r="B34" t="s">
        <v>122</v>
      </c>
      <c r="C34" t="s">
        <v>568</v>
      </c>
      <c r="D34" t="s">
        <v>570</v>
      </c>
      <c r="E34" t="s">
        <v>479</v>
      </c>
      <c r="G34">
        <v>127.93</v>
      </c>
      <c r="H34">
        <v>1.98</v>
      </c>
      <c r="I34">
        <v>6.52</v>
      </c>
      <c r="J34" t="s">
        <v>575</v>
      </c>
      <c r="K34">
        <v>8.8999999999999996E-2</v>
      </c>
      <c r="L34">
        <v>0.92</v>
      </c>
      <c r="M34">
        <v>15.53</v>
      </c>
      <c r="N34">
        <v>7.02</v>
      </c>
      <c r="O34">
        <v>0.16300000000000001</v>
      </c>
      <c r="P34">
        <v>6.4000000000000001E-2</v>
      </c>
      <c r="Q34" t="s">
        <v>575</v>
      </c>
      <c r="R34">
        <v>1.63</v>
      </c>
      <c r="S34" t="s">
        <v>575</v>
      </c>
      <c r="T34">
        <v>7.2999999999999995E-2</v>
      </c>
      <c r="U34">
        <v>8.5999999999999993E-2</v>
      </c>
      <c r="V34">
        <v>0.93600000000000005</v>
      </c>
    </row>
    <row r="35" spans="1:22" x14ac:dyDescent="0.3">
      <c r="A35" t="s">
        <v>375</v>
      </c>
      <c r="B35" t="s">
        <v>122</v>
      </c>
      <c r="C35" t="s">
        <v>568</v>
      </c>
      <c r="D35" t="s">
        <v>570</v>
      </c>
      <c r="E35" t="s">
        <v>479</v>
      </c>
      <c r="G35">
        <v>497.81</v>
      </c>
      <c r="H35">
        <v>5.0999999999999996</v>
      </c>
      <c r="I35">
        <v>40.18</v>
      </c>
      <c r="J35">
        <v>2.36</v>
      </c>
      <c r="K35">
        <v>0.41099999999999998</v>
      </c>
      <c r="L35">
        <v>16.71</v>
      </c>
      <c r="M35">
        <v>64.12</v>
      </c>
      <c r="N35">
        <v>48.53</v>
      </c>
      <c r="O35">
        <v>0.54800000000000004</v>
      </c>
      <c r="P35" t="s">
        <v>575</v>
      </c>
      <c r="Q35">
        <v>0.58399999999999996</v>
      </c>
      <c r="R35">
        <v>24.38</v>
      </c>
      <c r="S35">
        <v>0.53700000000000003</v>
      </c>
      <c r="T35">
        <v>0.25</v>
      </c>
      <c r="U35">
        <v>14.94</v>
      </c>
      <c r="V35">
        <v>11.35</v>
      </c>
    </row>
    <row r="36" spans="1:22" x14ac:dyDescent="0.3">
      <c r="A36" t="s">
        <v>375</v>
      </c>
      <c r="B36" t="s">
        <v>122</v>
      </c>
      <c r="C36" t="s">
        <v>568</v>
      </c>
      <c r="D36" t="s">
        <v>570</v>
      </c>
      <c r="E36" t="s">
        <v>479</v>
      </c>
      <c r="G36">
        <v>2612.7800000000002</v>
      </c>
      <c r="H36">
        <v>199.16</v>
      </c>
      <c r="I36">
        <v>114.19</v>
      </c>
      <c r="J36">
        <v>2.66</v>
      </c>
      <c r="K36">
        <v>0.39</v>
      </c>
      <c r="L36">
        <v>620</v>
      </c>
      <c r="M36">
        <v>38.17</v>
      </c>
      <c r="N36">
        <v>0.53</v>
      </c>
      <c r="O36">
        <v>3.5000000000000003E-2</v>
      </c>
      <c r="P36" t="s">
        <v>575</v>
      </c>
      <c r="Q36">
        <v>1.42</v>
      </c>
      <c r="R36">
        <v>15.24</v>
      </c>
      <c r="S36">
        <v>0.05</v>
      </c>
      <c r="T36">
        <v>4.4999999999999998E-2</v>
      </c>
      <c r="U36">
        <v>123.43</v>
      </c>
      <c r="V36">
        <v>18.63</v>
      </c>
    </row>
    <row r="37" spans="1:22" x14ac:dyDescent="0.3">
      <c r="A37" t="s">
        <v>375</v>
      </c>
      <c r="B37" t="s">
        <v>122</v>
      </c>
      <c r="C37" t="s">
        <v>568</v>
      </c>
      <c r="D37" t="s">
        <v>570</v>
      </c>
      <c r="E37" t="s">
        <v>479</v>
      </c>
      <c r="G37">
        <v>46.99</v>
      </c>
      <c r="H37">
        <v>126.9</v>
      </c>
      <c r="I37">
        <v>19.61</v>
      </c>
      <c r="J37" t="s">
        <v>575</v>
      </c>
      <c r="K37">
        <v>1.48</v>
      </c>
      <c r="L37">
        <v>38.950000000000003</v>
      </c>
      <c r="M37">
        <v>244.61</v>
      </c>
      <c r="N37">
        <v>0.128</v>
      </c>
      <c r="O37">
        <v>2.7E-2</v>
      </c>
      <c r="P37">
        <v>0.22</v>
      </c>
      <c r="Q37">
        <v>8.6999999999999994E-2</v>
      </c>
      <c r="R37">
        <v>0.21</v>
      </c>
      <c r="S37" t="s">
        <v>575</v>
      </c>
      <c r="T37" t="s">
        <v>575</v>
      </c>
      <c r="U37">
        <v>0.183</v>
      </c>
      <c r="V37" t="s">
        <v>575</v>
      </c>
    </row>
    <row r="38" spans="1:22" x14ac:dyDescent="0.3">
      <c r="A38" t="s">
        <v>375</v>
      </c>
      <c r="B38" t="s">
        <v>122</v>
      </c>
      <c r="C38" t="s">
        <v>568</v>
      </c>
      <c r="D38" t="s">
        <v>570</v>
      </c>
      <c r="E38" t="s">
        <v>479</v>
      </c>
      <c r="G38">
        <v>84.12</v>
      </c>
      <c r="H38">
        <v>189.39</v>
      </c>
      <c r="I38">
        <v>10.8</v>
      </c>
      <c r="J38" t="s">
        <v>575</v>
      </c>
      <c r="K38">
        <v>0.54</v>
      </c>
      <c r="L38">
        <v>728.67</v>
      </c>
      <c r="M38">
        <v>126.96</v>
      </c>
      <c r="N38">
        <v>0.5</v>
      </c>
      <c r="O38">
        <v>1.1200000000000001</v>
      </c>
      <c r="P38" t="s">
        <v>575</v>
      </c>
      <c r="Q38">
        <v>1.87</v>
      </c>
      <c r="R38">
        <v>24.81</v>
      </c>
      <c r="S38">
        <v>0.188</v>
      </c>
      <c r="T38">
        <v>0.12</v>
      </c>
      <c r="U38">
        <v>13.68</v>
      </c>
      <c r="V38">
        <v>7.54</v>
      </c>
    </row>
    <row r="39" spans="1:22" x14ac:dyDescent="0.3">
      <c r="A39" t="s">
        <v>375</v>
      </c>
      <c r="B39" t="s">
        <v>122</v>
      </c>
      <c r="C39" t="s">
        <v>568</v>
      </c>
      <c r="D39" t="s">
        <v>570</v>
      </c>
      <c r="E39" t="s">
        <v>479</v>
      </c>
      <c r="G39">
        <v>102.26</v>
      </c>
      <c r="H39">
        <v>62.49</v>
      </c>
      <c r="I39">
        <v>182.71</v>
      </c>
      <c r="J39" t="s">
        <v>575</v>
      </c>
      <c r="K39">
        <v>0.151</v>
      </c>
      <c r="L39">
        <v>3374.7</v>
      </c>
      <c r="M39">
        <v>1.58</v>
      </c>
      <c r="N39">
        <v>22.7</v>
      </c>
      <c r="O39">
        <v>0.28499999999999998</v>
      </c>
      <c r="P39" t="s">
        <v>575</v>
      </c>
      <c r="Q39">
        <v>9.81</v>
      </c>
      <c r="R39" t="s">
        <v>575</v>
      </c>
      <c r="S39">
        <v>0.16800000000000001</v>
      </c>
      <c r="T39">
        <v>9.4E-2</v>
      </c>
      <c r="U39">
        <v>54.69</v>
      </c>
      <c r="V39">
        <v>0.48499999999999999</v>
      </c>
    </row>
    <row r="40" spans="1:22" x14ac:dyDescent="0.3">
      <c r="A40" t="s">
        <v>375</v>
      </c>
      <c r="B40" t="s">
        <v>122</v>
      </c>
      <c r="C40" t="s">
        <v>568</v>
      </c>
      <c r="D40" t="s">
        <v>570</v>
      </c>
      <c r="E40" t="s">
        <v>479</v>
      </c>
      <c r="G40">
        <v>1498.93</v>
      </c>
      <c r="H40">
        <v>1209.5999999999999</v>
      </c>
      <c r="I40">
        <v>138.35</v>
      </c>
      <c r="J40">
        <v>3.33</v>
      </c>
      <c r="K40">
        <v>0.97</v>
      </c>
      <c r="L40">
        <v>387.02</v>
      </c>
      <c r="M40">
        <v>123.38</v>
      </c>
      <c r="N40">
        <v>0.33400000000000002</v>
      </c>
      <c r="O40">
        <v>6.3E-2</v>
      </c>
      <c r="P40" t="s">
        <v>575</v>
      </c>
      <c r="Q40">
        <v>0.46600000000000003</v>
      </c>
      <c r="R40">
        <v>0.35</v>
      </c>
      <c r="S40">
        <v>5.1999999999999998E-2</v>
      </c>
      <c r="T40">
        <v>1.66E-2</v>
      </c>
      <c r="U40">
        <v>19.34</v>
      </c>
      <c r="V40">
        <v>7.03</v>
      </c>
    </row>
    <row r="41" spans="1:22" x14ac:dyDescent="0.3">
      <c r="A41" t="s">
        <v>375</v>
      </c>
      <c r="B41" t="s">
        <v>122</v>
      </c>
      <c r="C41" t="s">
        <v>568</v>
      </c>
      <c r="D41" t="s">
        <v>570</v>
      </c>
      <c r="E41" t="s">
        <v>479</v>
      </c>
      <c r="G41">
        <v>46.6</v>
      </c>
      <c r="H41">
        <v>105.14</v>
      </c>
      <c r="I41">
        <v>51.38</v>
      </c>
      <c r="J41" t="s">
        <v>575</v>
      </c>
      <c r="K41">
        <v>0.84</v>
      </c>
      <c r="L41">
        <v>877.87</v>
      </c>
      <c r="M41">
        <v>129.52000000000001</v>
      </c>
      <c r="N41">
        <v>4.33</v>
      </c>
      <c r="O41">
        <v>0.51700000000000002</v>
      </c>
      <c r="P41">
        <v>0.16500000000000001</v>
      </c>
      <c r="Q41">
        <v>1.98</v>
      </c>
      <c r="R41">
        <v>25.51</v>
      </c>
      <c r="S41">
        <v>7.1999999999999995E-2</v>
      </c>
      <c r="T41">
        <v>2.5000000000000001E-2</v>
      </c>
      <c r="U41">
        <v>11.73</v>
      </c>
      <c r="V41">
        <v>4</v>
      </c>
    </row>
    <row r="42" spans="1:22" x14ac:dyDescent="0.3">
      <c r="A42" t="s">
        <v>375</v>
      </c>
      <c r="B42" t="s">
        <v>122</v>
      </c>
      <c r="C42" t="s">
        <v>568</v>
      </c>
      <c r="D42" t="s">
        <v>570</v>
      </c>
      <c r="E42" t="s">
        <v>479</v>
      </c>
      <c r="G42">
        <v>51.26</v>
      </c>
      <c r="H42">
        <v>76.47</v>
      </c>
      <c r="I42">
        <v>16.649999999999999</v>
      </c>
      <c r="J42" t="s">
        <v>575</v>
      </c>
      <c r="K42">
        <v>0.96</v>
      </c>
      <c r="L42">
        <v>152.56</v>
      </c>
      <c r="M42">
        <v>152.33000000000001</v>
      </c>
      <c r="N42">
        <v>0.69</v>
      </c>
      <c r="O42" t="s">
        <v>575</v>
      </c>
      <c r="P42">
        <v>9.9000000000000005E-2</v>
      </c>
      <c r="Q42">
        <v>0.28399999999999997</v>
      </c>
      <c r="R42">
        <v>1.77</v>
      </c>
      <c r="S42" t="s">
        <v>575</v>
      </c>
      <c r="T42" t="s">
        <v>575</v>
      </c>
      <c r="U42">
        <v>1.76</v>
      </c>
      <c r="V42">
        <v>0.121</v>
      </c>
    </row>
    <row r="43" spans="1:22" x14ac:dyDescent="0.3">
      <c r="A43" t="s">
        <v>375</v>
      </c>
      <c r="B43" t="s">
        <v>122</v>
      </c>
      <c r="C43" t="s">
        <v>568</v>
      </c>
      <c r="D43" t="s">
        <v>570</v>
      </c>
      <c r="E43" t="s">
        <v>479</v>
      </c>
      <c r="G43">
        <v>1012.67</v>
      </c>
      <c r="H43">
        <v>87.96</v>
      </c>
      <c r="I43">
        <v>0.69599999999999995</v>
      </c>
      <c r="J43" t="s">
        <v>575</v>
      </c>
      <c r="K43">
        <v>0.36899999999999999</v>
      </c>
      <c r="L43">
        <v>147.26</v>
      </c>
      <c r="M43">
        <v>60.59</v>
      </c>
      <c r="N43">
        <v>8.5000000000000006E-2</v>
      </c>
      <c r="O43" t="s">
        <v>575</v>
      </c>
      <c r="P43" t="s">
        <v>575</v>
      </c>
      <c r="Q43">
        <v>6.6000000000000003E-2</v>
      </c>
      <c r="R43" t="s">
        <v>575</v>
      </c>
      <c r="S43" t="s">
        <v>575</v>
      </c>
      <c r="T43" t="s">
        <v>575</v>
      </c>
      <c r="U43">
        <v>0.16700000000000001</v>
      </c>
      <c r="V43">
        <v>0.32400000000000001</v>
      </c>
    </row>
    <row r="44" spans="1:22" x14ac:dyDescent="0.3">
      <c r="A44" t="s">
        <v>375</v>
      </c>
      <c r="B44" t="s">
        <v>122</v>
      </c>
      <c r="C44" t="s">
        <v>568</v>
      </c>
      <c r="D44" t="s">
        <v>570</v>
      </c>
      <c r="E44" t="s">
        <v>479</v>
      </c>
      <c r="G44">
        <v>43</v>
      </c>
      <c r="H44">
        <v>250.74</v>
      </c>
      <c r="I44">
        <v>26.56</v>
      </c>
      <c r="J44">
        <v>1.24</v>
      </c>
      <c r="K44">
        <v>0.64200000000000002</v>
      </c>
      <c r="L44">
        <v>803.88</v>
      </c>
      <c r="M44">
        <v>73.260000000000005</v>
      </c>
      <c r="N44">
        <v>2.56</v>
      </c>
      <c r="O44">
        <v>0.1</v>
      </c>
      <c r="P44" t="s">
        <v>575</v>
      </c>
      <c r="Q44">
        <v>2.37</v>
      </c>
      <c r="R44">
        <v>1.98</v>
      </c>
      <c r="S44">
        <v>3.5000000000000003E-2</v>
      </c>
      <c r="T44">
        <v>1.84E-2</v>
      </c>
      <c r="U44">
        <v>15.04</v>
      </c>
      <c r="V44">
        <v>0.63900000000000001</v>
      </c>
    </row>
    <row r="45" spans="1:22" x14ac:dyDescent="0.3">
      <c r="A45" t="s">
        <v>375</v>
      </c>
      <c r="B45" t="s">
        <v>122</v>
      </c>
      <c r="C45" t="s">
        <v>568</v>
      </c>
      <c r="D45" t="s">
        <v>570</v>
      </c>
      <c r="E45" t="s">
        <v>479</v>
      </c>
      <c r="G45">
        <v>53.03</v>
      </c>
      <c r="H45">
        <v>32.619999999999997</v>
      </c>
      <c r="I45">
        <v>2.91</v>
      </c>
      <c r="J45" t="s">
        <v>575</v>
      </c>
      <c r="K45">
        <v>0.61</v>
      </c>
      <c r="L45">
        <v>4.8899999999999997</v>
      </c>
      <c r="M45">
        <v>96.83</v>
      </c>
      <c r="N45" t="s">
        <v>575</v>
      </c>
      <c r="O45" t="s">
        <v>575</v>
      </c>
      <c r="P45">
        <v>0.108</v>
      </c>
      <c r="Q45" t="s">
        <v>575</v>
      </c>
      <c r="R45">
        <v>3.38</v>
      </c>
      <c r="S45" t="s">
        <v>575</v>
      </c>
      <c r="T45" t="s">
        <v>575</v>
      </c>
      <c r="U45">
        <v>0.20699999999999999</v>
      </c>
      <c r="V45">
        <v>0.11</v>
      </c>
    </row>
    <row r="46" spans="1:22" x14ac:dyDescent="0.3">
      <c r="A46" t="s">
        <v>375</v>
      </c>
      <c r="B46" t="s">
        <v>122</v>
      </c>
      <c r="C46" t="s">
        <v>568</v>
      </c>
      <c r="D46" t="s">
        <v>570</v>
      </c>
      <c r="E46" t="s">
        <v>479</v>
      </c>
      <c r="G46">
        <v>37.869999999999997</v>
      </c>
      <c r="H46">
        <v>32.99</v>
      </c>
      <c r="I46">
        <v>23.34</v>
      </c>
      <c r="J46" t="s">
        <v>575</v>
      </c>
      <c r="K46">
        <v>1.03</v>
      </c>
      <c r="L46">
        <v>62.3</v>
      </c>
      <c r="M46">
        <v>183.18</v>
      </c>
      <c r="N46">
        <v>3.03</v>
      </c>
      <c r="O46">
        <v>6.5000000000000002E-2</v>
      </c>
      <c r="P46" t="s">
        <v>575</v>
      </c>
      <c r="Q46" t="s">
        <v>575</v>
      </c>
      <c r="R46">
        <v>2.86</v>
      </c>
      <c r="S46">
        <v>1.4E-2</v>
      </c>
      <c r="T46">
        <v>9.1000000000000004E-3</v>
      </c>
      <c r="U46">
        <v>0.74299999999999999</v>
      </c>
      <c r="V46">
        <v>0.3</v>
      </c>
    </row>
    <row r="47" spans="1:22" x14ac:dyDescent="0.3">
      <c r="A47" t="s">
        <v>375</v>
      </c>
      <c r="B47" t="s">
        <v>122</v>
      </c>
      <c r="C47" t="s">
        <v>568</v>
      </c>
      <c r="D47" t="s">
        <v>570</v>
      </c>
      <c r="E47" t="s">
        <v>479</v>
      </c>
      <c r="G47">
        <v>993.06</v>
      </c>
      <c r="H47">
        <v>103.29</v>
      </c>
      <c r="I47">
        <v>24.73</v>
      </c>
      <c r="J47">
        <v>1.97</v>
      </c>
      <c r="K47">
        <v>0.496</v>
      </c>
      <c r="L47">
        <v>507.13</v>
      </c>
      <c r="M47">
        <v>67.28</v>
      </c>
      <c r="N47">
        <v>0.33400000000000002</v>
      </c>
      <c r="O47">
        <v>0.108</v>
      </c>
      <c r="P47" t="s">
        <v>575</v>
      </c>
      <c r="Q47">
        <v>0.56200000000000006</v>
      </c>
      <c r="R47">
        <v>5.03</v>
      </c>
      <c r="S47" t="s">
        <v>575</v>
      </c>
      <c r="T47">
        <v>8.6E-3</v>
      </c>
      <c r="U47">
        <v>47.07</v>
      </c>
      <c r="V47">
        <v>14.21</v>
      </c>
    </row>
    <row r="48" spans="1:22" x14ac:dyDescent="0.3">
      <c r="A48" t="s">
        <v>375</v>
      </c>
      <c r="B48" t="s">
        <v>122</v>
      </c>
      <c r="C48" t="s">
        <v>568</v>
      </c>
      <c r="D48" t="s">
        <v>570</v>
      </c>
      <c r="E48" t="s">
        <v>479</v>
      </c>
      <c r="G48">
        <v>687.28</v>
      </c>
      <c r="H48">
        <v>64.069999999999993</v>
      </c>
      <c r="I48">
        <v>38.18</v>
      </c>
      <c r="J48">
        <v>4.8899999999999997</v>
      </c>
      <c r="K48">
        <v>0.26800000000000002</v>
      </c>
      <c r="L48">
        <v>293.83999999999997</v>
      </c>
      <c r="M48">
        <v>35.44</v>
      </c>
      <c r="N48">
        <v>0.46200000000000002</v>
      </c>
      <c r="O48" t="s">
        <v>575</v>
      </c>
      <c r="P48" t="s">
        <v>575</v>
      </c>
      <c r="Q48">
        <v>9.9000000000000005E-2</v>
      </c>
      <c r="R48">
        <v>0.23</v>
      </c>
      <c r="S48" t="s">
        <v>575</v>
      </c>
      <c r="T48" t="s">
        <v>575</v>
      </c>
      <c r="U48">
        <v>15.2</v>
      </c>
      <c r="V48">
        <v>7.08</v>
      </c>
    </row>
    <row r="49" spans="1:22" x14ac:dyDescent="0.3">
      <c r="A49" t="s">
        <v>375</v>
      </c>
      <c r="B49" t="s">
        <v>122</v>
      </c>
      <c r="C49" t="s">
        <v>568</v>
      </c>
      <c r="D49" t="s">
        <v>570</v>
      </c>
      <c r="E49" t="s">
        <v>479</v>
      </c>
      <c r="G49">
        <v>20.52</v>
      </c>
      <c r="H49">
        <v>85.86</v>
      </c>
      <c r="I49">
        <v>23.46</v>
      </c>
      <c r="J49" t="s">
        <v>575</v>
      </c>
      <c r="K49">
        <v>1.32</v>
      </c>
      <c r="L49">
        <v>17.97</v>
      </c>
      <c r="M49">
        <v>249.11</v>
      </c>
      <c r="N49">
        <v>0.28499999999999998</v>
      </c>
      <c r="O49" t="s">
        <v>575</v>
      </c>
      <c r="P49" t="s">
        <v>575</v>
      </c>
      <c r="Q49" t="s">
        <v>575</v>
      </c>
      <c r="R49" t="s">
        <v>575</v>
      </c>
      <c r="S49" t="s">
        <v>575</v>
      </c>
      <c r="T49" t="s">
        <v>575</v>
      </c>
      <c r="U49">
        <v>2.1999999999999999E-2</v>
      </c>
      <c r="V49">
        <v>7.3000000000000001E-3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0477-CBE2-4F80-BD78-0D73E6D656B8}">
  <dimension ref="A1:N226"/>
  <sheetViews>
    <sheetView zoomScaleNormal="100" workbookViewId="0">
      <pane ySplit="1" topLeftCell="A201" activePane="bottomLeft" state="frozen"/>
      <selection pane="bottomLeft" activeCell="E210" sqref="E210"/>
    </sheetView>
  </sheetViews>
  <sheetFormatPr baseColWidth="10" defaultRowHeight="14.4" x14ac:dyDescent="0.3"/>
  <cols>
    <col min="1" max="1" width="23.88671875" customWidth="1"/>
    <col min="2" max="2" width="22.6640625" customWidth="1"/>
    <col min="4" max="4" width="15.109375" bestFit="1" customWidth="1"/>
    <col min="5" max="7" width="10.77734375" bestFit="1" customWidth="1"/>
    <col min="8" max="9" width="11.77734375" bestFit="1" customWidth="1"/>
    <col min="10" max="10" width="27.44140625" bestFit="1" customWidth="1"/>
    <col min="13" max="13" width="26.33203125" customWidth="1"/>
    <col min="14" max="14" width="13.5546875" bestFit="1" customWidth="1"/>
  </cols>
  <sheetData>
    <row r="1" spans="1:14" x14ac:dyDescent="0.3">
      <c r="A1" t="s">
        <v>116</v>
      </c>
      <c r="B1" t="s">
        <v>117</v>
      </c>
      <c r="C1" t="s">
        <v>118</v>
      </c>
      <c r="D1" s="1" t="s">
        <v>113</v>
      </c>
      <c r="E1" s="1" t="s">
        <v>2</v>
      </c>
      <c r="F1" s="1" t="s">
        <v>3</v>
      </c>
      <c r="G1" s="1" t="s">
        <v>7</v>
      </c>
      <c r="H1" s="1" t="s">
        <v>10</v>
      </c>
      <c r="I1" s="1" t="s">
        <v>11</v>
      </c>
      <c r="J1" s="1" t="s">
        <v>12</v>
      </c>
    </row>
    <row r="2" spans="1:14" x14ac:dyDescent="0.3">
      <c r="D2" s="1"/>
      <c r="E2" s="1" t="s">
        <v>115</v>
      </c>
      <c r="F2" s="1" t="s">
        <v>115</v>
      </c>
      <c r="G2" s="1" t="s">
        <v>115</v>
      </c>
      <c r="H2" s="1" t="s">
        <v>115</v>
      </c>
      <c r="I2" s="1" t="s">
        <v>115</v>
      </c>
      <c r="J2" s="1" t="s">
        <v>115</v>
      </c>
    </row>
    <row r="3" spans="1:14" x14ac:dyDescent="0.3">
      <c r="A3" t="s">
        <v>244</v>
      </c>
      <c r="B3" t="s">
        <v>242</v>
      </c>
      <c r="C3" t="s">
        <v>122</v>
      </c>
      <c r="D3">
        <v>24</v>
      </c>
      <c r="E3">
        <v>53.609000000000002</v>
      </c>
      <c r="F3">
        <v>0.55700000000000005</v>
      </c>
      <c r="G3">
        <v>46.195</v>
      </c>
      <c r="H3">
        <v>0</v>
      </c>
      <c r="I3">
        <v>100.741</v>
      </c>
      <c r="J3" s="1" t="s">
        <v>15</v>
      </c>
    </row>
    <row r="4" spans="1:14" x14ac:dyDescent="0.3">
      <c r="A4" t="s">
        <v>244</v>
      </c>
      <c r="B4" t="s">
        <v>242</v>
      </c>
      <c r="C4" t="s">
        <v>122</v>
      </c>
      <c r="D4">
        <v>25</v>
      </c>
      <c r="E4">
        <v>53.863999999999997</v>
      </c>
      <c r="F4">
        <v>1.5980000000000001</v>
      </c>
      <c r="G4">
        <v>45.192999999999998</v>
      </c>
      <c r="H4">
        <v>0</v>
      </c>
      <c r="I4">
        <v>101.011</v>
      </c>
      <c r="J4" s="1" t="s">
        <v>16</v>
      </c>
    </row>
    <row r="5" spans="1:14" x14ac:dyDescent="0.3">
      <c r="A5" t="s">
        <v>244</v>
      </c>
      <c r="B5" t="s">
        <v>242</v>
      </c>
      <c r="C5" t="s">
        <v>122</v>
      </c>
      <c r="D5">
        <v>26</v>
      </c>
      <c r="E5">
        <v>53.183</v>
      </c>
      <c r="F5">
        <v>2.294</v>
      </c>
      <c r="G5">
        <v>44.448999999999998</v>
      </c>
      <c r="H5">
        <v>4.2000000000000003E-2</v>
      </c>
      <c r="I5">
        <v>100.878</v>
      </c>
      <c r="J5" s="1" t="s">
        <v>17</v>
      </c>
    </row>
    <row r="6" spans="1:14" x14ac:dyDescent="0.3">
      <c r="A6" t="s">
        <v>244</v>
      </c>
      <c r="B6" t="s">
        <v>242</v>
      </c>
      <c r="C6" t="s">
        <v>122</v>
      </c>
      <c r="D6">
        <v>27</v>
      </c>
      <c r="E6">
        <v>53.131</v>
      </c>
      <c r="F6">
        <v>1.9359999999999999</v>
      </c>
      <c r="G6">
        <v>44.753</v>
      </c>
      <c r="H6">
        <v>0.26</v>
      </c>
      <c r="I6">
        <v>101.16200000000001</v>
      </c>
      <c r="J6" s="1" t="s">
        <v>18</v>
      </c>
    </row>
    <row r="7" spans="1:14" x14ac:dyDescent="0.3">
      <c r="A7" t="s">
        <v>244</v>
      </c>
      <c r="B7" t="s">
        <v>242</v>
      </c>
      <c r="C7" t="s">
        <v>122</v>
      </c>
      <c r="D7">
        <v>28</v>
      </c>
      <c r="E7">
        <v>53.223999999999997</v>
      </c>
      <c r="F7">
        <v>1.4550000000000001</v>
      </c>
      <c r="G7">
        <v>45.316000000000003</v>
      </c>
      <c r="H7">
        <v>4.0000000000000001E-3</v>
      </c>
      <c r="I7">
        <v>101.589</v>
      </c>
      <c r="J7" s="1" t="s">
        <v>19</v>
      </c>
    </row>
    <row r="8" spans="1:14" x14ac:dyDescent="0.3">
      <c r="A8" t="s">
        <v>244</v>
      </c>
      <c r="B8" t="s">
        <v>242</v>
      </c>
      <c r="C8" t="s">
        <v>122</v>
      </c>
      <c r="D8">
        <v>29</v>
      </c>
      <c r="E8">
        <v>54.106999999999999</v>
      </c>
      <c r="F8">
        <v>0.995</v>
      </c>
      <c r="G8">
        <v>45.988</v>
      </c>
      <c r="H8">
        <v>0</v>
      </c>
      <c r="I8">
        <v>101.402</v>
      </c>
      <c r="J8" s="1" t="s">
        <v>20</v>
      </c>
    </row>
    <row r="9" spans="1:14" x14ac:dyDescent="0.3">
      <c r="A9" t="s">
        <v>244</v>
      </c>
      <c r="B9" t="s">
        <v>242</v>
      </c>
      <c r="C9" t="s">
        <v>122</v>
      </c>
      <c r="D9">
        <v>30</v>
      </c>
      <c r="E9">
        <v>53.244</v>
      </c>
      <c r="F9">
        <v>1.7210000000000001</v>
      </c>
      <c r="G9">
        <v>45.259</v>
      </c>
      <c r="H9">
        <v>1.4E-2</v>
      </c>
      <c r="I9">
        <v>101.40900000000001</v>
      </c>
      <c r="J9" s="1" t="s">
        <v>21</v>
      </c>
      <c r="N9" t="s">
        <v>523</v>
      </c>
    </row>
    <row r="10" spans="1:14" x14ac:dyDescent="0.3">
      <c r="A10" t="s">
        <v>244</v>
      </c>
      <c r="B10" t="s">
        <v>242</v>
      </c>
      <c r="C10" t="s">
        <v>122</v>
      </c>
      <c r="D10">
        <v>31</v>
      </c>
      <c r="E10">
        <v>53.253999999999998</v>
      </c>
      <c r="F10">
        <v>1.4390000000000001</v>
      </c>
      <c r="G10">
        <v>45.277999999999999</v>
      </c>
      <c r="H10">
        <v>3.7999999999999999E-2</v>
      </c>
      <c r="I10">
        <v>101.443</v>
      </c>
      <c r="J10" s="1" t="s">
        <v>22</v>
      </c>
      <c r="M10" t="s">
        <v>244</v>
      </c>
      <c r="N10" s="1">
        <f>AVERAGE(E3:E20)</f>
        <v>53.447555555555567</v>
      </c>
    </row>
    <row r="11" spans="1:14" x14ac:dyDescent="0.3">
      <c r="A11" t="s">
        <v>244</v>
      </c>
      <c r="B11" t="s">
        <v>242</v>
      </c>
      <c r="C11" t="s">
        <v>122</v>
      </c>
      <c r="D11">
        <v>32</v>
      </c>
      <c r="E11">
        <v>53.619</v>
      </c>
      <c r="F11">
        <v>2.153</v>
      </c>
      <c r="G11">
        <v>45.091000000000001</v>
      </c>
      <c r="H11">
        <v>4.7E-2</v>
      </c>
      <c r="I11">
        <v>101.051</v>
      </c>
      <c r="J11" s="1" t="s">
        <v>23</v>
      </c>
      <c r="M11" t="s">
        <v>125</v>
      </c>
      <c r="N11" s="1">
        <f>AVERAGE(E21:E42)</f>
        <v>53.554727272727284</v>
      </c>
    </row>
    <row r="12" spans="1:14" x14ac:dyDescent="0.3">
      <c r="A12" t="s">
        <v>244</v>
      </c>
      <c r="B12" t="s">
        <v>242</v>
      </c>
      <c r="C12" t="s">
        <v>122</v>
      </c>
      <c r="D12">
        <v>33</v>
      </c>
      <c r="E12">
        <v>53.311</v>
      </c>
      <c r="F12">
        <v>0.872</v>
      </c>
      <c r="G12">
        <v>45.74</v>
      </c>
      <c r="H12">
        <v>0</v>
      </c>
      <c r="I12">
        <v>100.795</v>
      </c>
      <c r="J12" s="1" t="s">
        <v>24</v>
      </c>
      <c r="M12" t="s">
        <v>243</v>
      </c>
      <c r="N12" s="1">
        <f>AVERAGE(E43:E65)</f>
        <v>52.505086956521737</v>
      </c>
    </row>
    <row r="13" spans="1:14" x14ac:dyDescent="0.3">
      <c r="A13" t="s">
        <v>244</v>
      </c>
      <c r="B13" t="s">
        <v>242</v>
      </c>
      <c r="C13" t="s">
        <v>122</v>
      </c>
      <c r="D13">
        <v>34</v>
      </c>
      <c r="E13">
        <v>53.973999999999997</v>
      </c>
      <c r="F13">
        <v>0.45700000000000002</v>
      </c>
      <c r="G13">
        <v>46.517000000000003</v>
      </c>
      <c r="H13">
        <v>3.0000000000000001E-3</v>
      </c>
      <c r="I13">
        <v>101.489</v>
      </c>
      <c r="J13" s="1" t="s">
        <v>25</v>
      </c>
      <c r="M13" t="s">
        <v>246</v>
      </c>
      <c r="N13" s="1">
        <f>AVERAGE(E66:E81)</f>
        <v>52.800812499999999</v>
      </c>
    </row>
    <row r="14" spans="1:14" x14ac:dyDescent="0.3">
      <c r="A14" t="s">
        <v>244</v>
      </c>
      <c r="B14" t="s">
        <v>242</v>
      </c>
      <c r="C14" t="s">
        <v>122</v>
      </c>
      <c r="D14">
        <v>35</v>
      </c>
      <c r="E14">
        <v>53.707999999999998</v>
      </c>
      <c r="F14">
        <v>0.441</v>
      </c>
      <c r="G14">
        <v>46.447000000000003</v>
      </c>
      <c r="H14">
        <v>1E-3</v>
      </c>
      <c r="I14">
        <v>101.026</v>
      </c>
      <c r="J14" s="1" t="s">
        <v>26</v>
      </c>
      <c r="M14" t="s">
        <v>248</v>
      </c>
      <c r="N14" s="1">
        <f>AVERAGE(E82:E96)</f>
        <v>52.088533333333331</v>
      </c>
    </row>
    <row r="15" spans="1:14" x14ac:dyDescent="0.3">
      <c r="A15" t="s">
        <v>244</v>
      </c>
      <c r="B15" t="s">
        <v>242</v>
      </c>
      <c r="C15" t="s">
        <v>122</v>
      </c>
      <c r="D15">
        <v>36</v>
      </c>
      <c r="E15">
        <v>52.872</v>
      </c>
      <c r="F15">
        <v>1.46</v>
      </c>
      <c r="G15">
        <v>45.042999999999999</v>
      </c>
      <c r="H15">
        <v>0</v>
      </c>
      <c r="I15">
        <v>100.96299999999999</v>
      </c>
      <c r="J15" s="1" t="s">
        <v>27</v>
      </c>
      <c r="M15" t="s">
        <v>251</v>
      </c>
      <c r="N15" s="1">
        <f>AVERAGE(E97:E121)</f>
        <v>52.217039999999997</v>
      </c>
    </row>
    <row r="16" spans="1:14" x14ac:dyDescent="0.3">
      <c r="A16" t="s">
        <v>244</v>
      </c>
      <c r="B16" t="s">
        <v>242</v>
      </c>
      <c r="C16" t="s">
        <v>122</v>
      </c>
      <c r="D16">
        <v>37</v>
      </c>
      <c r="E16">
        <v>53.625999999999998</v>
      </c>
      <c r="F16">
        <v>0.29699999999999999</v>
      </c>
      <c r="G16">
        <v>46.805</v>
      </c>
      <c r="H16">
        <v>1.9E-2</v>
      </c>
      <c r="I16">
        <v>101.11</v>
      </c>
      <c r="J16" s="1" t="s">
        <v>28</v>
      </c>
      <c r="M16" t="s">
        <v>252</v>
      </c>
      <c r="N16" s="1">
        <f>AVERAGE(E122:E135)</f>
        <v>53.378642857142857</v>
      </c>
    </row>
    <row r="17" spans="1:14" x14ac:dyDescent="0.3">
      <c r="A17" t="s">
        <v>244</v>
      </c>
      <c r="B17" t="s">
        <v>242</v>
      </c>
      <c r="C17" t="s">
        <v>122</v>
      </c>
      <c r="D17">
        <v>38</v>
      </c>
      <c r="E17">
        <v>53.268000000000001</v>
      </c>
      <c r="F17">
        <v>1.214</v>
      </c>
      <c r="G17">
        <v>45.72</v>
      </c>
      <c r="H17">
        <v>6.2E-2</v>
      </c>
      <c r="I17">
        <v>101.541</v>
      </c>
      <c r="J17" s="1" t="s">
        <v>29</v>
      </c>
      <c r="M17" t="s">
        <v>254</v>
      </c>
      <c r="N17" s="1">
        <f>AVERAGE(E136:E153)</f>
        <v>53.066277777777778</v>
      </c>
    </row>
    <row r="18" spans="1:14" x14ac:dyDescent="0.3">
      <c r="A18" t="s">
        <v>244</v>
      </c>
      <c r="B18" t="s">
        <v>242</v>
      </c>
      <c r="C18" t="s">
        <v>122</v>
      </c>
      <c r="D18">
        <v>39</v>
      </c>
      <c r="E18">
        <v>53.773000000000003</v>
      </c>
      <c r="F18">
        <v>0.51400000000000001</v>
      </c>
      <c r="G18">
        <v>46.271000000000001</v>
      </c>
      <c r="H18">
        <v>0.03</v>
      </c>
      <c r="I18">
        <v>101.20099999999999</v>
      </c>
      <c r="J18" s="1" t="s">
        <v>30</v>
      </c>
      <c r="M18" t="s">
        <v>245</v>
      </c>
      <c r="N18" s="1">
        <f>AVERAGE(E154:E169)</f>
        <v>54.004125000000002</v>
      </c>
    </row>
    <row r="19" spans="1:14" x14ac:dyDescent="0.3">
      <c r="A19" t="s">
        <v>244</v>
      </c>
      <c r="B19" t="s">
        <v>242</v>
      </c>
      <c r="C19" t="s">
        <v>122</v>
      </c>
      <c r="D19">
        <v>40</v>
      </c>
      <c r="E19">
        <v>53.213999999999999</v>
      </c>
      <c r="F19">
        <v>2.746</v>
      </c>
      <c r="G19">
        <v>43.854999999999997</v>
      </c>
      <c r="H19">
        <v>3.0000000000000001E-3</v>
      </c>
      <c r="I19">
        <v>100.971</v>
      </c>
      <c r="J19" s="1" t="s">
        <v>31</v>
      </c>
      <c r="M19" t="s">
        <v>123</v>
      </c>
      <c r="N19" s="1">
        <f>AVERAGE(E170:E184)</f>
        <v>53.758733333333339</v>
      </c>
    </row>
    <row r="20" spans="1:14" x14ac:dyDescent="0.3">
      <c r="A20" t="s">
        <v>244</v>
      </c>
      <c r="B20" t="s">
        <v>242</v>
      </c>
      <c r="C20" t="s">
        <v>122</v>
      </c>
      <c r="D20">
        <v>41</v>
      </c>
      <c r="E20">
        <v>53.075000000000003</v>
      </c>
      <c r="F20">
        <v>2.0960000000000001</v>
      </c>
      <c r="G20">
        <v>44.655000000000001</v>
      </c>
      <c r="H20">
        <v>0.01</v>
      </c>
      <c r="I20">
        <v>101.05200000000001</v>
      </c>
      <c r="J20" s="1" t="s">
        <v>32</v>
      </c>
      <c r="M20" t="s">
        <v>127</v>
      </c>
      <c r="N20" s="1">
        <f>AVERAGE(E185:E207)</f>
        <v>53.927217391304346</v>
      </c>
    </row>
    <row r="21" spans="1:14" x14ac:dyDescent="0.3">
      <c r="A21" t="s">
        <v>125</v>
      </c>
      <c r="B21" t="s">
        <v>126</v>
      </c>
      <c r="C21" t="s">
        <v>122</v>
      </c>
      <c r="D21">
        <v>57</v>
      </c>
      <c r="E21">
        <v>52.725000000000001</v>
      </c>
      <c r="F21">
        <v>2.9000000000000001E-2</v>
      </c>
      <c r="G21">
        <v>46.368000000000002</v>
      </c>
      <c r="H21">
        <v>2.5999999999999999E-2</v>
      </c>
      <c r="I21">
        <v>100.39</v>
      </c>
      <c r="J21" s="1" t="s">
        <v>48</v>
      </c>
      <c r="M21" t="s">
        <v>129</v>
      </c>
      <c r="N21" s="1">
        <f>AVERAGE(E208:E226)</f>
        <v>53.697263157894731</v>
      </c>
    </row>
    <row r="22" spans="1:14" x14ac:dyDescent="0.3">
      <c r="A22" t="s">
        <v>125</v>
      </c>
      <c r="B22" t="s">
        <v>126</v>
      </c>
      <c r="C22" t="s">
        <v>122</v>
      </c>
      <c r="D22">
        <v>58</v>
      </c>
      <c r="E22">
        <v>54.197000000000003</v>
      </c>
      <c r="F22">
        <v>0</v>
      </c>
      <c r="G22">
        <v>47.164999999999999</v>
      </c>
      <c r="H22">
        <v>0</v>
      </c>
      <c r="I22">
        <v>101.479</v>
      </c>
      <c r="J22" s="1" t="s">
        <v>49</v>
      </c>
    </row>
    <row r="23" spans="1:14" x14ac:dyDescent="0.3">
      <c r="A23" t="s">
        <v>125</v>
      </c>
      <c r="B23" t="s">
        <v>126</v>
      </c>
      <c r="C23" t="s">
        <v>122</v>
      </c>
      <c r="D23">
        <v>59</v>
      </c>
      <c r="E23">
        <v>53.143000000000001</v>
      </c>
      <c r="F23">
        <v>1E-3</v>
      </c>
      <c r="G23">
        <v>46.470999999999997</v>
      </c>
      <c r="H23">
        <v>0</v>
      </c>
      <c r="I23">
        <v>100.73</v>
      </c>
      <c r="J23" s="1" t="s">
        <v>50</v>
      </c>
    </row>
    <row r="24" spans="1:14" x14ac:dyDescent="0.3">
      <c r="A24" t="s">
        <v>125</v>
      </c>
      <c r="B24" t="s">
        <v>126</v>
      </c>
      <c r="C24" t="s">
        <v>122</v>
      </c>
      <c r="D24">
        <v>60</v>
      </c>
      <c r="E24">
        <v>52.875</v>
      </c>
      <c r="F24">
        <v>0</v>
      </c>
      <c r="G24">
        <v>46.573</v>
      </c>
      <c r="H24">
        <v>1.2999999999999999E-2</v>
      </c>
      <c r="I24">
        <v>100.65300000000001</v>
      </c>
      <c r="J24" s="1" t="s">
        <v>51</v>
      </c>
    </row>
    <row r="25" spans="1:14" x14ac:dyDescent="0.3">
      <c r="A25" t="s">
        <v>125</v>
      </c>
      <c r="B25" t="s">
        <v>126</v>
      </c>
      <c r="C25" t="s">
        <v>122</v>
      </c>
      <c r="D25">
        <v>61</v>
      </c>
      <c r="E25">
        <v>54.29</v>
      </c>
      <c r="F25">
        <v>2.8000000000000001E-2</v>
      </c>
      <c r="G25">
        <v>47.189</v>
      </c>
      <c r="H25">
        <v>0.04</v>
      </c>
      <c r="I25">
        <v>101.621</v>
      </c>
      <c r="J25" s="1" t="s">
        <v>52</v>
      </c>
    </row>
    <row r="26" spans="1:14" x14ac:dyDescent="0.3">
      <c r="A26" t="s">
        <v>125</v>
      </c>
      <c r="B26" t="s">
        <v>126</v>
      </c>
      <c r="C26" t="s">
        <v>122</v>
      </c>
      <c r="D26">
        <v>62</v>
      </c>
      <c r="E26">
        <v>53.158000000000001</v>
      </c>
      <c r="F26">
        <v>0</v>
      </c>
      <c r="G26">
        <v>46.893000000000001</v>
      </c>
      <c r="H26">
        <v>8.0000000000000002E-3</v>
      </c>
      <c r="I26">
        <v>101.227</v>
      </c>
      <c r="J26" s="1" t="s">
        <v>53</v>
      </c>
    </row>
    <row r="27" spans="1:14" x14ac:dyDescent="0.3">
      <c r="A27" t="s">
        <v>125</v>
      </c>
      <c r="B27" t="s">
        <v>126</v>
      </c>
      <c r="C27" t="s">
        <v>122</v>
      </c>
      <c r="D27">
        <v>63</v>
      </c>
      <c r="E27">
        <v>53.845999999999997</v>
      </c>
      <c r="F27">
        <v>0</v>
      </c>
      <c r="G27">
        <v>47.235999999999997</v>
      </c>
      <c r="H27">
        <v>0</v>
      </c>
      <c r="I27">
        <v>101.134</v>
      </c>
      <c r="J27" s="1" t="s">
        <v>54</v>
      </c>
    </row>
    <row r="28" spans="1:14" x14ac:dyDescent="0.3">
      <c r="A28" t="s">
        <v>125</v>
      </c>
      <c r="B28" t="s">
        <v>126</v>
      </c>
      <c r="C28" t="s">
        <v>122</v>
      </c>
      <c r="D28">
        <v>64</v>
      </c>
      <c r="E28">
        <v>53.404000000000003</v>
      </c>
      <c r="F28">
        <v>6.0000000000000001E-3</v>
      </c>
      <c r="G28">
        <v>46.587000000000003</v>
      </c>
      <c r="H28">
        <v>0</v>
      </c>
      <c r="I28">
        <v>101.262</v>
      </c>
      <c r="J28" s="1" t="s">
        <v>55</v>
      </c>
    </row>
    <row r="29" spans="1:14" x14ac:dyDescent="0.3">
      <c r="A29" t="s">
        <v>125</v>
      </c>
      <c r="B29" t="s">
        <v>126</v>
      </c>
      <c r="C29" t="s">
        <v>122</v>
      </c>
      <c r="D29">
        <v>65</v>
      </c>
      <c r="E29">
        <v>54.249000000000002</v>
      </c>
      <c r="F29">
        <v>0</v>
      </c>
      <c r="G29">
        <v>46.87</v>
      </c>
      <c r="H29">
        <v>8.9999999999999993E-3</v>
      </c>
      <c r="I29">
        <v>101.193</v>
      </c>
      <c r="J29" s="1" t="s">
        <v>56</v>
      </c>
    </row>
    <row r="30" spans="1:14" x14ac:dyDescent="0.3">
      <c r="A30" t="s">
        <v>125</v>
      </c>
      <c r="B30" t="s">
        <v>126</v>
      </c>
      <c r="C30" t="s">
        <v>122</v>
      </c>
      <c r="D30">
        <v>66</v>
      </c>
      <c r="E30">
        <v>53.241999999999997</v>
      </c>
      <c r="F30">
        <v>1.4999999999999999E-2</v>
      </c>
      <c r="G30">
        <v>46.587000000000003</v>
      </c>
      <c r="H30">
        <v>0</v>
      </c>
      <c r="I30">
        <v>101.056</v>
      </c>
      <c r="J30" s="1" t="s">
        <v>57</v>
      </c>
    </row>
    <row r="31" spans="1:14" x14ac:dyDescent="0.3">
      <c r="A31" t="s">
        <v>125</v>
      </c>
      <c r="B31" t="s">
        <v>126</v>
      </c>
      <c r="C31" t="s">
        <v>122</v>
      </c>
      <c r="D31">
        <v>67</v>
      </c>
      <c r="E31">
        <v>54.264000000000003</v>
      </c>
      <c r="F31">
        <v>1.7999999999999999E-2</v>
      </c>
      <c r="G31">
        <v>47.088999999999999</v>
      </c>
      <c r="H31">
        <v>0.02</v>
      </c>
      <c r="I31">
        <v>101.52800000000001</v>
      </c>
      <c r="J31" s="1" t="s">
        <v>58</v>
      </c>
    </row>
    <row r="32" spans="1:14" x14ac:dyDescent="0.3">
      <c r="A32" t="s">
        <v>125</v>
      </c>
      <c r="B32" t="s">
        <v>126</v>
      </c>
      <c r="C32" t="s">
        <v>122</v>
      </c>
      <c r="D32">
        <v>68</v>
      </c>
      <c r="E32">
        <v>54.02</v>
      </c>
      <c r="F32">
        <v>5.2999999999999999E-2</v>
      </c>
      <c r="G32">
        <v>46.972999999999999</v>
      </c>
      <c r="H32">
        <v>4.1000000000000002E-2</v>
      </c>
      <c r="I32">
        <v>101.265</v>
      </c>
      <c r="J32" s="1" t="s">
        <v>59</v>
      </c>
    </row>
    <row r="33" spans="1:10" x14ac:dyDescent="0.3">
      <c r="A33" t="s">
        <v>125</v>
      </c>
      <c r="B33" t="s">
        <v>126</v>
      </c>
      <c r="C33" t="s">
        <v>122</v>
      </c>
      <c r="D33">
        <v>69</v>
      </c>
      <c r="E33">
        <v>52.411000000000001</v>
      </c>
      <c r="F33">
        <v>8.0000000000000002E-3</v>
      </c>
      <c r="G33">
        <v>46.252000000000002</v>
      </c>
      <c r="H33">
        <v>1.2999999999999999E-2</v>
      </c>
      <c r="I33">
        <v>100.28</v>
      </c>
      <c r="J33" s="1" t="s">
        <v>60</v>
      </c>
    </row>
    <row r="34" spans="1:10" x14ac:dyDescent="0.3">
      <c r="A34" t="s">
        <v>125</v>
      </c>
      <c r="B34" t="s">
        <v>126</v>
      </c>
      <c r="C34" t="s">
        <v>122</v>
      </c>
      <c r="D34">
        <v>70</v>
      </c>
      <c r="E34">
        <v>54.033000000000001</v>
      </c>
      <c r="F34">
        <v>0</v>
      </c>
      <c r="G34">
        <v>46.856000000000002</v>
      </c>
      <c r="H34">
        <v>8.0000000000000002E-3</v>
      </c>
      <c r="I34">
        <v>101.039</v>
      </c>
      <c r="J34" s="1" t="s">
        <v>61</v>
      </c>
    </row>
    <row r="35" spans="1:10" x14ac:dyDescent="0.3">
      <c r="A35" t="s">
        <v>125</v>
      </c>
      <c r="B35" t="s">
        <v>126</v>
      </c>
      <c r="C35" t="s">
        <v>122</v>
      </c>
      <c r="D35">
        <v>71</v>
      </c>
      <c r="E35">
        <v>53.533999999999999</v>
      </c>
      <c r="F35">
        <v>3.1E-2</v>
      </c>
      <c r="G35">
        <v>47.051000000000002</v>
      </c>
      <c r="H35">
        <v>0</v>
      </c>
      <c r="I35">
        <v>100.711</v>
      </c>
      <c r="J35" s="1" t="s">
        <v>62</v>
      </c>
    </row>
    <row r="36" spans="1:10" x14ac:dyDescent="0.3">
      <c r="A36" t="s">
        <v>125</v>
      </c>
      <c r="B36" t="s">
        <v>126</v>
      </c>
      <c r="C36" t="s">
        <v>122</v>
      </c>
      <c r="D36">
        <v>72</v>
      </c>
      <c r="E36">
        <v>52.966000000000001</v>
      </c>
      <c r="F36">
        <v>0</v>
      </c>
      <c r="G36">
        <v>46.448999999999998</v>
      </c>
      <c r="H36">
        <v>0</v>
      </c>
      <c r="I36">
        <v>100.753</v>
      </c>
      <c r="J36" s="1" t="s">
        <v>63</v>
      </c>
    </row>
    <row r="37" spans="1:10" x14ac:dyDescent="0.3">
      <c r="A37" t="s">
        <v>125</v>
      </c>
      <c r="B37" t="s">
        <v>126</v>
      </c>
      <c r="C37" t="s">
        <v>122</v>
      </c>
      <c r="D37">
        <v>73</v>
      </c>
      <c r="E37">
        <v>53.762</v>
      </c>
      <c r="F37">
        <v>0</v>
      </c>
      <c r="G37">
        <v>46.646999999999998</v>
      </c>
      <c r="H37">
        <v>0</v>
      </c>
      <c r="I37">
        <v>100.539</v>
      </c>
      <c r="J37" s="1" t="s">
        <v>64</v>
      </c>
    </row>
    <row r="38" spans="1:10" x14ac:dyDescent="0.3">
      <c r="A38" t="s">
        <v>125</v>
      </c>
      <c r="B38" t="s">
        <v>126</v>
      </c>
      <c r="C38" t="s">
        <v>122</v>
      </c>
      <c r="D38">
        <v>74</v>
      </c>
      <c r="E38">
        <v>53.173000000000002</v>
      </c>
      <c r="F38">
        <v>7.0000000000000001E-3</v>
      </c>
      <c r="G38">
        <v>47.125999999999998</v>
      </c>
      <c r="H38">
        <v>2.5000000000000001E-2</v>
      </c>
      <c r="I38">
        <v>101.217</v>
      </c>
      <c r="J38" s="1" t="s">
        <v>65</v>
      </c>
    </row>
    <row r="39" spans="1:10" x14ac:dyDescent="0.3">
      <c r="A39" t="s">
        <v>125</v>
      </c>
      <c r="B39" t="s">
        <v>126</v>
      </c>
      <c r="C39" t="s">
        <v>122</v>
      </c>
      <c r="D39">
        <v>75</v>
      </c>
      <c r="E39">
        <v>53.578000000000003</v>
      </c>
      <c r="F39">
        <v>4.0000000000000001E-3</v>
      </c>
      <c r="G39">
        <v>47.122999999999998</v>
      </c>
      <c r="H39">
        <v>0</v>
      </c>
      <c r="I39">
        <v>100.783</v>
      </c>
      <c r="J39" s="1" t="s">
        <v>66</v>
      </c>
    </row>
    <row r="40" spans="1:10" x14ac:dyDescent="0.3">
      <c r="A40" t="s">
        <v>125</v>
      </c>
      <c r="B40" t="s">
        <v>126</v>
      </c>
      <c r="C40" t="s">
        <v>122</v>
      </c>
      <c r="D40">
        <v>76</v>
      </c>
      <c r="E40">
        <v>53.432000000000002</v>
      </c>
      <c r="F40">
        <v>0</v>
      </c>
      <c r="G40">
        <v>46.503999999999998</v>
      </c>
      <c r="H40">
        <v>0</v>
      </c>
      <c r="I40">
        <v>101.22799999999999</v>
      </c>
      <c r="J40" s="1" t="s">
        <v>67</v>
      </c>
    </row>
    <row r="41" spans="1:10" x14ac:dyDescent="0.3">
      <c r="A41" t="s">
        <v>125</v>
      </c>
      <c r="B41" t="s">
        <v>126</v>
      </c>
      <c r="C41" t="s">
        <v>122</v>
      </c>
      <c r="D41">
        <v>77</v>
      </c>
      <c r="E41">
        <v>54.000999999999998</v>
      </c>
      <c r="F41">
        <v>0</v>
      </c>
      <c r="G41">
        <v>47.444000000000003</v>
      </c>
      <c r="H41">
        <v>0</v>
      </c>
      <c r="I41">
        <v>101.557</v>
      </c>
      <c r="J41" s="1" t="s">
        <v>68</v>
      </c>
    </row>
    <row r="42" spans="1:10" x14ac:dyDescent="0.3">
      <c r="A42" t="s">
        <v>125</v>
      </c>
      <c r="B42" t="s">
        <v>126</v>
      </c>
      <c r="C42" t="s">
        <v>122</v>
      </c>
      <c r="D42">
        <v>78</v>
      </c>
      <c r="E42">
        <v>53.901000000000003</v>
      </c>
      <c r="F42">
        <v>2.8000000000000001E-2</v>
      </c>
      <c r="G42">
        <v>46.984000000000002</v>
      </c>
      <c r="H42">
        <v>3.0000000000000001E-3</v>
      </c>
      <c r="I42">
        <v>100.97499999999999</v>
      </c>
      <c r="J42" s="1" t="s">
        <v>69</v>
      </c>
    </row>
    <row r="43" spans="1:10" x14ac:dyDescent="0.3">
      <c r="A43" t="s">
        <v>243</v>
      </c>
      <c r="B43" t="s">
        <v>121</v>
      </c>
      <c r="C43" t="s">
        <v>122</v>
      </c>
      <c r="D43">
        <v>5</v>
      </c>
      <c r="E43">
        <v>52.53</v>
      </c>
      <c r="F43">
        <v>1.0999999999999999E-2</v>
      </c>
      <c r="G43">
        <v>46.152000000000001</v>
      </c>
      <c r="H43">
        <v>2.1999999999999999E-2</v>
      </c>
      <c r="I43">
        <v>99.781000000000006</v>
      </c>
      <c r="J43" t="s">
        <v>131</v>
      </c>
    </row>
    <row r="44" spans="1:10" x14ac:dyDescent="0.3">
      <c r="A44" t="s">
        <v>243</v>
      </c>
      <c r="B44" t="s">
        <v>121</v>
      </c>
      <c r="C44" t="s">
        <v>122</v>
      </c>
      <c r="D44">
        <v>6</v>
      </c>
      <c r="E44">
        <v>52.957999999999998</v>
      </c>
      <c r="F44">
        <v>0</v>
      </c>
      <c r="G44">
        <v>46.155000000000001</v>
      </c>
      <c r="H44">
        <v>8.9999999999999993E-3</v>
      </c>
      <c r="I44">
        <v>100.239</v>
      </c>
      <c r="J44" t="s">
        <v>132</v>
      </c>
    </row>
    <row r="45" spans="1:10" x14ac:dyDescent="0.3">
      <c r="A45" t="s">
        <v>243</v>
      </c>
      <c r="B45" t="s">
        <v>121</v>
      </c>
      <c r="C45" t="s">
        <v>122</v>
      </c>
      <c r="D45">
        <v>7</v>
      </c>
      <c r="E45">
        <v>52.988</v>
      </c>
      <c r="F45">
        <v>1.2E-2</v>
      </c>
      <c r="G45">
        <v>46.031999999999996</v>
      </c>
      <c r="H45">
        <v>0</v>
      </c>
      <c r="I45">
        <v>100.123</v>
      </c>
      <c r="J45" t="s">
        <v>133</v>
      </c>
    </row>
    <row r="46" spans="1:10" x14ac:dyDescent="0.3">
      <c r="A46" t="s">
        <v>243</v>
      </c>
      <c r="B46" t="s">
        <v>121</v>
      </c>
      <c r="C46" t="s">
        <v>122</v>
      </c>
      <c r="D46">
        <v>8</v>
      </c>
      <c r="E46">
        <v>53.027999999999999</v>
      </c>
      <c r="F46">
        <v>1.4999999999999999E-2</v>
      </c>
      <c r="G46">
        <v>45.811</v>
      </c>
      <c r="H46">
        <v>2.4E-2</v>
      </c>
      <c r="I46">
        <v>99.974000000000004</v>
      </c>
      <c r="J46" t="s">
        <v>134</v>
      </c>
    </row>
    <row r="47" spans="1:10" x14ac:dyDescent="0.3">
      <c r="A47" t="s">
        <v>243</v>
      </c>
      <c r="B47" t="s">
        <v>121</v>
      </c>
      <c r="C47" t="s">
        <v>122</v>
      </c>
      <c r="D47">
        <v>9</v>
      </c>
      <c r="E47">
        <v>52.768999999999998</v>
      </c>
      <c r="F47">
        <v>7.0000000000000001E-3</v>
      </c>
      <c r="G47">
        <v>46.286000000000001</v>
      </c>
      <c r="H47">
        <v>0</v>
      </c>
      <c r="I47">
        <v>100.026</v>
      </c>
      <c r="J47" t="s">
        <v>135</v>
      </c>
    </row>
    <row r="48" spans="1:10" x14ac:dyDescent="0.3">
      <c r="A48" t="s">
        <v>243</v>
      </c>
      <c r="B48" t="s">
        <v>121</v>
      </c>
      <c r="C48" t="s">
        <v>122</v>
      </c>
      <c r="D48">
        <v>10</v>
      </c>
      <c r="E48">
        <v>52.780999999999999</v>
      </c>
      <c r="F48">
        <v>6.0000000000000001E-3</v>
      </c>
      <c r="G48">
        <v>46.161000000000001</v>
      </c>
      <c r="H48">
        <v>5.0000000000000001E-3</v>
      </c>
      <c r="I48">
        <v>99.799000000000007</v>
      </c>
      <c r="J48" t="s">
        <v>136</v>
      </c>
    </row>
    <row r="49" spans="1:10" x14ac:dyDescent="0.3">
      <c r="A49" t="s">
        <v>243</v>
      </c>
      <c r="B49" t="s">
        <v>121</v>
      </c>
      <c r="C49" t="s">
        <v>122</v>
      </c>
      <c r="D49">
        <v>13</v>
      </c>
      <c r="E49">
        <v>52.741</v>
      </c>
      <c r="F49">
        <v>2E-3</v>
      </c>
      <c r="G49">
        <v>46.097999999999999</v>
      </c>
      <c r="H49">
        <v>0</v>
      </c>
      <c r="I49">
        <v>99.766000000000005</v>
      </c>
      <c r="J49" t="s">
        <v>137</v>
      </c>
    </row>
    <row r="50" spans="1:10" x14ac:dyDescent="0.3">
      <c r="A50" t="s">
        <v>243</v>
      </c>
      <c r="B50" t="s">
        <v>121</v>
      </c>
      <c r="C50" t="s">
        <v>122</v>
      </c>
      <c r="D50">
        <v>14</v>
      </c>
      <c r="E50">
        <v>52.451000000000001</v>
      </c>
      <c r="F50">
        <v>0</v>
      </c>
      <c r="G50">
        <v>46.277000000000001</v>
      </c>
      <c r="H50">
        <v>0</v>
      </c>
      <c r="I50">
        <v>99.646000000000001</v>
      </c>
      <c r="J50" t="s">
        <v>138</v>
      </c>
    </row>
    <row r="51" spans="1:10" x14ac:dyDescent="0.3">
      <c r="A51" t="s">
        <v>243</v>
      </c>
      <c r="B51" t="s">
        <v>121</v>
      </c>
      <c r="C51" t="s">
        <v>122</v>
      </c>
      <c r="D51">
        <v>15</v>
      </c>
      <c r="E51">
        <v>52.965000000000003</v>
      </c>
      <c r="F51">
        <v>0</v>
      </c>
      <c r="G51">
        <v>46.226999999999997</v>
      </c>
      <c r="H51">
        <v>0</v>
      </c>
      <c r="I51">
        <v>99.959000000000003</v>
      </c>
      <c r="J51" t="s">
        <v>139</v>
      </c>
    </row>
    <row r="52" spans="1:10" x14ac:dyDescent="0.3">
      <c r="A52" t="s">
        <v>243</v>
      </c>
      <c r="B52" t="s">
        <v>121</v>
      </c>
      <c r="C52" t="s">
        <v>122</v>
      </c>
      <c r="D52">
        <v>16</v>
      </c>
      <c r="E52">
        <v>52.658000000000001</v>
      </c>
      <c r="F52">
        <v>0</v>
      </c>
      <c r="G52">
        <v>46.356999999999999</v>
      </c>
      <c r="H52">
        <v>0</v>
      </c>
      <c r="I52">
        <v>100.378</v>
      </c>
      <c r="J52" t="s">
        <v>140</v>
      </c>
    </row>
    <row r="53" spans="1:10" x14ac:dyDescent="0.3">
      <c r="A53" t="s">
        <v>243</v>
      </c>
      <c r="B53" t="s">
        <v>121</v>
      </c>
      <c r="C53" t="s">
        <v>122</v>
      </c>
      <c r="D53">
        <v>17</v>
      </c>
      <c r="E53">
        <v>52.411999999999999</v>
      </c>
      <c r="F53">
        <v>0</v>
      </c>
      <c r="G53">
        <v>45.805</v>
      </c>
      <c r="H53">
        <v>2.8000000000000001E-2</v>
      </c>
      <c r="I53">
        <v>99.268000000000001</v>
      </c>
      <c r="J53" t="s">
        <v>141</v>
      </c>
    </row>
    <row r="54" spans="1:10" x14ac:dyDescent="0.3">
      <c r="A54" t="s">
        <v>243</v>
      </c>
      <c r="B54" t="s">
        <v>121</v>
      </c>
      <c r="C54" t="s">
        <v>122</v>
      </c>
      <c r="D54">
        <v>18</v>
      </c>
      <c r="E54">
        <v>52.747</v>
      </c>
      <c r="F54">
        <v>0.03</v>
      </c>
      <c r="G54">
        <v>46.279000000000003</v>
      </c>
      <c r="H54">
        <v>1.0999999999999999E-2</v>
      </c>
      <c r="I54">
        <v>100.023</v>
      </c>
      <c r="J54" t="s">
        <v>142</v>
      </c>
    </row>
    <row r="55" spans="1:10" x14ac:dyDescent="0.3">
      <c r="A55" t="s">
        <v>243</v>
      </c>
      <c r="B55" t="s">
        <v>121</v>
      </c>
      <c r="C55" t="s">
        <v>122</v>
      </c>
      <c r="D55">
        <v>21</v>
      </c>
      <c r="E55">
        <v>52.356999999999999</v>
      </c>
      <c r="F55">
        <v>0.04</v>
      </c>
      <c r="G55">
        <v>46.494999999999997</v>
      </c>
      <c r="H55">
        <v>0</v>
      </c>
      <c r="I55">
        <v>99.951999999999998</v>
      </c>
      <c r="J55" t="s">
        <v>143</v>
      </c>
    </row>
    <row r="56" spans="1:10" x14ac:dyDescent="0.3">
      <c r="A56" t="s">
        <v>243</v>
      </c>
      <c r="B56" t="s">
        <v>121</v>
      </c>
      <c r="C56" t="s">
        <v>122</v>
      </c>
      <c r="D56">
        <v>22</v>
      </c>
      <c r="E56">
        <v>53.198999999999998</v>
      </c>
      <c r="F56">
        <v>1.2999999999999999E-2</v>
      </c>
      <c r="G56">
        <v>46.363</v>
      </c>
      <c r="H56">
        <v>0</v>
      </c>
      <c r="I56">
        <v>100.39700000000001</v>
      </c>
      <c r="J56" t="s">
        <v>144</v>
      </c>
    </row>
    <row r="57" spans="1:10" x14ac:dyDescent="0.3">
      <c r="A57" t="s">
        <v>243</v>
      </c>
      <c r="B57" t="s">
        <v>121</v>
      </c>
      <c r="C57" t="s">
        <v>122</v>
      </c>
      <c r="D57">
        <v>23</v>
      </c>
      <c r="E57">
        <v>52.209000000000003</v>
      </c>
      <c r="F57">
        <v>1.7999999999999999E-2</v>
      </c>
      <c r="G57">
        <v>46.228000000000002</v>
      </c>
      <c r="H57">
        <v>2E-3</v>
      </c>
      <c r="I57">
        <v>99.216999999999999</v>
      </c>
      <c r="J57" t="s">
        <v>145</v>
      </c>
    </row>
    <row r="58" spans="1:10" x14ac:dyDescent="0.3">
      <c r="A58" t="s">
        <v>243</v>
      </c>
      <c r="B58" t="s">
        <v>121</v>
      </c>
      <c r="C58" t="s">
        <v>122</v>
      </c>
      <c r="D58">
        <v>24</v>
      </c>
      <c r="E58">
        <v>52.356000000000002</v>
      </c>
      <c r="F58">
        <v>1.7000000000000001E-2</v>
      </c>
      <c r="G58">
        <v>46.003999999999998</v>
      </c>
      <c r="H58">
        <v>0</v>
      </c>
      <c r="I58">
        <v>99.338999999999999</v>
      </c>
      <c r="J58" t="s">
        <v>146</v>
      </c>
    </row>
    <row r="59" spans="1:10" x14ac:dyDescent="0.3">
      <c r="A59" t="s">
        <v>243</v>
      </c>
      <c r="B59" t="s">
        <v>121</v>
      </c>
      <c r="C59" t="s">
        <v>122</v>
      </c>
      <c r="D59">
        <v>25</v>
      </c>
      <c r="E59">
        <v>52.223999999999997</v>
      </c>
      <c r="F59">
        <v>3.2000000000000001E-2</v>
      </c>
      <c r="G59">
        <v>46.5</v>
      </c>
      <c r="H59">
        <v>7.0000000000000001E-3</v>
      </c>
      <c r="I59">
        <v>99.805999999999997</v>
      </c>
      <c r="J59" t="s">
        <v>147</v>
      </c>
    </row>
    <row r="60" spans="1:10" x14ac:dyDescent="0.3">
      <c r="A60" t="s">
        <v>243</v>
      </c>
      <c r="B60" t="s">
        <v>121</v>
      </c>
      <c r="C60" t="s">
        <v>122</v>
      </c>
      <c r="D60">
        <v>26</v>
      </c>
      <c r="E60">
        <v>52.069000000000003</v>
      </c>
      <c r="F60">
        <v>4.0000000000000001E-3</v>
      </c>
      <c r="G60">
        <v>46.226999999999997</v>
      </c>
      <c r="H60">
        <v>1.7000000000000001E-2</v>
      </c>
      <c r="I60">
        <v>99.314999999999998</v>
      </c>
      <c r="J60" t="s">
        <v>148</v>
      </c>
    </row>
    <row r="61" spans="1:10" x14ac:dyDescent="0.3">
      <c r="A61" t="s">
        <v>243</v>
      </c>
      <c r="B61" t="s">
        <v>121</v>
      </c>
      <c r="C61" t="s">
        <v>122</v>
      </c>
      <c r="D61">
        <v>27</v>
      </c>
      <c r="E61">
        <v>52.360999999999997</v>
      </c>
      <c r="F61">
        <v>8.0000000000000002E-3</v>
      </c>
      <c r="G61">
        <v>46.070999999999998</v>
      </c>
      <c r="H61">
        <v>0</v>
      </c>
      <c r="I61">
        <v>99.78</v>
      </c>
      <c r="J61" t="s">
        <v>149</v>
      </c>
    </row>
    <row r="62" spans="1:10" x14ac:dyDescent="0.3">
      <c r="A62" t="s">
        <v>243</v>
      </c>
      <c r="B62" t="s">
        <v>121</v>
      </c>
      <c r="C62" t="s">
        <v>122</v>
      </c>
      <c r="D62">
        <v>28</v>
      </c>
      <c r="E62">
        <v>52.21</v>
      </c>
      <c r="F62">
        <v>1.2E-2</v>
      </c>
      <c r="G62">
        <v>45.960999999999999</v>
      </c>
      <c r="H62">
        <v>0</v>
      </c>
      <c r="I62">
        <v>99.375</v>
      </c>
      <c r="J62" t="s">
        <v>150</v>
      </c>
    </row>
    <row r="63" spans="1:10" x14ac:dyDescent="0.3">
      <c r="A63" t="s">
        <v>243</v>
      </c>
      <c r="B63" t="s">
        <v>121</v>
      </c>
      <c r="C63" t="s">
        <v>122</v>
      </c>
      <c r="D63">
        <v>29</v>
      </c>
      <c r="E63">
        <v>51.890999999999998</v>
      </c>
      <c r="F63">
        <v>0</v>
      </c>
      <c r="G63">
        <v>45.877000000000002</v>
      </c>
      <c r="H63">
        <v>0</v>
      </c>
      <c r="I63">
        <v>98.869</v>
      </c>
      <c r="J63" t="s">
        <v>151</v>
      </c>
    </row>
    <row r="64" spans="1:10" x14ac:dyDescent="0.3">
      <c r="A64" t="s">
        <v>243</v>
      </c>
      <c r="B64" t="s">
        <v>121</v>
      </c>
      <c r="C64" t="s">
        <v>122</v>
      </c>
      <c r="D64">
        <v>30</v>
      </c>
      <c r="E64">
        <v>51.671999999999997</v>
      </c>
      <c r="F64">
        <v>1.2999999999999999E-2</v>
      </c>
      <c r="G64">
        <v>45.951999999999998</v>
      </c>
      <c r="H64">
        <v>1.0999999999999999E-2</v>
      </c>
      <c r="I64">
        <v>98.792000000000002</v>
      </c>
      <c r="J64" t="s">
        <v>152</v>
      </c>
    </row>
    <row r="65" spans="1:10" x14ac:dyDescent="0.3">
      <c r="A65" t="s">
        <v>243</v>
      </c>
      <c r="B65" t="s">
        <v>121</v>
      </c>
      <c r="C65" t="s">
        <v>122</v>
      </c>
      <c r="D65">
        <v>31</v>
      </c>
      <c r="E65">
        <v>52.040999999999997</v>
      </c>
      <c r="F65">
        <v>0.01</v>
      </c>
      <c r="G65">
        <v>46.186999999999998</v>
      </c>
      <c r="H65">
        <v>0</v>
      </c>
      <c r="I65">
        <v>99.441000000000003</v>
      </c>
      <c r="J65" t="s">
        <v>153</v>
      </c>
    </row>
    <row r="66" spans="1:10" x14ac:dyDescent="0.3">
      <c r="A66" t="s">
        <v>246</v>
      </c>
      <c r="B66" t="s">
        <v>247</v>
      </c>
      <c r="C66" t="s">
        <v>122</v>
      </c>
      <c r="D66">
        <v>32</v>
      </c>
      <c r="E66">
        <v>53.442</v>
      </c>
      <c r="F66">
        <v>1.2999999999999999E-2</v>
      </c>
      <c r="G66">
        <v>46.607999999999997</v>
      </c>
      <c r="H66">
        <v>2.3E-2</v>
      </c>
      <c r="I66">
        <v>100.35299999999999</v>
      </c>
      <c r="J66" t="s">
        <v>154</v>
      </c>
    </row>
    <row r="67" spans="1:10" x14ac:dyDescent="0.3">
      <c r="A67" t="s">
        <v>246</v>
      </c>
      <c r="B67" t="s">
        <v>247</v>
      </c>
      <c r="C67" t="s">
        <v>122</v>
      </c>
      <c r="D67">
        <v>33</v>
      </c>
      <c r="E67">
        <v>53.866999999999997</v>
      </c>
      <c r="F67">
        <v>1E-3</v>
      </c>
      <c r="G67">
        <v>46.631</v>
      </c>
      <c r="H67">
        <v>7.0000000000000001E-3</v>
      </c>
      <c r="I67">
        <v>101.09099999999999</v>
      </c>
      <c r="J67" t="s">
        <v>155</v>
      </c>
    </row>
    <row r="68" spans="1:10" x14ac:dyDescent="0.3">
      <c r="A68" t="s">
        <v>246</v>
      </c>
      <c r="B68" t="s">
        <v>247</v>
      </c>
      <c r="C68" t="s">
        <v>122</v>
      </c>
      <c r="D68">
        <v>34</v>
      </c>
      <c r="E68">
        <v>53.521999999999998</v>
      </c>
      <c r="F68">
        <v>2.1000000000000001E-2</v>
      </c>
      <c r="G68">
        <v>46.765000000000001</v>
      </c>
      <c r="H68">
        <v>0</v>
      </c>
      <c r="I68">
        <v>100.581</v>
      </c>
      <c r="J68" t="s">
        <v>156</v>
      </c>
    </row>
    <row r="69" spans="1:10" x14ac:dyDescent="0.3">
      <c r="A69" t="s">
        <v>246</v>
      </c>
      <c r="B69" t="s">
        <v>247</v>
      </c>
      <c r="C69" t="s">
        <v>122</v>
      </c>
      <c r="D69">
        <v>35</v>
      </c>
      <c r="E69">
        <v>53.091999999999999</v>
      </c>
      <c r="F69">
        <v>2.1000000000000001E-2</v>
      </c>
      <c r="G69">
        <v>47.088000000000001</v>
      </c>
      <c r="H69">
        <v>1.7999999999999999E-2</v>
      </c>
      <c r="I69">
        <v>100.64400000000001</v>
      </c>
      <c r="J69" t="s">
        <v>157</v>
      </c>
    </row>
    <row r="70" spans="1:10" x14ac:dyDescent="0.3">
      <c r="A70" t="s">
        <v>246</v>
      </c>
      <c r="B70" t="s">
        <v>247</v>
      </c>
      <c r="C70" t="s">
        <v>122</v>
      </c>
      <c r="D70">
        <v>36</v>
      </c>
      <c r="E70">
        <v>52.988999999999997</v>
      </c>
      <c r="F70">
        <v>0.24399999999999999</v>
      </c>
      <c r="G70">
        <v>46.341999999999999</v>
      </c>
      <c r="H70">
        <v>0</v>
      </c>
      <c r="I70">
        <v>100.682</v>
      </c>
      <c r="J70" t="s">
        <v>158</v>
      </c>
    </row>
    <row r="71" spans="1:10" x14ac:dyDescent="0.3">
      <c r="A71" t="s">
        <v>246</v>
      </c>
      <c r="B71" t="s">
        <v>247</v>
      </c>
      <c r="C71" t="s">
        <v>122</v>
      </c>
      <c r="D71">
        <v>37</v>
      </c>
      <c r="E71">
        <v>52.997</v>
      </c>
      <c r="F71">
        <v>4.0000000000000001E-3</v>
      </c>
      <c r="G71">
        <v>46.372</v>
      </c>
      <c r="H71">
        <v>0</v>
      </c>
      <c r="I71">
        <v>99.716999999999999</v>
      </c>
      <c r="J71" t="s">
        <v>159</v>
      </c>
    </row>
    <row r="72" spans="1:10" x14ac:dyDescent="0.3">
      <c r="A72" t="s">
        <v>246</v>
      </c>
      <c r="B72" t="s">
        <v>247</v>
      </c>
      <c r="C72" t="s">
        <v>122</v>
      </c>
      <c r="D72">
        <v>38</v>
      </c>
      <c r="E72">
        <v>51.984999999999999</v>
      </c>
      <c r="F72">
        <v>1.2999999999999999E-2</v>
      </c>
      <c r="G72">
        <v>46.139000000000003</v>
      </c>
      <c r="H72">
        <v>0</v>
      </c>
      <c r="I72">
        <v>98.481999999999999</v>
      </c>
      <c r="J72" t="s">
        <v>160</v>
      </c>
    </row>
    <row r="73" spans="1:10" x14ac:dyDescent="0.3">
      <c r="A73" t="s">
        <v>246</v>
      </c>
      <c r="B73" t="s">
        <v>247</v>
      </c>
      <c r="C73" t="s">
        <v>122</v>
      </c>
      <c r="D73">
        <v>39</v>
      </c>
      <c r="E73">
        <v>52.58</v>
      </c>
      <c r="F73">
        <v>2.3E-2</v>
      </c>
      <c r="G73">
        <v>46.947000000000003</v>
      </c>
      <c r="H73">
        <v>1E-3</v>
      </c>
      <c r="I73">
        <v>99.733999999999995</v>
      </c>
      <c r="J73" t="s">
        <v>161</v>
      </c>
    </row>
    <row r="74" spans="1:10" x14ac:dyDescent="0.3">
      <c r="A74" t="s">
        <v>246</v>
      </c>
      <c r="B74" t="s">
        <v>247</v>
      </c>
      <c r="C74" t="s">
        <v>122</v>
      </c>
      <c r="D74">
        <v>40</v>
      </c>
      <c r="E74">
        <v>52.378999999999998</v>
      </c>
      <c r="F74">
        <v>1.2999999999999999E-2</v>
      </c>
      <c r="G74">
        <v>46.273000000000003</v>
      </c>
      <c r="H74">
        <v>0</v>
      </c>
      <c r="I74">
        <v>98.853999999999999</v>
      </c>
      <c r="J74" t="s">
        <v>162</v>
      </c>
    </row>
    <row r="75" spans="1:10" x14ac:dyDescent="0.3">
      <c r="A75" t="s">
        <v>246</v>
      </c>
      <c r="B75" t="s">
        <v>247</v>
      </c>
      <c r="C75" t="s">
        <v>122</v>
      </c>
      <c r="D75">
        <v>41</v>
      </c>
      <c r="E75">
        <v>52.372</v>
      </c>
      <c r="F75">
        <v>3.5000000000000003E-2</v>
      </c>
      <c r="G75">
        <v>46.787999999999997</v>
      </c>
      <c r="H75">
        <v>0</v>
      </c>
      <c r="I75">
        <v>99.872</v>
      </c>
      <c r="J75" t="s">
        <v>163</v>
      </c>
    </row>
    <row r="76" spans="1:10" x14ac:dyDescent="0.3">
      <c r="A76" t="s">
        <v>246</v>
      </c>
      <c r="B76" t="s">
        <v>247</v>
      </c>
      <c r="C76" t="s">
        <v>122</v>
      </c>
      <c r="D76">
        <v>42</v>
      </c>
      <c r="E76">
        <v>52.616</v>
      </c>
      <c r="F76">
        <v>0</v>
      </c>
      <c r="G76">
        <v>46.918999999999997</v>
      </c>
      <c r="H76">
        <v>7.0000000000000001E-3</v>
      </c>
      <c r="I76">
        <v>99.887</v>
      </c>
      <c r="J76" t="s">
        <v>164</v>
      </c>
    </row>
    <row r="77" spans="1:10" x14ac:dyDescent="0.3">
      <c r="A77" t="s">
        <v>246</v>
      </c>
      <c r="B77" t="s">
        <v>247</v>
      </c>
      <c r="C77" t="s">
        <v>122</v>
      </c>
      <c r="D77">
        <v>43</v>
      </c>
      <c r="E77">
        <v>52.959000000000003</v>
      </c>
      <c r="F77">
        <v>0</v>
      </c>
      <c r="G77">
        <v>46.54</v>
      </c>
      <c r="H77">
        <v>1.2E-2</v>
      </c>
      <c r="I77">
        <v>99.775000000000006</v>
      </c>
      <c r="J77" t="s">
        <v>165</v>
      </c>
    </row>
    <row r="78" spans="1:10" x14ac:dyDescent="0.3">
      <c r="A78" t="s">
        <v>246</v>
      </c>
      <c r="B78" t="s">
        <v>247</v>
      </c>
      <c r="C78" t="s">
        <v>122</v>
      </c>
      <c r="D78">
        <v>44</v>
      </c>
      <c r="E78">
        <v>52.341999999999999</v>
      </c>
      <c r="F78">
        <v>0.05</v>
      </c>
      <c r="G78">
        <v>46.311999999999998</v>
      </c>
      <c r="H78">
        <v>2.5999999999999999E-2</v>
      </c>
      <c r="I78">
        <v>99.263999999999996</v>
      </c>
      <c r="J78" t="s">
        <v>166</v>
      </c>
    </row>
    <row r="79" spans="1:10" x14ac:dyDescent="0.3">
      <c r="A79" t="s">
        <v>246</v>
      </c>
      <c r="B79" t="s">
        <v>247</v>
      </c>
      <c r="C79" t="s">
        <v>122</v>
      </c>
      <c r="D79">
        <v>45</v>
      </c>
      <c r="E79">
        <v>52.594000000000001</v>
      </c>
      <c r="F79">
        <v>1.7999999999999999E-2</v>
      </c>
      <c r="G79">
        <v>46.148000000000003</v>
      </c>
      <c r="H79">
        <v>2.9000000000000001E-2</v>
      </c>
      <c r="I79">
        <v>99.123999999999995</v>
      </c>
      <c r="J79" t="s">
        <v>167</v>
      </c>
    </row>
    <row r="80" spans="1:10" x14ac:dyDescent="0.3">
      <c r="A80" t="s">
        <v>246</v>
      </c>
      <c r="B80" t="s">
        <v>247</v>
      </c>
      <c r="C80" t="s">
        <v>122</v>
      </c>
      <c r="D80">
        <v>46</v>
      </c>
      <c r="E80">
        <v>52.826999999999998</v>
      </c>
      <c r="F80">
        <v>1E-3</v>
      </c>
      <c r="G80">
        <v>46.478000000000002</v>
      </c>
      <c r="H80">
        <v>0</v>
      </c>
      <c r="I80">
        <v>99.837000000000003</v>
      </c>
      <c r="J80" t="s">
        <v>168</v>
      </c>
    </row>
    <row r="81" spans="1:10" x14ac:dyDescent="0.3">
      <c r="A81" t="s">
        <v>246</v>
      </c>
      <c r="B81" t="s">
        <v>247</v>
      </c>
      <c r="C81" t="s">
        <v>122</v>
      </c>
      <c r="D81">
        <v>47</v>
      </c>
      <c r="E81">
        <v>52.25</v>
      </c>
      <c r="F81">
        <v>3.5999999999999997E-2</v>
      </c>
      <c r="G81">
        <v>46.476999999999997</v>
      </c>
      <c r="H81">
        <v>1.7000000000000001E-2</v>
      </c>
      <c r="I81">
        <v>99.19</v>
      </c>
      <c r="J81" t="s">
        <v>169</v>
      </c>
    </row>
    <row r="82" spans="1:10" x14ac:dyDescent="0.3">
      <c r="A82" t="s">
        <v>248</v>
      </c>
      <c r="B82" t="s">
        <v>249</v>
      </c>
      <c r="C82" t="s">
        <v>120</v>
      </c>
      <c r="D82">
        <v>48</v>
      </c>
      <c r="E82">
        <v>51.951000000000001</v>
      </c>
      <c r="F82">
        <v>0</v>
      </c>
      <c r="G82">
        <v>46.709000000000003</v>
      </c>
      <c r="H82">
        <v>1.9E-2</v>
      </c>
      <c r="I82">
        <v>98.831000000000003</v>
      </c>
      <c r="J82" t="s">
        <v>170</v>
      </c>
    </row>
    <row r="83" spans="1:10" x14ac:dyDescent="0.3">
      <c r="A83" t="s">
        <v>248</v>
      </c>
      <c r="B83" t="s">
        <v>249</v>
      </c>
      <c r="C83" t="s">
        <v>120</v>
      </c>
      <c r="D83">
        <v>49</v>
      </c>
      <c r="E83">
        <v>52.305</v>
      </c>
      <c r="F83">
        <v>3.5000000000000003E-2</v>
      </c>
      <c r="G83">
        <v>46.790999999999997</v>
      </c>
      <c r="H83">
        <v>0</v>
      </c>
      <c r="I83">
        <v>99.23</v>
      </c>
      <c r="J83" t="s">
        <v>171</v>
      </c>
    </row>
    <row r="84" spans="1:10" x14ac:dyDescent="0.3">
      <c r="A84" t="s">
        <v>248</v>
      </c>
      <c r="B84" t="s">
        <v>249</v>
      </c>
      <c r="C84" t="s">
        <v>120</v>
      </c>
      <c r="D84">
        <v>50</v>
      </c>
      <c r="E84">
        <v>52.119</v>
      </c>
      <c r="F84">
        <v>0</v>
      </c>
      <c r="G84">
        <v>46.570999999999998</v>
      </c>
      <c r="H84">
        <v>0</v>
      </c>
      <c r="I84">
        <v>98.850999999999999</v>
      </c>
      <c r="J84" t="s">
        <v>172</v>
      </c>
    </row>
    <row r="85" spans="1:10" x14ac:dyDescent="0.3">
      <c r="A85" t="s">
        <v>248</v>
      </c>
      <c r="B85" t="s">
        <v>249</v>
      </c>
      <c r="C85" t="s">
        <v>120</v>
      </c>
      <c r="D85">
        <v>51</v>
      </c>
      <c r="E85">
        <v>52.868000000000002</v>
      </c>
      <c r="F85">
        <v>0.18</v>
      </c>
      <c r="G85">
        <v>46.478999999999999</v>
      </c>
      <c r="H85">
        <v>1.2999999999999999E-2</v>
      </c>
      <c r="I85">
        <v>99.816000000000003</v>
      </c>
      <c r="J85" t="s">
        <v>173</v>
      </c>
    </row>
    <row r="86" spans="1:10" x14ac:dyDescent="0.3">
      <c r="A86" t="s">
        <v>248</v>
      </c>
      <c r="B86" t="s">
        <v>249</v>
      </c>
      <c r="C86" t="s">
        <v>120</v>
      </c>
      <c r="D86">
        <v>52</v>
      </c>
      <c r="E86">
        <v>52.034999999999997</v>
      </c>
      <c r="F86">
        <v>0.67800000000000005</v>
      </c>
      <c r="G86">
        <v>45.753</v>
      </c>
      <c r="H86">
        <v>1.6E-2</v>
      </c>
      <c r="I86">
        <v>98.75</v>
      </c>
      <c r="J86" t="s">
        <v>174</v>
      </c>
    </row>
    <row r="87" spans="1:10" x14ac:dyDescent="0.3">
      <c r="A87" t="s">
        <v>248</v>
      </c>
      <c r="B87" t="s">
        <v>249</v>
      </c>
      <c r="C87" t="s">
        <v>120</v>
      </c>
      <c r="D87">
        <v>53</v>
      </c>
      <c r="E87">
        <v>52.290999999999997</v>
      </c>
      <c r="F87">
        <v>4.2000000000000003E-2</v>
      </c>
      <c r="G87">
        <v>46.244</v>
      </c>
      <c r="H87">
        <v>0</v>
      </c>
      <c r="I87">
        <v>98.694999999999993</v>
      </c>
      <c r="J87" t="s">
        <v>175</v>
      </c>
    </row>
    <row r="88" spans="1:10" x14ac:dyDescent="0.3">
      <c r="A88" t="s">
        <v>248</v>
      </c>
      <c r="B88" t="s">
        <v>249</v>
      </c>
      <c r="C88" t="s">
        <v>120</v>
      </c>
      <c r="D88">
        <v>54</v>
      </c>
      <c r="E88">
        <v>51.847999999999999</v>
      </c>
      <c r="F88">
        <v>0.222</v>
      </c>
      <c r="G88">
        <v>45.92</v>
      </c>
      <c r="H88">
        <v>3.0000000000000001E-3</v>
      </c>
      <c r="I88">
        <v>98.233000000000004</v>
      </c>
      <c r="J88" t="s">
        <v>176</v>
      </c>
    </row>
    <row r="89" spans="1:10" x14ac:dyDescent="0.3">
      <c r="A89" t="s">
        <v>248</v>
      </c>
      <c r="B89" t="s">
        <v>249</v>
      </c>
      <c r="C89" t="s">
        <v>120</v>
      </c>
      <c r="D89">
        <v>64</v>
      </c>
      <c r="E89">
        <v>52.09</v>
      </c>
      <c r="F89">
        <v>1.4E-2</v>
      </c>
      <c r="G89">
        <v>47.045999999999999</v>
      </c>
      <c r="H89">
        <v>0</v>
      </c>
      <c r="I89">
        <v>99.302999999999997</v>
      </c>
      <c r="J89" t="s">
        <v>177</v>
      </c>
    </row>
    <row r="90" spans="1:10" x14ac:dyDescent="0.3">
      <c r="A90" t="s">
        <v>248</v>
      </c>
      <c r="B90" t="s">
        <v>249</v>
      </c>
      <c r="C90" t="s">
        <v>120</v>
      </c>
      <c r="D90">
        <v>65</v>
      </c>
      <c r="E90">
        <v>51.649000000000001</v>
      </c>
      <c r="F90">
        <v>0.189</v>
      </c>
      <c r="G90">
        <v>46.131999999999998</v>
      </c>
      <c r="H90">
        <v>0</v>
      </c>
      <c r="I90">
        <v>98.147000000000006</v>
      </c>
      <c r="J90" t="s">
        <v>178</v>
      </c>
    </row>
    <row r="91" spans="1:10" x14ac:dyDescent="0.3">
      <c r="A91" t="s">
        <v>248</v>
      </c>
      <c r="B91" t="s">
        <v>249</v>
      </c>
      <c r="C91" t="s">
        <v>120</v>
      </c>
      <c r="D91">
        <v>66</v>
      </c>
      <c r="E91">
        <v>51.984999999999999</v>
      </c>
      <c r="F91">
        <v>3.1E-2</v>
      </c>
      <c r="G91">
        <v>46.808</v>
      </c>
      <c r="H91">
        <v>1.2E-2</v>
      </c>
      <c r="I91">
        <v>98.921999999999997</v>
      </c>
      <c r="J91" t="s">
        <v>179</v>
      </c>
    </row>
    <row r="92" spans="1:10" x14ac:dyDescent="0.3">
      <c r="A92" t="s">
        <v>248</v>
      </c>
      <c r="B92" t="s">
        <v>249</v>
      </c>
      <c r="C92" t="s">
        <v>120</v>
      </c>
      <c r="D92">
        <v>67</v>
      </c>
      <c r="E92">
        <v>51.231999999999999</v>
      </c>
      <c r="F92">
        <v>4.3999999999999997E-2</v>
      </c>
      <c r="G92">
        <v>46.018000000000001</v>
      </c>
      <c r="H92">
        <v>8.9999999999999993E-3</v>
      </c>
      <c r="I92">
        <v>97.394000000000005</v>
      </c>
      <c r="J92" t="s">
        <v>180</v>
      </c>
    </row>
    <row r="93" spans="1:10" x14ac:dyDescent="0.3">
      <c r="A93" t="s">
        <v>248</v>
      </c>
      <c r="B93" t="s">
        <v>249</v>
      </c>
      <c r="C93" t="s">
        <v>120</v>
      </c>
      <c r="D93">
        <v>68</v>
      </c>
      <c r="E93">
        <v>51.99</v>
      </c>
      <c r="F93">
        <v>0</v>
      </c>
      <c r="G93">
        <v>46.348999999999997</v>
      </c>
      <c r="H93">
        <v>8.9999999999999993E-3</v>
      </c>
      <c r="I93">
        <v>98.391000000000005</v>
      </c>
      <c r="J93" t="s">
        <v>181</v>
      </c>
    </row>
    <row r="94" spans="1:10" x14ac:dyDescent="0.3">
      <c r="A94" t="s">
        <v>248</v>
      </c>
      <c r="B94" t="s">
        <v>249</v>
      </c>
      <c r="C94" t="s">
        <v>120</v>
      </c>
      <c r="D94">
        <v>69</v>
      </c>
      <c r="E94">
        <v>52.357999999999997</v>
      </c>
      <c r="F94">
        <v>2.8000000000000001E-2</v>
      </c>
      <c r="G94">
        <v>46.731000000000002</v>
      </c>
      <c r="H94">
        <v>3.9E-2</v>
      </c>
      <c r="I94">
        <v>99.274000000000001</v>
      </c>
      <c r="J94" t="s">
        <v>182</v>
      </c>
    </row>
    <row r="95" spans="1:10" x14ac:dyDescent="0.3">
      <c r="A95" t="s">
        <v>248</v>
      </c>
      <c r="B95" t="s">
        <v>249</v>
      </c>
      <c r="C95" t="s">
        <v>120</v>
      </c>
      <c r="D95">
        <v>70</v>
      </c>
      <c r="E95">
        <v>52.076999999999998</v>
      </c>
      <c r="F95">
        <v>0.17799999999999999</v>
      </c>
      <c r="G95">
        <v>46.768999999999998</v>
      </c>
      <c r="H95">
        <v>0</v>
      </c>
      <c r="I95">
        <v>99.299000000000007</v>
      </c>
      <c r="J95" t="s">
        <v>183</v>
      </c>
    </row>
    <row r="96" spans="1:10" x14ac:dyDescent="0.3">
      <c r="A96" t="s">
        <v>248</v>
      </c>
      <c r="B96" t="s">
        <v>249</v>
      </c>
      <c r="C96" t="s">
        <v>120</v>
      </c>
      <c r="D96">
        <v>71</v>
      </c>
      <c r="E96">
        <v>52.53</v>
      </c>
      <c r="F96">
        <v>0.189</v>
      </c>
      <c r="G96">
        <v>46.759</v>
      </c>
      <c r="H96">
        <v>2.5000000000000001E-2</v>
      </c>
      <c r="I96">
        <v>99.591999999999999</v>
      </c>
      <c r="J96" t="s">
        <v>184</v>
      </c>
    </row>
    <row r="97" spans="1:10" x14ac:dyDescent="0.3">
      <c r="A97" t="s">
        <v>251</v>
      </c>
      <c r="B97" t="s">
        <v>250</v>
      </c>
      <c r="C97" t="s">
        <v>120</v>
      </c>
      <c r="D97">
        <v>72</v>
      </c>
      <c r="E97">
        <v>51.923000000000002</v>
      </c>
      <c r="F97">
        <v>5.6000000000000001E-2</v>
      </c>
      <c r="G97">
        <v>46.773000000000003</v>
      </c>
      <c r="H97">
        <v>0</v>
      </c>
      <c r="I97">
        <v>99.418000000000006</v>
      </c>
      <c r="J97" t="s">
        <v>185</v>
      </c>
    </row>
    <row r="98" spans="1:10" x14ac:dyDescent="0.3">
      <c r="A98" t="s">
        <v>251</v>
      </c>
      <c r="B98" t="s">
        <v>250</v>
      </c>
      <c r="C98" t="s">
        <v>120</v>
      </c>
      <c r="D98">
        <v>73</v>
      </c>
      <c r="E98">
        <v>51.884</v>
      </c>
      <c r="F98">
        <v>0.65700000000000003</v>
      </c>
      <c r="G98">
        <v>46.048999999999999</v>
      </c>
      <c r="H98">
        <v>2.5000000000000001E-2</v>
      </c>
      <c r="I98">
        <v>99.022999999999996</v>
      </c>
      <c r="J98" t="s">
        <v>186</v>
      </c>
    </row>
    <row r="99" spans="1:10" x14ac:dyDescent="0.3">
      <c r="A99" t="s">
        <v>251</v>
      </c>
      <c r="B99" t="s">
        <v>250</v>
      </c>
      <c r="C99" t="s">
        <v>120</v>
      </c>
      <c r="D99">
        <v>74</v>
      </c>
      <c r="E99">
        <v>52.432000000000002</v>
      </c>
      <c r="F99">
        <v>2.4E-2</v>
      </c>
      <c r="G99">
        <v>46.667999999999999</v>
      </c>
      <c r="H99">
        <v>3.0000000000000001E-3</v>
      </c>
      <c r="I99">
        <v>99.494</v>
      </c>
      <c r="J99" t="s">
        <v>187</v>
      </c>
    </row>
    <row r="100" spans="1:10" x14ac:dyDescent="0.3">
      <c r="A100" t="s">
        <v>251</v>
      </c>
      <c r="B100" t="s">
        <v>250</v>
      </c>
      <c r="C100" t="s">
        <v>120</v>
      </c>
      <c r="D100">
        <v>75</v>
      </c>
      <c r="E100">
        <v>52.122</v>
      </c>
      <c r="F100">
        <v>4.3999999999999997E-2</v>
      </c>
      <c r="G100">
        <v>46.735999999999997</v>
      </c>
      <c r="H100">
        <v>0.02</v>
      </c>
      <c r="I100">
        <v>99.085999999999999</v>
      </c>
      <c r="J100" t="s">
        <v>188</v>
      </c>
    </row>
    <row r="101" spans="1:10" x14ac:dyDescent="0.3">
      <c r="A101" t="s">
        <v>251</v>
      </c>
      <c r="B101" t="s">
        <v>250</v>
      </c>
      <c r="C101" t="s">
        <v>120</v>
      </c>
      <c r="D101">
        <v>76</v>
      </c>
      <c r="E101">
        <v>51.308</v>
      </c>
      <c r="F101">
        <v>0.182</v>
      </c>
      <c r="G101">
        <v>46</v>
      </c>
      <c r="H101">
        <v>2.7E-2</v>
      </c>
      <c r="I101">
        <v>97.724000000000004</v>
      </c>
      <c r="J101" t="s">
        <v>189</v>
      </c>
    </row>
    <row r="102" spans="1:10" x14ac:dyDescent="0.3">
      <c r="A102" t="s">
        <v>251</v>
      </c>
      <c r="B102" t="s">
        <v>250</v>
      </c>
      <c r="C102" t="s">
        <v>120</v>
      </c>
      <c r="D102">
        <v>77</v>
      </c>
      <c r="E102">
        <v>52.067</v>
      </c>
      <c r="F102">
        <v>0.50800000000000001</v>
      </c>
      <c r="G102">
        <v>46.055</v>
      </c>
      <c r="H102">
        <v>0</v>
      </c>
      <c r="I102">
        <v>99.245999999999995</v>
      </c>
      <c r="J102" t="s">
        <v>190</v>
      </c>
    </row>
    <row r="103" spans="1:10" x14ac:dyDescent="0.3">
      <c r="A103" t="s">
        <v>251</v>
      </c>
      <c r="B103" t="s">
        <v>250</v>
      </c>
      <c r="C103" t="s">
        <v>120</v>
      </c>
      <c r="D103">
        <v>78</v>
      </c>
      <c r="E103">
        <v>51.826000000000001</v>
      </c>
      <c r="F103">
        <v>0.192</v>
      </c>
      <c r="G103">
        <v>46.161999999999999</v>
      </c>
      <c r="H103">
        <v>0</v>
      </c>
      <c r="I103">
        <v>98.391000000000005</v>
      </c>
      <c r="J103" t="s">
        <v>191</v>
      </c>
    </row>
    <row r="104" spans="1:10" x14ac:dyDescent="0.3">
      <c r="A104" t="s">
        <v>251</v>
      </c>
      <c r="B104" t="s">
        <v>250</v>
      </c>
      <c r="C104" t="s">
        <v>120</v>
      </c>
      <c r="D104">
        <v>79</v>
      </c>
      <c r="E104">
        <v>52.198</v>
      </c>
      <c r="F104">
        <v>4.0000000000000001E-3</v>
      </c>
      <c r="G104">
        <v>46.738999999999997</v>
      </c>
      <c r="H104">
        <v>0.01</v>
      </c>
      <c r="I104">
        <v>99.459000000000003</v>
      </c>
      <c r="J104" t="s">
        <v>192</v>
      </c>
    </row>
    <row r="105" spans="1:10" x14ac:dyDescent="0.3">
      <c r="A105" t="s">
        <v>251</v>
      </c>
      <c r="B105" t="s">
        <v>250</v>
      </c>
      <c r="C105" t="s">
        <v>120</v>
      </c>
      <c r="D105">
        <v>80</v>
      </c>
      <c r="E105">
        <v>52.024000000000001</v>
      </c>
      <c r="F105">
        <v>1.2999999999999999E-2</v>
      </c>
      <c r="G105">
        <v>46.570999999999998</v>
      </c>
      <c r="H105">
        <v>0</v>
      </c>
      <c r="I105">
        <v>98.962000000000003</v>
      </c>
      <c r="J105" t="s">
        <v>193</v>
      </c>
    </row>
    <row r="106" spans="1:10" x14ac:dyDescent="0.3">
      <c r="A106" t="s">
        <v>251</v>
      </c>
      <c r="B106" t="s">
        <v>250</v>
      </c>
      <c r="C106" t="s">
        <v>120</v>
      </c>
      <c r="D106">
        <v>81</v>
      </c>
      <c r="E106">
        <v>52.09</v>
      </c>
      <c r="F106">
        <v>0.02</v>
      </c>
      <c r="G106">
        <v>46.692999999999998</v>
      </c>
      <c r="H106">
        <v>1.7000000000000001E-2</v>
      </c>
      <c r="I106">
        <v>99.152000000000001</v>
      </c>
      <c r="J106" t="s">
        <v>194</v>
      </c>
    </row>
    <row r="107" spans="1:10" x14ac:dyDescent="0.3">
      <c r="A107" t="s">
        <v>251</v>
      </c>
      <c r="B107" t="s">
        <v>250</v>
      </c>
      <c r="C107" t="s">
        <v>120</v>
      </c>
      <c r="D107">
        <v>82</v>
      </c>
      <c r="E107">
        <v>52.465000000000003</v>
      </c>
      <c r="F107">
        <v>8.0000000000000002E-3</v>
      </c>
      <c r="G107">
        <v>46.587000000000003</v>
      </c>
      <c r="H107">
        <v>2.4E-2</v>
      </c>
      <c r="I107">
        <v>99.447000000000003</v>
      </c>
      <c r="J107" t="s">
        <v>195</v>
      </c>
    </row>
    <row r="108" spans="1:10" x14ac:dyDescent="0.3">
      <c r="A108" t="s">
        <v>251</v>
      </c>
      <c r="B108" t="s">
        <v>250</v>
      </c>
      <c r="C108" t="s">
        <v>120</v>
      </c>
      <c r="D108">
        <v>83</v>
      </c>
      <c r="E108">
        <v>51.843000000000004</v>
      </c>
      <c r="F108">
        <v>5.2999999999999999E-2</v>
      </c>
      <c r="G108">
        <v>46.761000000000003</v>
      </c>
      <c r="H108">
        <v>0</v>
      </c>
      <c r="I108">
        <v>98.918000000000006</v>
      </c>
      <c r="J108" t="s">
        <v>196</v>
      </c>
    </row>
    <row r="109" spans="1:10" x14ac:dyDescent="0.3">
      <c r="A109" t="s">
        <v>251</v>
      </c>
      <c r="B109" t="s">
        <v>250</v>
      </c>
      <c r="C109" t="s">
        <v>120</v>
      </c>
      <c r="D109">
        <v>84</v>
      </c>
      <c r="E109">
        <v>52.737000000000002</v>
      </c>
      <c r="F109">
        <v>0.30299999999999999</v>
      </c>
      <c r="G109">
        <v>46.4</v>
      </c>
      <c r="H109">
        <v>0</v>
      </c>
      <c r="I109">
        <v>99.903999999999996</v>
      </c>
      <c r="J109" t="s">
        <v>197</v>
      </c>
    </row>
    <row r="110" spans="1:10" x14ac:dyDescent="0.3">
      <c r="A110" t="s">
        <v>251</v>
      </c>
      <c r="B110" t="s">
        <v>250</v>
      </c>
      <c r="C110" t="s">
        <v>120</v>
      </c>
      <c r="D110">
        <v>85</v>
      </c>
      <c r="E110">
        <v>51.896000000000001</v>
      </c>
      <c r="F110">
        <v>6.6000000000000003E-2</v>
      </c>
      <c r="G110">
        <v>46.533999999999999</v>
      </c>
      <c r="H110">
        <v>0</v>
      </c>
      <c r="I110">
        <v>98.707999999999998</v>
      </c>
      <c r="J110" t="s">
        <v>198</v>
      </c>
    </row>
    <row r="111" spans="1:10" x14ac:dyDescent="0.3">
      <c r="A111" t="s">
        <v>251</v>
      </c>
      <c r="B111" t="s">
        <v>250</v>
      </c>
      <c r="C111" t="s">
        <v>120</v>
      </c>
      <c r="D111">
        <v>86</v>
      </c>
      <c r="E111">
        <v>51.317999999999998</v>
      </c>
      <c r="F111">
        <v>1.9E-2</v>
      </c>
      <c r="G111">
        <v>45.969000000000001</v>
      </c>
      <c r="H111">
        <v>3.9E-2</v>
      </c>
      <c r="I111">
        <v>97.611999999999995</v>
      </c>
      <c r="J111" t="s">
        <v>199</v>
      </c>
    </row>
    <row r="112" spans="1:10" x14ac:dyDescent="0.3">
      <c r="A112" t="s">
        <v>251</v>
      </c>
      <c r="B112" t="s">
        <v>250</v>
      </c>
      <c r="C112" t="s">
        <v>120</v>
      </c>
      <c r="D112">
        <v>87</v>
      </c>
      <c r="E112">
        <v>51.881999999999998</v>
      </c>
      <c r="F112">
        <v>0.04</v>
      </c>
      <c r="G112">
        <v>46.691000000000003</v>
      </c>
      <c r="H112">
        <v>5.0000000000000001E-3</v>
      </c>
      <c r="I112">
        <v>99.644999999999996</v>
      </c>
      <c r="J112" t="s">
        <v>200</v>
      </c>
    </row>
    <row r="113" spans="1:10" x14ac:dyDescent="0.3">
      <c r="A113" t="s">
        <v>251</v>
      </c>
      <c r="B113" t="s">
        <v>250</v>
      </c>
      <c r="C113" t="s">
        <v>120</v>
      </c>
      <c r="D113">
        <v>100</v>
      </c>
      <c r="E113">
        <v>52.521999999999998</v>
      </c>
      <c r="F113">
        <v>0.02</v>
      </c>
      <c r="G113">
        <v>46.682000000000002</v>
      </c>
      <c r="H113">
        <v>0</v>
      </c>
      <c r="I113">
        <v>99.319000000000003</v>
      </c>
      <c r="J113" t="s">
        <v>201</v>
      </c>
    </row>
    <row r="114" spans="1:10" x14ac:dyDescent="0.3">
      <c r="A114" t="s">
        <v>251</v>
      </c>
      <c r="B114" t="s">
        <v>250</v>
      </c>
      <c r="C114" t="s">
        <v>120</v>
      </c>
      <c r="D114">
        <v>101</v>
      </c>
      <c r="E114">
        <v>52.220999999999997</v>
      </c>
      <c r="F114">
        <v>0.02</v>
      </c>
      <c r="G114">
        <v>46.354999999999997</v>
      </c>
      <c r="H114">
        <v>6.6000000000000003E-2</v>
      </c>
      <c r="I114">
        <v>99.125</v>
      </c>
      <c r="J114" t="s">
        <v>202</v>
      </c>
    </row>
    <row r="115" spans="1:10" x14ac:dyDescent="0.3">
      <c r="A115" t="s">
        <v>251</v>
      </c>
      <c r="B115" t="s">
        <v>250</v>
      </c>
      <c r="C115" t="s">
        <v>120</v>
      </c>
      <c r="D115">
        <v>102</v>
      </c>
      <c r="E115">
        <v>52.343000000000004</v>
      </c>
      <c r="F115">
        <v>3.1E-2</v>
      </c>
      <c r="G115">
        <v>46.7</v>
      </c>
      <c r="H115">
        <v>4.7E-2</v>
      </c>
      <c r="I115">
        <v>99.650999999999996</v>
      </c>
      <c r="J115" t="s">
        <v>203</v>
      </c>
    </row>
    <row r="116" spans="1:10" x14ac:dyDescent="0.3">
      <c r="A116" t="s">
        <v>251</v>
      </c>
      <c r="B116" t="s">
        <v>250</v>
      </c>
      <c r="C116" t="s">
        <v>120</v>
      </c>
      <c r="D116">
        <v>103</v>
      </c>
      <c r="E116">
        <v>51.874000000000002</v>
      </c>
      <c r="F116">
        <v>5.8999999999999997E-2</v>
      </c>
      <c r="G116">
        <v>46.087000000000003</v>
      </c>
      <c r="H116">
        <v>0.25900000000000001</v>
      </c>
      <c r="I116">
        <v>98.616</v>
      </c>
      <c r="J116" t="s">
        <v>204</v>
      </c>
    </row>
    <row r="117" spans="1:10" x14ac:dyDescent="0.3">
      <c r="A117" t="s">
        <v>251</v>
      </c>
      <c r="B117" t="s">
        <v>250</v>
      </c>
      <c r="C117" t="s">
        <v>120</v>
      </c>
      <c r="D117">
        <v>104</v>
      </c>
      <c r="E117">
        <v>52.755000000000003</v>
      </c>
      <c r="F117">
        <v>3.4000000000000002E-2</v>
      </c>
      <c r="G117">
        <v>46.52</v>
      </c>
      <c r="H117">
        <v>0.10199999999999999</v>
      </c>
      <c r="I117">
        <v>99.9</v>
      </c>
      <c r="J117" t="s">
        <v>205</v>
      </c>
    </row>
    <row r="118" spans="1:10" x14ac:dyDescent="0.3">
      <c r="A118" t="s">
        <v>251</v>
      </c>
      <c r="B118" t="s">
        <v>250</v>
      </c>
      <c r="C118" t="s">
        <v>120</v>
      </c>
      <c r="D118">
        <v>105</v>
      </c>
      <c r="E118">
        <v>52.720999999999997</v>
      </c>
      <c r="F118">
        <v>1.6E-2</v>
      </c>
      <c r="G118">
        <v>46.86</v>
      </c>
      <c r="H118">
        <v>1.9E-2</v>
      </c>
      <c r="I118">
        <v>99.887</v>
      </c>
      <c r="J118" t="s">
        <v>206</v>
      </c>
    </row>
    <row r="119" spans="1:10" x14ac:dyDescent="0.3">
      <c r="A119" t="s">
        <v>251</v>
      </c>
      <c r="B119" t="s">
        <v>250</v>
      </c>
      <c r="C119" t="s">
        <v>120</v>
      </c>
      <c r="D119">
        <v>106</v>
      </c>
      <c r="E119">
        <v>52.404000000000003</v>
      </c>
      <c r="F119">
        <v>1.4E-2</v>
      </c>
      <c r="G119">
        <v>46.287999999999997</v>
      </c>
      <c r="H119">
        <v>1.7999999999999999E-2</v>
      </c>
      <c r="I119">
        <v>99.102000000000004</v>
      </c>
      <c r="J119" t="s">
        <v>207</v>
      </c>
    </row>
    <row r="120" spans="1:10" x14ac:dyDescent="0.3">
      <c r="A120" t="s">
        <v>251</v>
      </c>
      <c r="B120" t="s">
        <v>250</v>
      </c>
      <c r="C120" t="s">
        <v>120</v>
      </c>
      <c r="D120">
        <v>107</v>
      </c>
      <c r="E120">
        <v>53.625999999999998</v>
      </c>
      <c r="F120">
        <v>4.5999999999999999E-2</v>
      </c>
      <c r="G120">
        <v>46.591000000000001</v>
      </c>
      <c r="H120">
        <v>9.0999999999999998E-2</v>
      </c>
      <c r="I120">
        <v>100.851</v>
      </c>
      <c r="J120" t="s">
        <v>208</v>
      </c>
    </row>
    <row r="121" spans="1:10" x14ac:dyDescent="0.3">
      <c r="A121" t="s">
        <v>251</v>
      </c>
      <c r="B121" t="s">
        <v>250</v>
      </c>
      <c r="C121" t="s">
        <v>120</v>
      </c>
      <c r="D121">
        <v>108</v>
      </c>
      <c r="E121">
        <v>52.945</v>
      </c>
      <c r="F121">
        <v>1.6E-2</v>
      </c>
      <c r="G121">
        <v>46.494999999999997</v>
      </c>
      <c r="H121">
        <v>3.5000000000000003E-2</v>
      </c>
      <c r="I121">
        <v>99.826999999999998</v>
      </c>
      <c r="J121" t="s">
        <v>209</v>
      </c>
    </row>
    <row r="122" spans="1:10" x14ac:dyDescent="0.3">
      <c r="A122" t="s">
        <v>252</v>
      </c>
      <c r="B122" t="s">
        <v>253</v>
      </c>
      <c r="C122" t="s">
        <v>120</v>
      </c>
      <c r="D122">
        <v>130</v>
      </c>
      <c r="E122">
        <v>52.930999999999997</v>
      </c>
      <c r="F122">
        <v>3.9E-2</v>
      </c>
      <c r="G122">
        <v>46.389000000000003</v>
      </c>
      <c r="H122">
        <v>6.0000000000000001E-3</v>
      </c>
      <c r="I122">
        <v>99.680999999999997</v>
      </c>
      <c r="J122" t="s">
        <v>210</v>
      </c>
    </row>
    <row r="123" spans="1:10" x14ac:dyDescent="0.3">
      <c r="A123" t="s">
        <v>252</v>
      </c>
      <c r="B123" t="s">
        <v>253</v>
      </c>
      <c r="C123" t="s">
        <v>120</v>
      </c>
      <c r="D123">
        <v>131</v>
      </c>
      <c r="E123">
        <v>53.152999999999999</v>
      </c>
      <c r="F123">
        <v>3.9E-2</v>
      </c>
      <c r="G123">
        <v>46.186999999999998</v>
      </c>
      <c r="H123">
        <v>5.6000000000000001E-2</v>
      </c>
      <c r="I123">
        <v>99.834000000000003</v>
      </c>
      <c r="J123" t="s">
        <v>211</v>
      </c>
    </row>
    <row r="124" spans="1:10" x14ac:dyDescent="0.3">
      <c r="A124" t="s">
        <v>252</v>
      </c>
      <c r="B124" t="s">
        <v>253</v>
      </c>
      <c r="C124" t="s">
        <v>120</v>
      </c>
      <c r="D124">
        <v>132</v>
      </c>
      <c r="E124">
        <v>52.284999999999997</v>
      </c>
      <c r="F124">
        <v>1.2E-2</v>
      </c>
      <c r="G124">
        <v>45.561999999999998</v>
      </c>
      <c r="H124">
        <v>6.9000000000000006E-2</v>
      </c>
      <c r="I124">
        <v>98.346999999999994</v>
      </c>
      <c r="J124" t="s">
        <v>212</v>
      </c>
    </row>
    <row r="125" spans="1:10" x14ac:dyDescent="0.3">
      <c r="A125" t="s">
        <v>252</v>
      </c>
      <c r="B125" t="s">
        <v>253</v>
      </c>
      <c r="C125" t="s">
        <v>120</v>
      </c>
      <c r="D125">
        <v>133</v>
      </c>
      <c r="E125">
        <v>53.305</v>
      </c>
      <c r="F125">
        <v>4.1000000000000002E-2</v>
      </c>
      <c r="G125">
        <v>46.442</v>
      </c>
      <c r="H125">
        <v>0.30199999999999999</v>
      </c>
      <c r="I125">
        <v>100.134</v>
      </c>
      <c r="J125" t="s">
        <v>213</v>
      </c>
    </row>
    <row r="126" spans="1:10" x14ac:dyDescent="0.3">
      <c r="A126" t="s">
        <v>252</v>
      </c>
      <c r="B126" t="s">
        <v>253</v>
      </c>
      <c r="C126" t="s">
        <v>120</v>
      </c>
      <c r="D126">
        <v>134</v>
      </c>
      <c r="E126">
        <v>53.289000000000001</v>
      </c>
      <c r="F126">
        <v>2.9000000000000001E-2</v>
      </c>
      <c r="G126">
        <v>46.103999999999999</v>
      </c>
      <c r="H126">
        <v>0.25800000000000001</v>
      </c>
      <c r="I126">
        <v>99.813999999999993</v>
      </c>
      <c r="J126" t="s">
        <v>214</v>
      </c>
    </row>
    <row r="127" spans="1:10" x14ac:dyDescent="0.3">
      <c r="A127" t="s">
        <v>252</v>
      </c>
      <c r="B127" t="s">
        <v>253</v>
      </c>
      <c r="C127" t="s">
        <v>120</v>
      </c>
      <c r="D127">
        <v>135</v>
      </c>
      <c r="E127">
        <v>53.42</v>
      </c>
      <c r="F127">
        <v>0.114</v>
      </c>
      <c r="G127">
        <v>46.468000000000004</v>
      </c>
      <c r="H127">
        <v>0.27100000000000002</v>
      </c>
      <c r="I127">
        <v>100.35299999999999</v>
      </c>
      <c r="J127" t="s">
        <v>215</v>
      </c>
    </row>
    <row r="128" spans="1:10" x14ac:dyDescent="0.3">
      <c r="A128" t="s">
        <v>252</v>
      </c>
      <c r="B128" t="s">
        <v>253</v>
      </c>
      <c r="C128" t="s">
        <v>120</v>
      </c>
      <c r="D128">
        <v>136</v>
      </c>
      <c r="E128">
        <v>53.698999999999998</v>
      </c>
      <c r="F128">
        <v>6.2E-2</v>
      </c>
      <c r="G128">
        <v>46.326000000000001</v>
      </c>
      <c r="H128">
        <v>4.1000000000000002E-2</v>
      </c>
      <c r="I128">
        <v>100.43300000000001</v>
      </c>
      <c r="J128" t="s">
        <v>216</v>
      </c>
    </row>
    <row r="129" spans="1:10" x14ac:dyDescent="0.3">
      <c r="A129" t="s">
        <v>252</v>
      </c>
      <c r="B129" t="s">
        <v>253</v>
      </c>
      <c r="C129" t="s">
        <v>120</v>
      </c>
      <c r="D129">
        <v>137</v>
      </c>
      <c r="E129">
        <v>53.796999999999997</v>
      </c>
      <c r="F129">
        <v>1.9E-2</v>
      </c>
      <c r="G129">
        <v>46.654000000000003</v>
      </c>
      <c r="H129">
        <v>0.26700000000000002</v>
      </c>
      <c r="I129">
        <v>100.887</v>
      </c>
      <c r="J129" t="s">
        <v>217</v>
      </c>
    </row>
    <row r="130" spans="1:10" x14ac:dyDescent="0.3">
      <c r="A130" t="s">
        <v>252</v>
      </c>
      <c r="B130" t="s">
        <v>253</v>
      </c>
      <c r="C130" t="s">
        <v>120</v>
      </c>
      <c r="D130">
        <v>138</v>
      </c>
      <c r="E130">
        <v>53.642000000000003</v>
      </c>
      <c r="F130">
        <v>1.7999999999999999E-2</v>
      </c>
      <c r="G130">
        <v>46.451000000000001</v>
      </c>
      <c r="H130">
        <v>0.17199999999999999</v>
      </c>
      <c r="I130">
        <v>100.423</v>
      </c>
      <c r="J130" t="s">
        <v>218</v>
      </c>
    </row>
    <row r="131" spans="1:10" x14ac:dyDescent="0.3">
      <c r="A131" t="s">
        <v>252</v>
      </c>
      <c r="B131" t="s">
        <v>253</v>
      </c>
      <c r="C131" t="s">
        <v>120</v>
      </c>
      <c r="D131">
        <v>139</v>
      </c>
      <c r="E131">
        <v>53.447000000000003</v>
      </c>
      <c r="F131">
        <v>5.1999999999999998E-2</v>
      </c>
      <c r="G131">
        <v>46.360999999999997</v>
      </c>
      <c r="H131">
        <v>0.28399999999999997</v>
      </c>
      <c r="I131">
        <v>100.224</v>
      </c>
      <c r="J131" t="s">
        <v>219</v>
      </c>
    </row>
    <row r="132" spans="1:10" x14ac:dyDescent="0.3">
      <c r="A132" t="s">
        <v>252</v>
      </c>
      <c r="B132" t="s">
        <v>253</v>
      </c>
      <c r="C132" t="s">
        <v>120</v>
      </c>
      <c r="D132">
        <v>140</v>
      </c>
      <c r="E132">
        <v>53.177</v>
      </c>
      <c r="F132">
        <v>3.6999999999999998E-2</v>
      </c>
      <c r="G132">
        <v>46.084000000000003</v>
      </c>
      <c r="H132">
        <v>0.221</v>
      </c>
      <c r="I132">
        <v>99.641000000000005</v>
      </c>
      <c r="J132" t="s">
        <v>220</v>
      </c>
    </row>
    <row r="133" spans="1:10" x14ac:dyDescent="0.3">
      <c r="A133" t="s">
        <v>252</v>
      </c>
      <c r="B133" t="s">
        <v>253</v>
      </c>
      <c r="C133" t="s">
        <v>120</v>
      </c>
      <c r="D133">
        <v>141</v>
      </c>
      <c r="E133">
        <v>53.823</v>
      </c>
      <c r="F133">
        <v>3.3000000000000002E-2</v>
      </c>
      <c r="G133">
        <v>46.67</v>
      </c>
      <c r="H133">
        <v>7.0999999999999994E-2</v>
      </c>
      <c r="I133">
        <v>100.68899999999999</v>
      </c>
      <c r="J133" t="s">
        <v>221</v>
      </c>
    </row>
    <row r="134" spans="1:10" x14ac:dyDescent="0.3">
      <c r="A134" t="s">
        <v>252</v>
      </c>
      <c r="B134" t="s">
        <v>253</v>
      </c>
      <c r="C134" t="s">
        <v>120</v>
      </c>
      <c r="D134">
        <v>142</v>
      </c>
      <c r="E134">
        <v>53.725999999999999</v>
      </c>
      <c r="F134">
        <v>2.3E-2</v>
      </c>
      <c r="G134">
        <v>46.460999999999999</v>
      </c>
      <c r="H134">
        <v>0.191</v>
      </c>
      <c r="I134">
        <v>100.52</v>
      </c>
      <c r="J134" t="s">
        <v>222</v>
      </c>
    </row>
    <row r="135" spans="1:10" x14ac:dyDescent="0.3">
      <c r="A135" t="s">
        <v>252</v>
      </c>
      <c r="B135" t="s">
        <v>253</v>
      </c>
      <c r="C135" t="s">
        <v>120</v>
      </c>
      <c r="D135">
        <v>143</v>
      </c>
      <c r="E135">
        <v>53.606999999999999</v>
      </c>
      <c r="F135">
        <v>6.0000000000000001E-3</v>
      </c>
      <c r="G135">
        <v>46.601999999999997</v>
      </c>
      <c r="H135">
        <v>6.7000000000000004E-2</v>
      </c>
      <c r="I135">
        <v>100.58799999999999</v>
      </c>
      <c r="J135" t="s">
        <v>223</v>
      </c>
    </row>
    <row r="136" spans="1:10" x14ac:dyDescent="0.3">
      <c r="A136" t="s">
        <v>254</v>
      </c>
      <c r="B136" t="s">
        <v>255</v>
      </c>
      <c r="C136" t="s">
        <v>120</v>
      </c>
      <c r="D136">
        <v>154</v>
      </c>
      <c r="E136">
        <v>53.14</v>
      </c>
      <c r="F136">
        <v>1.274</v>
      </c>
      <c r="G136">
        <v>44.002000000000002</v>
      </c>
      <c r="H136">
        <v>0.08</v>
      </c>
      <c r="I136">
        <v>98.808000000000007</v>
      </c>
      <c r="J136" t="s">
        <v>224</v>
      </c>
    </row>
    <row r="137" spans="1:10" x14ac:dyDescent="0.3">
      <c r="A137" t="s">
        <v>254</v>
      </c>
      <c r="B137" t="s">
        <v>255</v>
      </c>
      <c r="C137" t="s">
        <v>120</v>
      </c>
      <c r="D137">
        <v>155</v>
      </c>
      <c r="E137">
        <v>53.274000000000001</v>
      </c>
      <c r="F137">
        <v>0.64800000000000002</v>
      </c>
      <c r="G137">
        <v>44.774999999999999</v>
      </c>
      <c r="H137">
        <v>0.29199999999999998</v>
      </c>
      <c r="I137">
        <v>99.265000000000001</v>
      </c>
      <c r="J137" t="s">
        <v>225</v>
      </c>
    </row>
    <row r="138" spans="1:10" x14ac:dyDescent="0.3">
      <c r="A138" t="s">
        <v>254</v>
      </c>
      <c r="B138" t="s">
        <v>255</v>
      </c>
      <c r="C138" t="s">
        <v>120</v>
      </c>
      <c r="D138">
        <v>156</v>
      </c>
      <c r="E138">
        <v>53.548000000000002</v>
      </c>
      <c r="F138">
        <v>0.16700000000000001</v>
      </c>
      <c r="G138">
        <v>46.165999999999997</v>
      </c>
      <c r="H138">
        <v>0.10100000000000001</v>
      </c>
      <c r="I138">
        <v>100.23399999999999</v>
      </c>
      <c r="J138" t="s">
        <v>226</v>
      </c>
    </row>
    <row r="139" spans="1:10" x14ac:dyDescent="0.3">
      <c r="A139" t="s">
        <v>254</v>
      </c>
      <c r="B139" t="s">
        <v>255</v>
      </c>
      <c r="C139" t="s">
        <v>120</v>
      </c>
      <c r="D139">
        <v>157</v>
      </c>
      <c r="E139">
        <v>52.47</v>
      </c>
      <c r="F139">
        <v>2.1179999999999999</v>
      </c>
      <c r="G139">
        <v>43.198</v>
      </c>
      <c r="H139">
        <v>8.2000000000000003E-2</v>
      </c>
      <c r="I139">
        <v>98.141999999999996</v>
      </c>
      <c r="J139" t="s">
        <v>227</v>
      </c>
    </row>
    <row r="140" spans="1:10" x14ac:dyDescent="0.3">
      <c r="A140" t="s">
        <v>254</v>
      </c>
      <c r="B140" t="s">
        <v>255</v>
      </c>
      <c r="C140" t="s">
        <v>120</v>
      </c>
      <c r="D140">
        <v>158</v>
      </c>
      <c r="E140">
        <v>53.481000000000002</v>
      </c>
      <c r="F140">
        <v>0.124</v>
      </c>
      <c r="G140">
        <v>46.076999999999998</v>
      </c>
      <c r="H140">
        <v>9.1999999999999998E-2</v>
      </c>
      <c r="I140">
        <v>100.044</v>
      </c>
      <c r="J140" t="s">
        <v>228</v>
      </c>
    </row>
    <row r="141" spans="1:10" x14ac:dyDescent="0.3">
      <c r="A141" t="s">
        <v>254</v>
      </c>
      <c r="B141" t="s">
        <v>255</v>
      </c>
      <c r="C141" t="s">
        <v>120</v>
      </c>
      <c r="D141">
        <v>159</v>
      </c>
      <c r="E141">
        <v>53.548999999999999</v>
      </c>
      <c r="F141">
        <v>0.34399999999999997</v>
      </c>
      <c r="G141">
        <v>44.475999999999999</v>
      </c>
      <c r="H141">
        <v>5.2999999999999999E-2</v>
      </c>
      <c r="I141">
        <v>98.747</v>
      </c>
      <c r="J141" t="s">
        <v>229</v>
      </c>
    </row>
    <row r="142" spans="1:10" x14ac:dyDescent="0.3">
      <c r="A142" t="s">
        <v>254</v>
      </c>
      <c r="B142" t="s">
        <v>255</v>
      </c>
      <c r="C142" t="s">
        <v>120</v>
      </c>
      <c r="D142">
        <v>160</v>
      </c>
      <c r="E142">
        <v>52.981999999999999</v>
      </c>
      <c r="F142">
        <v>0.96099999999999997</v>
      </c>
      <c r="G142">
        <v>44.066000000000003</v>
      </c>
      <c r="H142">
        <v>0.59</v>
      </c>
      <c r="I142">
        <v>98.929000000000002</v>
      </c>
      <c r="J142" t="s">
        <v>230</v>
      </c>
    </row>
    <row r="143" spans="1:10" x14ac:dyDescent="0.3">
      <c r="A143" t="s">
        <v>254</v>
      </c>
      <c r="B143" t="s">
        <v>255</v>
      </c>
      <c r="C143" t="s">
        <v>120</v>
      </c>
      <c r="D143">
        <v>161</v>
      </c>
      <c r="E143">
        <v>52.771999999999998</v>
      </c>
      <c r="F143">
        <v>1.048</v>
      </c>
      <c r="G143">
        <v>44.076999999999998</v>
      </c>
      <c r="H143">
        <v>6.0999999999999999E-2</v>
      </c>
      <c r="I143">
        <v>98.337999999999994</v>
      </c>
      <c r="J143" t="s">
        <v>231</v>
      </c>
    </row>
    <row r="144" spans="1:10" x14ac:dyDescent="0.3">
      <c r="A144" t="s">
        <v>254</v>
      </c>
      <c r="B144" t="s">
        <v>255</v>
      </c>
      <c r="C144" t="s">
        <v>120</v>
      </c>
      <c r="D144">
        <v>162</v>
      </c>
      <c r="E144">
        <v>52.31</v>
      </c>
      <c r="F144">
        <v>1.18</v>
      </c>
      <c r="G144">
        <v>44.195999999999998</v>
      </c>
      <c r="H144">
        <v>2.5999999999999999E-2</v>
      </c>
      <c r="I144">
        <v>97.963999999999999</v>
      </c>
      <c r="J144" t="s">
        <v>232</v>
      </c>
    </row>
    <row r="145" spans="1:10" x14ac:dyDescent="0.3">
      <c r="A145" t="s">
        <v>254</v>
      </c>
      <c r="B145" t="s">
        <v>255</v>
      </c>
      <c r="C145" t="s">
        <v>120</v>
      </c>
      <c r="D145">
        <v>163</v>
      </c>
      <c r="E145">
        <v>52.396999999999998</v>
      </c>
      <c r="F145">
        <v>1.004</v>
      </c>
      <c r="G145">
        <v>44.600999999999999</v>
      </c>
      <c r="H145">
        <v>0.42199999999999999</v>
      </c>
      <c r="I145">
        <v>98.849000000000004</v>
      </c>
      <c r="J145" t="s">
        <v>233</v>
      </c>
    </row>
    <row r="146" spans="1:10" x14ac:dyDescent="0.3">
      <c r="A146" t="s">
        <v>254</v>
      </c>
      <c r="B146" t="s">
        <v>255</v>
      </c>
      <c r="C146" t="s">
        <v>120</v>
      </c>
      <c r="D146">
        <v>164</v>
      </c>
      <c r="E146">
        <v>52.741</v>
      </c>
      <c r="F146">
        <v>0.50700000000000001</v>
      </c>
      <c r="G146">
        <v>45.098999999999997</v>
      </c>
      <c r="H146">
        <v>0.06</v>
      </c>
      <c r="I146">
        <v>98.652000000000001</v>
      </c>
      <c r="J146" t="s">
        <v>234</v>
      </c>
    </row>
    <row r="147" spans="1:10" x14ac:dyDescent="0.3">
      <c r="A147" t="s">
        <v>254</v>
      </c>
      <c r="B147" t="s">
        <v>255</v>
      </c>
      <c r="C147" t="s">
        <v>120</v>
      </c>
      <c r="D147">
        <v>165</v>
      </c>
      <c r="E147">
        <v>52.58</v>
      </c>
      <c r="F147">
        <v>0.69399999999999995</v>
      </c>
      <c r="G147">
        <v>44.179000000000002</v>
      </c>
      <c r="H147">
        <v>0.1</v>
      </c>
      <c r="I147">
        <v>97.792000000000002</v>
      </c>
      <c r="J147" t="s">
        <v>235</v>
      </c>
    </row>
    <row r="148" spans="1:10" x14ac:dyDescent="0.3">
      <c r="A148" t="s">
        <v>254</v>
      </c>
      <c r="B148" t="s">
        <v>255</v>
      </c>
      <c r="C148" t="s">
        <v>120</v>
      </c>
      <c r="D148">
        <v>166</v>
      </c>
      <c r="E148">
        <v>52.847999999999999</v>
      </c>
      <c r="F148">
        <v>0.63</v>
      </c>
      <c r="G148">
        <v>45.084000000000003</v>
      </c>
      <c r="H148">
        <v>0.30599999999999999</v>
      </c>
      <c r="I148">
        <v>99.224000000000004</v>
      </c>
      <c r="J148" t="s">
        <v>236</v>
      </c>
    </row>
    <row r="149" spans="1:10" x14ac:dyDescent="0.3">
      <c r="A149" t="s">
        <v>254</v>
      </c>
      <c r="B149" t="s">
        <v>255</v>
      </c>
      <c r="C149" t="s">
        <v>120</v>
      </c>
      <c r="D149">
        <v>167</v>
      </c>
      <c r="E149">
        <v>53.6</v>
      </c>
      <c r="F149">
        <v>0.21</v>
      </c>
      <c r="G149">
        <v>46.011000000000003</v>
      </c>
      <c r="H149">
        <v>0.20799999999999999</v>
      </c>
      <c r="I149">
        <v>100.14700000000001</v>
      </c>
      <c r="J149" t="s">
        <v>237</v>
      </c>
    </row>
    <row r="150" spans="1:10" x14ac:dyDescent="0.3">
      <c r="A150" t="s">
        <v>254</v>
      </c>
      <c r="B150" t="s">
        <v>255</v>
      </c>
      <c r="C150" t="s">
        <v>120</v>
      </c>
      <c r="D150">
        <v>168</v>
      </c>
      <c r="E150">
        <v>53.097000000000001</v>
      </c>
      <c r="F150">
        <v>1.335</v>
      </c>
      <c r="G150">
        <v>44.713999999999999</v>
      </c>
      <c r="H150">
        <v>0.11700000000000001</v>
      </c>
      <c r="I150">
        <v>99.644000000000005</v>
      </c>
      <c r="J150" t="s">
        <v>238</v>
      </c>
    </row>
    <row r="151" spans="1:10" x14ac:dyDescent="0.3">
      <c r="A151" t="s">
        <v>254</v>
      </c>
      <c r="B151" t="s">
        <v>255</v>
      </c>
      <c r="C151" t="s">
        <v>120</v>
      </c>
      <c r="D151">
        <v>169</v>
      </c>
      <c r="E151">
        <v>53.112000000000002</v>
      </c>
      <c r="F151">
        <v>0.90900000000000003</v>
      </c>
      <c r="G151">
        <v>44.701999999999998</v>
      </c>
      <c r="H151">
        <v>0.33700000000000002</v>
      </c>
      <c r="I151">
        <v>99.347999999999999</v>
      </c>
      <c r="J151" t="s">
        <v>239</v>
      </c>
    </row>
    <row r="152" spans="1:10" x14ac:dyDescent="0.3">
      <c r="A152" t="s">
        <v>254</v>
      </c>
      <c r="B152" t="s">
        <v>255</v>
      </c>
      <c r="C152" t="s">
        <v>120</v>
      </c>
      <c r="D152">
        <v>170</v>
      </c>
      <c r="E152">
        <v>52.991</v>
      </c>
      <c r="F152">
        <v>0.755</v>
      </c>
      <c r="G152">
        <v>44.954000000000001</v>
      </c>
      <c r="H152">
        <v>0.23699999999999999</v>
      </c>
      <c r="I152">
        <v>99.284999999999997</v>
      </c>
      <c r="J152" t="s">
        <v>240</v>
      </c>
    </row>
    <row r="153" spans="1:10" x14ac:dyDescent="0.3">
      <c r="A153" t="s">
        <v>254</v>
      </c>
      <c r="B153" t="s">
        <v>255</v>
      </c>
      <c r="C153" t="s">
        <v>120</v>
      </c>
      <c r="D153">
        <v>171</v>
      </c>
      <c r="E153">
        <v>54.301000000000002</v>
      </c>
      <c r="F153">
        <v>0.82199999999999995</v>
      </c>
      <c r="G153">
        <v>45.338000000000001</v>
      </c>
      <c r="H153">
        <v>0.14299999999999999</v>
      </c>
      <c r="I153">
        <v>100.878</v>
      </c>
      <c r="J153" t="s">
        <v>241</v>
      </c>
    </row>
    <row r="154" spans="1:10" x14ac:dyDescent="0.3">
      <c r="A154" t="s">
        <v>245</v>
      </c>
      <c r="B154" t="s">
        <v>119</v>
      </c>
      <c r="C154" t="s">
        <v>120</v>
      </c>
      <c r="D154">
        <v>8</v>
      </c>
      <c r="E154">
        <v>54.118000000000002</v>
      </c>
      <c r="F154">
        <v>1.6E-2</v>
      </c>
      <c r="G154">
        <v>46.936</v>
      </c>
      <c r="H154">
        <v>0</v>
      </c>
      <c r="I154">
        <v>101.23</v>
      </c>
      <c r="J154" s="1" t="s">
        <v>14</v>
      </c>
    </row>
    <row r="155" spans="1:10" x14ac:dyDescent="0.3">
      <c r="A155" t="s">
        <v>245</v>
      </c>
      <c r="B155" t="s">
        <v>119</v>
      </c>
      <c r="C155" t="s">
        <v>120</v>
      </c>
      <c r="D155">
        <v>9</v>
      </c>
      <c r="E155">
        <v>54.174999999999997</v>
      </c>
      <c r="F155">
        <v>0.33500000000000002</v>
      </c>
      <c r="G155">
        <v>46.828000000000003</v>
      </c>
      <c r="H155">
        <v>0</v>
      </c>
      <c r="I155">
        <v>101.521</v>
      </c>
      <c r="J155" s="1" t="s">
        <v>14</v>
      </c>
    </row>
    <row r="156" spans="1:10" x14ac:dyDescent="0.3">
      <c r="A156" t="s">
        <v>245</v>
      </c>
      <c r="B156" t="s">
        <v>119</v>
      </c>
      <c r="C156" t="s">
        <v>120</v>
      </c>
      <c r="D156">
        <v>10</v>
      </c>
      <c r="E156">
        <v>54.316000000000003</v>
      </c>
      <c r="F156">
        <v>1.9870000000000001</v>
      </c>
      <c r="G156">
        <v>45.420999999999999</v>
      </c>
      <c r="H156">
        <v>8.9999999999999993E-3</v>
      </c>
      <c r="I156">
        <v>101.84099999999999</v>
      </c>
      <c r="J156" s="1" t="s">
        <v>14</v>
      </c>
    </row>
    <row r="157" spans="1:10" x14ac:dyDescent="0.3">
      <c r="A157" t="s">
        <v>245</v>
      </c>
      <c r="B157" t="s">
        <v>119</v>
      </c>
      <c r="C157" t="s">
        <v>120</v>
      </c>
      <c r="D157">
        <v>11</v>
      </c>
      <c r="E157">
        <v>54.325000000000003</v>
      </c>
      <c r="F157">
        <v>0.48299999999999998</v>
      </c>
      <c r="G157">
        <v>46.427</v>
      </c>
      <c r="H157">
        <v>1.2999999999999999E-2</v>
      </c>
      <c r="I157">
        <v>101.304</v>
      </c>
      <c r="J157" s="1" t="s">
        <v>14</v>
      </c>
    </row>
    <row r="158" spans="1:10" x14ac:dyDescent="0.3">
      <c r="A158" t="s">
        <v>245</v>
      </c>
      <c r="B158" t="s">
        <v>119</v>
      </c>
      <c r="C158" t="s">
        <v>120</v>
      </c>
      <c r="D158">
        <v>12</v>
      </c>
      <c r="E158">
        <v>54.03</v>
      </c>
      <c r="F158">
        <v>0.83399999999999996</v>
      </c>
      <c r="G158">
        <v>45.872999999999998</v>
      </c>
      <c r="H158">
        <v>0</v>
      </c>
      <c r="I158">
        <v>100.94199999999999</v>
      </c>
      <c r="J158" s="1" t="s">
        <v>14</v>
      </c>
    </row>
    <row r="159" spans="1:10" x14ac:dyDescent="0.3">
      <c r="A159" t="s">
        <v>245</v>
      </c>
      <c r="B159" t="s">
        <v>119</v>
      </c>
      <c r="C159" t="s">
        <v>120</v>
      </c>
      <c r="D159">
        <v>13</v>
      </c>
      <c r="E159">
        <v>53.779000000000003</v>
      </c>
      <c r="F159">
        <v>0.78900000000000003</v>
      </c>
      <c r="G159">
        <v>46.505000000000003</v>
      </c>
      <c r="H159">
        <v>0</v>
      </c>
      <c r="I159">
        <v>101.164</v>
      </c>
      <c r="J159" s="1" t="s">
        <v>14</v>
      </c>
    </row>
    <row r="160" spans="1:10" x14ac:dyDescent="0.3">
      <c r="A160" t="s">
        <v>245</v>
      </c>
      <c r="B160" t="s">
        <v>119</v>
      </c>
      <c r="C160" t="s">
        <v>120</v>
      </c>
      <c r="D160">
        <v>14</v>
      </c>
      <c r="E160">
        <v>54.322000000000003</v>
      </c>
      <c r="F160">
        <v>0.56200000000000006</v>
      </c>
      <c r="G160">
        <v>46.773000000000003</v>
      </c>
      <c r="H160">
        <v>0</v>
      </c>
      <c r="I160">
        <v>101.861</v>
      </c>
      <c r="J160" s="1" t="s">
        <v>14</v>
      </c>
    </row>
    <row r="161" spans="1:10" x14ac:dyDescent="0.3">
      <c r="A161" t="s">
        <v>245</v>
      </c>
      <c r="B161" t="s">
        <v>119</v>
      </c>
      <c r="C161" t="s">
        <v>120</v>
      </c>
      <c r="D161">
        <v>15</v>
      </c>
      <c r="E161">
        <v>54.23</v>
      </c>
      <c r="F161">
        <v>0.13900000000000001</v>
      </c>
      <c r="G161">
        <v>47.337000000000003</v>
      </c>
      <c r="H161">
        <v>0</v>
      </c>
      <c r="I161">
        <v>101.908</v>
      </c>
      <c r="J161" s="1" t="s">
        <v>14</v>
      </c>
    </row>
    <row r="162" spans="1:10" x14ac:dyDescent="0.3">
      <c r="A162" t="s">
        <v>245</v>
      </c>
      <c r="B162" t="s">
        <v>119</v>
      </c>
      <c r="C162" t="s">
        <v>120</v>
      </c>
      <c r="D162">
        <v>16</v>
      </c>
      <c r="E162">
        <v>54.442999999999998</v>
      </c>
      <c r="F162">
        <v>1.52</v>
      </c>
      <c r="G162">
        <v>45.668999999999997</v>
      </c>
      <c r="H162">
        <v>2.9000000000000001E-2</v>
      </c>
      <c r="I162">
        <v>101.718</v>
      </c>
      <c r="J162" s="1" t="s">
        <v>14</v>
      </c>
    </row>
    <row r="163" spans="1:10" x14ac:dyDescent="0.3">
      <c r="A163" t="s">
        <v>245</v>
      </c>
      <c r="B163" t="s">
        <v>119</v>
      </c>
      <c r="C163" t="s">
        <v>120</v>
      </c>
      <c r="D163">
        <v>17</v>
      </c>
      <c r="E163">
        <v>54.03</v>
      </c>
      <c r="F163">
        <v>0.48599999999999999</v>
      </c>
      <c r="G163">
        <v>46.436</v>
      </c>
      <c r="H163">
        <v>0</v>
      </c>
      <c r="I163">
        <v>101.145</v>
      </c>
      <c r="J163" s="1" t="s">
        <v>14</v>
      </c>
    </row>
    <row r="164" spans="1:10" x14ac:dyDescent="0.3">
      <c r="A164" t="s">
        <v>245</v>
      </c>
      <c r="B164" t="s">
        <v>119</v>
      </c>
      <c r="C164" t="s">
        <v>120</v>
      </c>
      <c r="D164">
        <v>18</v>
      </c>
      <c r="E164">
        <v>53.243000000000002</v>
      </c>
      <c r="F164">
        <v>1.444</v>
      </c>
      <c r="G164">
        <v>45.218000000000004</v>
      </c>
      <c r="H164">
        <v>1E-3</v>
      </c>
      <c r="I164">
        <v>100.01600000000001</v>
      </c>
      <c r="J164" s="1" t="s">
        <v>14</v>
      </c>
    </row>
    <row r="165" spans="1:10" x14ac:dyDescent="0.3">
      <c r="A165" t="s">
        <v>245</v>
      </c>
      <c r="B165" t="s">
        <v>119</v>
      </c>
      <c r="C165" t="s">
        <v>120</v>
      </c>
      <c r="D165">
        <v>19</v>
      </c>
      <c r="E165">
        <v>53.537999999999997</v>
      </c>
      <c r="F165">
        <v>0.156</v>
      </c>
      <c r="G165">
        <v>46.554000000000002</v>
      </c>
      <c r="H165">
        <v>0</v>
      </c>
      <c r="I165">
        <v>100.354</v>
      </c>
      <c r="J165" s="1" t="s">
        <v>14</v>
      </c>
    </row>
    <row r="166" spans="1:10" x14ac:dyDescent="0.3">
      <c r="A166" t="s">
        <v>245</v>
      </c>
      <c r="B166" t="s">
        <v>119</v>
      </c>
      <c r="C166" t="s">
        <v>120</v>
      </c>
      <c r="D166">
        <v>20</v>
      </c>
      <c r="E166">
        <v>54.392000000000003</v>
      </c>
      <c r="F166">
        <v>0.47899999999999998</v>
      </c>
      <c r="G166">
        <v>46.488999999999997</v>
      </c>
      <c r="H166">
        <v>1.7999999999999999E-2</v>
      </c>
      <c r="I166">
        <v>101.446</v>
      </c>
      <c r="J166" s="1" t="s">
        <v>14</v>
      </c>
    </row>
    <row r="167" spans="1:10" x14ac:dyDescent="0.3">
      <c r="A167" t="s">
        <v>245</v>
      </c>
      <c r="B167" t="s">
        <v>119</v>
      </c>
      <c r="C167" t="s">
        <v>120</v>
      </c>
      <c r="D167">
        <v>21</v>
      </c>
      <c r="E167">
        <v>53.607999999999997</v>
      </c>
      <c r="F167">
        <v>0.77200000000000002</v>
      </c>
      <c r="G167">
        <v>46.640999999999998</v>
      </c>
      <c r="H167">
        <v>0</v>
      </c>
      <c r="I167">
        <v>101.128</v>
      </c>
      <c r="J167" s="1" t="s">
        <v>14</v>
      </c>
    </row>
    <row r="168" spans="1:10" x14ac:dyDescent="0.3">
      <c r="A168" t="s">
        <v>245</v>
      </c>
      <c r="B168" t="s">
        <v>119</v>
      </c>
      <c r="C168" t="s">
        <v>120</v>
      </c>
      <c r="D168">
        <v>22</v>
      </c>
      <c r="E168">
        <v>53.823999999999998</v>
      </c>
      <c r="F168">
        <v>0.38</v>
      </c>
      <c r="G168">
        <v>46.287999999999997</v>
      </c>
      <c r="H168">
        <v>2.5999999999999999E-2</v>
      </c>
      <c r="I168">
        <v>100.748</v>
      </c>
      <c r="J168" s="1" t="s">
        <v>14</v>
      </c>
    </row>
    <row r="169" spans="1:10" x14ac:dyDescent="0.3">
      <c r="A169" t="s">
        <v>245</v>
      </c>
      <c r="B169" t="s">
        <v>119</v>
      </c>
      <c r="C169" t="s">
        <v>120</v>
      </c>
      <c r="D169">
        <v>23</v>
      </c>
      <c r="E169">
        <v>53.692999999999998</v>
      </c>
      <c r="F169">
        <v>0.93600000000000005</v>
      </c>
      <c r="G169">
        <v>46.14</v>
      </c>
      <c r="H169">
        <v>0</v>
      </c>
      <c r="I169">
        <v>100.886</v>
      </c>
      <c r="J169" s="1" t="s">
        <v>14</v>
      </c>
    </row>
    <row r="170" spans="1:10" x14ac:dyDescent="0.3">
      <c r="A170" t="s">
        <v>123</v>
      </c>
      <c r="B170" t="s">
        <v>124</v>
      </c>
      <c r="C170" t="s">
        <v>120</v>
      </c>
      <c r="D170">
        <v>42</v>
      </c>
      <c r="E170">
        <v>54.389000000000003</v>
      </c>
      <c r="F170">
        <v>1.2E-2</v>
      </c>
      <c r="G170">
        <v>46.999000000000002</v>
      </c>
      <c r="H170">
        <v>0</v>
      </c>
      <c r="I170">
        <v>101.48</v>
      </c>
      <c r="J170" s="1" t="s">
        <v>33</v>
      </c>
    </row>
    <row r="171" spans="1:10" x14ac:dyDescent="0.3">
      <c r="A171" t="s">
        <v>123</v>
      </c>
      <c r="B171" t="s">
        <v>124</v>
      </c>
      <c r="C171" t="s">
        <v>120</v>
      </c>
      <c r="D171">
        <v>43</v>
      </c>
      <c r="E171">
        <v>53.371000000000002</v>
      </c>
      <c r="F171">
        <v>4.0000000000000001E-3</v>
      </c>
      <c r="G171">
        <v>46.72</v>
      </c>
      <c r="H171">
        <v>0</v>
      </c>
      <c r="I171">
        <v>100.143</v>
      </c>
      <c r="J171" s="1" t="s">
        <v>34</v>
      </c>
    </row>
    <row r="172" spans="1:10" x14ac:dyDescent="0.3">
      <c r="A172" t="s">
        <v>123</v>
      </c>
      <c r="B172" t="s">
        <v>124</v>
      </c>
      <c r="C172" t="s">
        <v>120</v>
      </c>
      <c r="D172">
        <v>44</v>
      </c>
      <c r="E172">
        <v>53.896000000000001</v>
      </c>
      <c r="F172">
        <v>0</v>
      </c>
      <c r="G172">
        <v>46.784999999999997</v>
      </c>
      <c r="H172">
        <v>7.0000000000000001E-3</v>
      </c>
      <c r="I172">
        <v>100.83499999999999</v>
      </c>
      <c r="J172" s="1" t="s">
        <v>35</v>
      </c>
    </row>
    <row r="173" spans="1:10" x14ac:dyDescent="0.3">
      <c r="A173" t="s">
        <v>123</v>
      </c>
      <c r="B173" t="s">
        <v>124</v>
      </c>
      <c r="C173" t="s">
        <v>120</v>
      </c>
      <c r="D173">
        <v>45</v>
      </c>
      <c r="E173">
        <v>52.91</v>
      </c>
      <c r="F173">
        <v>0.01</v>
      </c>
      <c r="G173">
        <v>46.097000000000001</v>
      </c>
      <c r="H173">
        <v>2.3E-2</v>
      </c>
      <c r="I173">
        <v>99.183999999999997</v>
      </c>
      <c r="J173" s="1" t="s">
        <v>36</v>
      </c>
    </row>
    <row r="174" spans="1:10" x14ac:dyDescent="0.3">
      <c r="A174" t="s">
        <v>123</v>
      </c>
      <c r="B174" t="s">
        <v>124</v>
      </c>
      <c r="C174" t="s">
        <v>120</v>
      </c>
      <c r="D174">
        <v>46</v>
      </c>
      <c r="E174">
        <v>53.475000000000001</v>
      </c>
      <c r="F174">
        <v>0</v>
      </c>
      <c r="G174">
        <v>46.774999999999999</v>
      </c>
      <c r="H174">
        <v>0</v>
      </c>
      <c r="I174">
        <v>100.405</v>
      </c>
      <c r="J174" s="1" t="s">
        <v>37</v>
      </c>
    </row>
    <row r="175" spans="1:10" x14ac:dyDescent="0.3">
      <c r="A175" t="s">
        <v>123</v>
      </c>
      <c r="B175" t="s">
        <v>124</v>
      </c>
      <c r="C175" t="s">
        <v>120</v>
      </c>
      <c r="D175">
        <v>47</v>
      </c>
      <c r="E175">
        <v>53.646000000000001</v>
      </c>
      <c r="F175">
        <v>2E-3</v>
      </c>
      <c r="G175">
        <v>47.110999999999997</v>
      </c>
      <c r="H175">
        <v>2.1999999999999999E-2</v>
      </c>
      <c r="I175">
        <v>100.94199999999999</v>
      </c>
      <c r="J175" s="1" t="s">
        <v>38</v>
      </c>
    </row>
    <row r="176" spans="1:10" x14ac:dyDescent="0.3">
      <c r="A176" t="s">
        <v>123</v>
      </c>
      <c r="B176" t="s">
        <v>124</v>
      </c>
      <c r="C176" t="s">
        <v>120</v>
      </c>
      <c r="D176">
        <v>48</v>
      </c>
      <c r="E176">
        <v>53.793999999999997</v>
      </c>
      <c r="F176">
        <v>0.03</v>
      </c>
      <c r="G176">
        <v>46.634999999999998</v>
      </c>
      <c r="H176">
        <v>3.1E-2</v>
      </c>
      <c r="I176">
        <v>100.607</v>
      </c>
      <c r="J176" s="1" t="s">
        <v>39</v>
      </c>
    </row>
    <row r="177" spans="1:10" x14ac:dyDescent="0.3">
      <c r="A177" t="s">
        <v>123</v>
      </c>
      <c r="B177" t="s">
        <v>124</v>
      </c>
      <c r="C177" t="s">
        <v>120</v>
      </c>
      <c r="D177">
        <v>49</v>
      </c>
      <c r="E177">
        <v>54.136000000000003</v>
      </c>
      <c r="F177">
        <v>0</v>
      </c>
      <c r="G177">
        <v>46.939</v>
      </c>
      <c r="H177">
        <v>1.0999999999999999E-2</v>
      </c>
      <c r="I177">
        <v>101.19799999999999</v>
      </c>
      <c r="J177" s="1" t="s">
        <v>40</v>
      </c>
    </row>
    <row r="178" spans="1:10" x14ac:dyDescent="0.3">
      <c r="A178" t="s">
        <v>123</v>
      </c>
      <c r="B178" t="s">
        <v>124</v>
      </c>
      <c r="C178" t="s">
        <v>120</v>
      </c>
      <c r="D178">
        <v>50</v>
      </c>
      <c r="E178">
        <v>53.435000000000002</v>
      </c>
      <c r="F178">
        <v>5.0000000000000001E-3</v>
      </c>
      <c r="G178">
        <v>47.055999999999997</v>
      </c>
      <c r="H178">
        <v>0</v>
      </c>
      <c r="I178">
        <v>100.58199999999999</v>
      </c>
      <c r="J178" s="1" t="s">
        <v>41</v>
      </c>
    </row>
    <row r="179" spans="1:10" x14ac:dyDescent="0.3">
      <c r="A179" t="s">
        <v>123</v>
      </c>
      <c r="B179" t="s">
        <v>124</v>
      </c>
      <c r="C179" t="s">
        <v>120</v>
      </c>
      <c r="D179">
        <v>51</v>
      </c>
      <c r="E179">
        <v>53.868000000000002</v>
      </c>
      <c r="F179">
        <v>0</v>
      </c>
      <c r="G179">
        <v>46.360999999999997</v>
      </c>
      <c r="H179">
        <v>4.0000000000000001E-3</v>
      </c>
      <c r="I179">
        <v>100.351</v>
      </c>
      <c r="J179" s="1" t="s">
        <v>42</v>
      </c>
    </row>
    <row r="180" spans="1:10" x14ac:dyDescent="0.3">
      <c r="A180" t="s">
        <v>123</v>
      </c>
      <c r="B180" t="s">
        <v>124</v>
      </c>
      <c r="C180" t="s">
        <v>120</v>
      </c>
      <c r="D180">
        <v>52</v>
      </c>
      <c r="E180">
        <v>53.7</v>
      </c>
      <c r="F180">
        <v>0</v>
      </c>
      <c r="G180">
        <v>46.866999999999997</v>
      </c>
      <c r="H180">
        <v>1.6E-2</v>
      </c>
      <c r="I180">
        <v>100.68</v>
      </c>
      <c r="J180" s="1" t="s">
        <v>43</v>
      </c>
    </row>
    <row r="181" spans="1:10" x14ac:dyDescent="0.3">
      <c r="A181" t="s">
        <v>123</v>
      </c>
      <c r="B181" t="s">
        <v>124</v>
      </c>
      <c r="C181" t="s">
        <v>120</v>
      </c>
      <c r="D181">
        <v>53</v>
      </c>
      <c r="E181">
        <v>53.668999999999997</v>
      </c>
      <c r="F181">
        <v>2.1999999999999999E-2</v>
      </c>
      <c r="G181">
        <v>46.28</v>
      </c>
      <c r="H181">
        <v>0</v>
      </c>
      <c r="I181">
        <v>100.105</v>
      </c>
      <c r="J181" s="1" t="s">
        <v>44</v>
      </c>
    </row>
    <row r="182" spans="1:10" x14ac:dyDescent="0.3">
      <c r="A182" t="s">
        <v>123</v>
      </c>
      <c r="B182" t="s">
        <v>124</v>
      </c>
      <c r="C182" t="s">
        <v>120</v>
      </c>
      <c r="D182">
        <v>54</v>
      </c>
      <c r="E182">
        <v>53.875</v>
      </c>
      <c r="F182">
        <v>8.9999999999999993E-3</v>
      </c>
      <c r="G182">
        <v>46.860999999999997</v>
      </c>
      <c r="H182">
        <v>8.9999999999999993E-3</v>
      </c>
      <c r="I182">
        <v>100.846</v>
      </c>
      <c r="J182" s="1" t="s">
        <v>45</v>
      </c>
    </row>
    <row r="183" spans="1:10" x14ac:dyDescent="0.3">
      <c r="A183" t="s">
        <v>123</v>
      </c>
      <c r="B183" t="s">
        <v>124</v>
      </c>
      <c r="C183" t="s">
        <v>120</v>
      </c>
      <c r="D183">
        <v>55</v>
      </c>
      <c r="E183">
        <v>53.966000000000001</v>
      </c>
      <c r="F183">
        <v>1.7000000000000001E-2</v>
      </c>
      <c r="G183">
        <v>46.744999999999997</v>
      </c>
      <c r="H183">
        <v>0</v>
      </c>
      <c r="I183">
        <v>100.804</v>
      </c>
      <c r="J183" s="1" t="s">
        <v>46</v>
      </c>
    </row>
    <row r="184" spans="1:10" x14ac:dyDescent="0.3">
      <c r="A184" t="s">
        <v>123</v>
      </c>
      <c r="B184" t="s">
        <v>124</v>
      </c>
      <c r="C184" t="s">
        <v>120</v>
      </c>
      <c r="D184">
        <v>56</v>
      </c>
      <c r="E184">
        <v>54.250999999999998</v>
      </c>
      <c r="F184">
        <v>1.0999999999999999E-2</v>
      </c>
      <c r="G184">
        <v>46.978999999999999</v>
      </c>
      <c r="H184">
        <v>1.2E-2</v>
      </c>
      <c r="I184">
        <v>101.312</v>
      </c>
      <c r="J184" s="1" t="s">
        <v>47</v>
      </c>
    </row>
    <row r="185" spans="1:10" x14ac:dyDescent="0.3">
      <c r="A185" t="s">
        <v>127</v>
      </c>
      <c r="B185" t="s">
        <v>128</v>
      </c>
      <c r="C185" t="s">
        <v>120</v>
      </c>
      <c r="D185">
        <v>80</v>
      </c>
      <c r="E185">
        <v>53.938000000000002</v>
      </c>
      <c r="F185">
        <v>5.0000000000000001E-3</v>
      </c>
      <c r="G185">
        <v>46.625</v>
      </c>
      <c r="H185">
        <v>1E-3</v>
      </c>
      <c r="I185">
        <v>100.717</v>
      </c>
      <c r="J185" s="1" t="s">
        <v>70</v>
      </c>
    </row>
    <row r="186" spans="1:10" x14ac:dyDescent="0.3">
      <c r="A186" t="s">
        <v>127</v>
      </c>
      <c r="B186" t="s">
        <v>128</v>
      </c>
      <c r="C186" t="s">
        <v>120</v>
      </c>
      <c r="D186">
        <v>81</v>
      </c>
      <c r="E186">
        <v>53.276000000000003</v>
      </c>
      <c r="F186">
        <v>0</v>
      </c>
      <c r="G186">
        <v>46.612000000000002</v>
      </c>
      <c r="H186">
        <v>4.0000000000000001E-3</v>
      </c>
      <c r="I186">
        <v>100</v>
      </c>
      <c r="J186" s="1" t="s">
        <v>71</v>
      </c>
    </row>
    <row r="187" spans="1:10" x14ac:dyDescent="0.3">
      <c r="A187" t="s">
        <v>127</v>
      </c>
      <c r="B187" t="s">
        <v>128</v>
      </c>
      <c r="C187" t="s">
        <v>120</v>
      </c>
      <c r="D187">
        <v>82</v>
      </c>
      <c r="E187">
        <v>53.216999999999999</v>
      </c>
      <c r="F187">
        <v>5.0000000000000001E-3</v>
      </c>
      <c r="G187">
        <v>47.225999999999999</v>
      </c>
      <c r="H187">
        <v>0</v>
      </c>
      <c r="I187">
        <v>100.616</v>
      </c>
      <c r="J187" s="1" t="s">
        <v>72</v>
      </c>
    </row>
    <row r="188" spans="1:10" x14ac:dyDescent="0.3">
      <c r="A188" t="s">
        <v>127</v>
      </c>
      <c r="B188" t="s">
        <v>128</v>
      </c>
      <c r="C188" t="s">
        <v>120</v>
      </c>
      <c r="D188">
        <v>83</v>
      </c>
      <c r="E188">
        <v>53.701999999999998</v>
      </c>
      <c r="F188">
        <v>1.5649999999999999</v>
      </c>
      <c r="G188">
        <v>45.618000000000002</v>
      </c>
      <c r="H188">
        <v>0</v>
      </c>
      <c r="I188">
        <v>100.991</v>
      </c>
      <c r="J188" s="1" t="s">
        <v>73</v>
      </c>
    </row>
    <row r="189" spans="1:10" x14ac:dyDescent="0.3">
      <c r="A189" t="s">
        <v>127</v>
      </c>
      <c r="B189" t="s">
        <v>128</v>
      </c>
      <c r="C189" t="s">
        <v>120</v>
      </c>
      <c r="D189">
        <v>84</v>
      </c>
      <c r="E189">
        <v>53.207999999999998</v>
      </c>
      <c r="F189">
        <v>0.433</v>
      </c>
      <c r="G189">
        <v>46.344999999999999</v>
      </c>
      <c r="H189">
        <v>8.0000000000000002E-3</v>
      </c>
      <c r="I189">
        <v>100.22499999999999</v>
      </c>
      <c r="J189" s="1" t="s">
        <v>74</v>
      </c>
    </row>
    <row r="190" spans="1:10" x14ac:dyDescent="0.3">
      <c r="A190" t="s">
        <v>127</v>
      </c>
      <c r="B190" t="s">
        <v>128</v>
      </c>
      <c r="C190" t="s">
        <v>120</v>
      </c>
      <c r="D190">
        <v>85</v>
      </c>
      <c r="E190">
        <v>53.857999999999997</v>
      </c>
      <c r="F190">
        <v>8.9999999999999993E-3</v>
      </c>
      <c r="G190">
        <v>46.936999999999998</v>
      </c>
      <c r="H190">
        <v>7.0000000000000001E-3</v>
      </c>
      <c r="I190">
        <v>100.88200000000001</v>
      </c>
      <c r="J190" s="1" t="s">
        <v>75</v>
      </c>
    </row>
    <row r="191" spans="1:10" x14ac:dyDescent="0.3">
      <c r="A191" t="s">
        <v>127</v>
      </c>
      <c r="B191" t="s">
        <v>128</v>
      </c>
      <c r="C191" t="s">
        <v>120</v>
      </c>
      <c r="D191">
        <v>86</v>
      </c>
      <c r="E191">
        <v>53.649000000000001</v>
      </c>
      <c r="F191">
        <v>5.0000000000000001E-3</v>
      </c>
      <c r="G191">
        <v>46.518999999999998</v>
      </c>
      <c r="H191">
        <v>0</v>
      </c>
      <c r="I191">
        <v>100.273</v>
      </c>
      <c r="J191" s="1" t="s">
        <v>76</v>
      </c>
    </row>
    <row r="192" spans="1:10" x14ac:dyDescent="0.3">
      <c r="A192" t="s">
        <v>127</v>
      </c>
      <c r="B192" t="s">
        <v>128</v>
      </c>
      <c r="C192" t="s">
        <v>120</v>
      </c>
      <c r="D192">
        <v>87</v>
      </c>
      <c r="E192">
        <v>53.662999999999997</v>
      </c>
      <c r="F192">
        <v>8.9999999999999993E-3</v>
      </c>
      <c r="G192">
        <v>47.210999999999999</v>
      </c>
      <c r="H192">
        <v>1E-3</v>
      </c>
      <c r="I192">
        <v>101.081</v>
      </c>
      <c r="J192" s="1" t="s">
        <v>77</v>
      </c>
    </row>
    <row r="193" spans="1:10" x14ac:dyDescent="0.3">
      <c r="A193" t="s">
        <v>127</v>
      </c>
      <c r="B193" t="s">
        <v>128</v>
      </c>
      <c r="C193" t="s">
        <v>120</v>
      </c>
      <c r="D193">
        <v>88</v>
      </c>
      <c r="E193">
        <v>53.69</v>
      </c>
      <c r="F193">
        <v>4.0000000000000001E-3</v>
      </c>
      <c r="G193">
        <v>46.691000000000003</v>
      </c>
      <c r="H193">
        <v>4.2999999999999997E-2</v>
      </c>
      <c r="I193">
        <v>100.55200000000001</v>
      </c>
      <c r="J193" s="1" t="s">
        <v>78</v>
      </c>
    </row>
    <row r="194" spans="1:10" x14ac:dyDescent="0.3">
      <c r="A194" t="s">
        <v>127</v>
      </c>
      <c r="B194" t="s">
        <v>128</v>
      </c>
      <c r="C194" t="s">
        <v>120</v>
      </c>
      <c r="D194">
        <v>89</v>
      </c>
      <c r="E194">
        <v>54.195999999999998</v>
      </c>
      <c r="F194">
        <v>0</v>
      </c>
      <c r="G194">
        <v>47.225000000000001</v>
      </c>
      <c r="H194">
        <v>8.0000000000000002E-3</v>
      </c>
      <c r="I194">
        <v>101.498</v>
      </c>
      <c r="J194" s="1" t="s">
        <v>79</v>
      </c>
    </row>
    <row r="195" spans="1:10" x14ac:dyDescent="0.3">
      <c r="A195" t="s">
        <v>127</v>
      </c>
      <c r="B195" t="s">
        <v>128</v>
      </c>
      <c r="C195" t="s">
        <v>120</v>
      </c>
      <c r="D195">
        <v>90</v>
      </c>
      <c r="E195">
        <v>53.530999999999999</v>
      </c>
      <c r="F195">
        <v>2.4E-2</v>
      </c>
      <c r="G195">
        <v>46.844000000000001</v>
      </c>
      <c r="H195">
        <v>0</v>
      </c>
      <c r="I195">
        <v>100.47499999999999</v>
      </c>
      <c r="J195" s="1" t="s">
        <v>80</v>
      </c>
    </row>
    <row r="196" spans="1:10" x14ac:dyDescent="0.3">
      <c r="A196" t="s">
        <v>127</v>
      </c>
      <c r="B196" t="s">
        <v>128</v>
      </c>
      <c r="C196" t="s">
        <v>120</v>
      </c>
      <c r="D196">
        <v>91</v>
      </c>
      <c r="E196">
        <v>53.901000000000003</v>
      </c>
      <c r="F196">
        <v>0.46700000000000003</v>
      </c>
      <c r="G196">
        <v>46.512999999999998</v>
      </c>
      <c r="H196">
        <v>0</v>
      </c>
      <c r="I196">
        <v>101.033</v>
      </c>
      <c r="J196" s="1" t="s">
        <v>81</v>
      </c>
    </row>
    <row r="197" spans="1:10" x14ac:dyDescent="0.3">
      <c r="A197" t="s">
        <v>127</v>
      </c>
      <c r="B197" t="s">
        <v>128</v>
      </c>
      <c r="C197" t="s">
        <v>120</v>
      </c>
      <c r="D197">
        <v>92</v>
      </c>
      <c r="E197">
        <v>54.771999999999998</v>
      </c>
      <c r="F197">
        <v>1.4999999999999999E-2</v>
      </c>
      <c r="G197">
        <v>46.878999999999998</v>
      </c>
      <c r="H197">
        <v>0</v>
      </c>
      <c r="I197">
        <v>101.876</v>
      </c>
      <c r="J197" s="1" t="s">
        <v>82</v>
      </c>
    </row>
    <row r="198" spans="1:10" x14ac:dyDescent="0.3">
      <c r="A198" t="s">
        <v>127</v>
      </c>
      <c r="B198" t="s">
        <v>128</v>
      </c>
      <c r="C198" t="s">
        <v>120</v>
      </c>
      <c r="D198">
        <v>93</v>
      </c>
      <c r="E198">
        <v>54.088999999999999</v>
      </c>
      <c r="F198">
        <v>4.8000000000000001E-2</v>
      </c>
      <c r="G198">
        <v>46.963000000000001</v>
      </c>
      <c r="H198">
        <v>1.0999999999999999E-2</v>
      </c>
      <c r="I198">
        <v>101.232</v>
      </c>
      <c r="J198" s="1" t="s">
        <v>83</v>
      </c>
    </row>
    <row r="199" spans="1:10" x14ac:dyDescent="0.3">
      <c r="A199" t="s">
        <v>127</v>
      </c>
      <c r="B199" t="s">
        <v>128</v>
      </c>
      <c r="C199" t="s">
        <v>120</v>
      </c>
      <c r="D199">
        <v>94</v>
      </c>
      <c r="E199">
        <v>55.017000000000003</v>
      </c>
      <c r="F199">
        <v>2.3E-2</v>
      </c>
      <c r="G199">
        <v>46.588999999999999</v>
      </c>
      <c r="H199">
        <v>1.2E-2</v>
      </c>
      <c r="I199">
        <v>101.691</v>
      </c>
      <c r="J199" s="1" t="s">
        <v>84</v>
      </c>
    </row>
    <row r="200" spans="1:10" x14ac:dyDescent="0.3">
      <c r="A200" t="s">
        <v>127</v>
      </c>
      <c r="B200" t="s">
        <v>128</v>
      </c>
      <c r="C200" t="s">
        <v>120</v>
      </c>
      <c r="D200">
        <v>95</v>
      </c>
      <c r="E200">
        <v>54.145000000000003</v>
      </c>
      <c r="F200">
        <v>0.19900000000000001</v>
      </c>
      <c r="G200">
        <v>46.859000000000002</v>
      </c>
      <c r="H200">
        <v>1.4E-2</v>
      </c>
      <c r="I200">
        <v>101.41800000000001</v>
      </c>
      <c r="J200" s="1" t="s">
        <v>85</v>
      </c>
    </row>
    <row r="201" spans="1:10" x14ac:dyDescent="0.3">
      <c r="A201" t="s">
        <v>127</v>
      </c>
      <c r="B201" t="s">
        <v>128</v>
      </c>
      <c r="C201" t="s">
        <v>120</v>
      </c>
      <c r="D201">
        <v>96</v>
      </c>
      <c r="E201">
        <v>53.496000000000002</v>
      </c>
      <c r="F201">
        <v>1.4999999999999999E-2</v>
      </c>
      <c r="G201">
        <v>46.597999999999999</v>
      </c>
      <c r="H201">
        <v>0</v>
      </c>
      <c r="I201">
        <v>100.221</v>
      </c>
      <c r="J201" s="1" t="s">
        <v>86</v>
      </c>
    </row>
    <row r="202" spans="1:10" x14ac:dyDescent="0.3">
      <c r="A202" t="s">
        <v>127</v>
      </c>
      <c r="B202" t="s">
        <v>128</v>
      </c>
      <c r="C202" t="s">
        <v>120</v>
      </c>
      <c r="D202">
        <v>97</v>
      </c>
      <c r="E202">
        <v>54.155000000000001</v>
      </c>
      <c r="F202">
        <v>0.80100000000000005</v>
      </c>
      <c r="G202">
        <v>46.055999999999997</v>
      </c>
      <c r="H202">
        <v>1.2E-2</v>
      </c>
      <c r="I202">
        <v>101.16200000000001</v>
      </c>
      <c r="J202" s="1" t="s">
        <v>87</v>
      </c>
    </row>
    <row r="203" spans="1:10" x14ac:dyDescent="0.3">
      <c r="A203" t="s">
        <v>127</v>
      </c>
      <c r="B203" t="s">
        <v>128</v>
      </c>
      <c r="C203" t="s">
        <v>120</v>
      </c>
      <c r="D203">
        <v>98</v>
      </c>
      <c r="E203">
        <v>53.534999999999997</v>
      </c>
      <c r="F203">
        <v>0.78700000000000003</v>
      </c>
      <c r="G203">
        <v>45.814</v>
      </c>
      <c r="H203">
        <v>4.0000000000000001E-3</v>
      </c>
      <c r="I203">
        <v>100.23699999999999</v>
      </c>
      <c r="J203" s="1" t="s">
        <v>88</v>
      </c>
    </row>
    <row r="204" spans="1:10" x14ac:dyDescent="0.3">
      <c r="A204" t="s">
        <v>127</v>
      </c>
      <c r="B204" t="s">
        <v>128</v>
      </c>
      <c r="C204" t="s">
        <v>120</v>
      </c>
      <c r="D204">
        <v>100</v>
      </c>
      <c r="E204">
        <v>54.146000000000001</v>
      </c>
      <c r="F204">
        <v>0.48199999999999998</v>
      </c>
      <c r="G204">
        <v>46.738999999999997</v>
      </c>
      <c r="H204">
        <v>8.0000000000000002E-3</v>
      </c>
      <c r="I204">
        <v>101.441</v>
      </c>
      <c r="J204" s="1" t="s">
        <v>89</v>
      </c>
    </row>
    <row r="205" spans="1:10" x14ac:dyDescent="0.3">
      <c r="A205" t="s">
        <v>127</v>
      </c>
      <c r="B205" t="s">
        <v>128</v>
      </c>
      <c r="C205" t="s">
        <v>120</v>
      </c>
      <c r="D205">
        <v>101</v>
      </c>
      <c r="E205">
        <v>54.371000000000002</v>
      </c>
      <c r="F205">
        <v>0.34499999999999997</v>
      </c>
      <c r="G205">
        <v>46.494</v>
      </c>
      <c r="H205">
        <v>0</v>
      </c>
      <c r="I205">
        <v>101.411</v>
      </c>
      <c r="J205" s="1" t="s">
        <v>90</v>
      </c>
    </row>
    <row r="206" spans="1:10" x14ac:dyDescent="0.3">
      <c r="A206" t="s">
        <v>127</v>
      </c>
      <c r="B206" t="s">
        <v>128</v>
      </c>
      <c r="C206" t="s">
        <v>120</v>
      </c>
      <c r="D206">
        <v>102</v>
      </c>
      <c r="E206">
        <v>54.48</v>
      </c>
      <c r="F206">
        <v>1.4999999999999999E-2</v>
      </c>
      <c r="G206">
        <v>46.933999999999997</v>
      </c>
      <c r="H206">
        <v>0</v>
      </c>
      <c r="I206">
        <v>101.625</v>
      </c>
      <c r="J206" s="1" t="s">
        <v>91</v>
      </c>
    </row>
    <row r="207" spans="1:10" x14ac:dyDescent="0.3">
      <c r="A207" t="s">
        <v>127</v>
      </c>
      <c r="B207" t="s">
        <v>128</v>
      </c>
      <c r="C207" t="s">
        <v>120</v>
      </c>
      <c r="D207">
        <v>103</v>
      </c>
      <c r="E207">
        <v>54.290999999999997</v>
      </c>
      <c r="F207">
        <v>1.6E-2</v>
      </c>
      <c r="G207">
        <v>47.082999999999998</v>
      </c>
      <c r="H207">
        <v>0</v>
      </c>
      <c r="I207">
        <v>101.53400000000001</v>
      </c>
      <c r="J207" s="1" t="s">
        <v>92</v>
      </c>
    </row>
    <row r="208" spans="1:10" x14ac:dyDescent="0.3">
      <c r="A208" t="s">
        <v>129</v>
      </c>
      <c r="B208" t="s">
        <v>130</v>
      </c>
      <c r="C208" t="s">
        <v>120</v>
      </c>
      <c r="D208">
        <v>104</v>
      </c>
      <c r="E208">
        <v>54.854999999999997</v>
      </c>
      <c r="F208">
        <v>0.127</v>
      </c>
      <c r="G208">
        <v>46.295000000000002</v>
      </c>
      <c r="H208">
        <v>8.9999999999999993E-3</v>
      </c>
      <c r="I208">
        <v>101.822</v>
      </c>
      <c r="J208" s="1" t="s">
        <v>93</v>
      </c>
    </row>
    <row r="209" spans="1:10" x14ac:dyDescent="0.3">
      <c r="A209" t="s">
        <v>129</v>
      </c>
      <c r="B209" t="s">
        <v>130</v>
      </c>
      <c r="C209" t="s">
        <v>120</v>
      </c>
      <c r="D209">
        <v>105</v>
      </c>
      <c r="E209">
        <v>53.74</v>
      </c>
      <c r="F209">
        <v>0.17899999999999999</v>
      </c>
      <c r="G209">
        <v>46.856999999999999</v>
      </c>
      <c r="H209">
        <v>0</v>
      </c>
      <c r="I209">
        <v>101.254</v>
      </c>
      <c r="J209" s="1" t="s">
        <v>94</v>
      </c>
    </row>
    <row r="210" spans="1:10" x14ac:dyDescent="0.3">
      <c r="A210" t="s">
        <v>129</v>
      </c>
      <c r="B210" t="s">
        <v>130</v>
      </c>
      <c r="C210" t="s">
        <v>120</v>
      </c>
      <c r="D210">
        <v>106</v>
      </c>
      <c r="E210">
        <v>53.92</v>
      </c>
      <c r="F210">
        <v>1.6E-2</v>
      </c>
      <c r="G210">
        <v>47.188000000000002</v>
      </c>
      <c r="H210">
        <v>2E-3</v>
      </c>
      <c r="I210">
        <v>101.592</v>
      </c>
      <c r="J210" s="1" t="s">
        <v>95</v>
      </c>
    </row>
    <row r="211" spans="1:10" x14ac:dyDescent="0.3">
      <c r="A211" t="s">
        <v>129</v>
      </c>
      <c r="B211" t="s">
        <v>130</v>
      </c>
      <c r="C211" t="s">
        <v>120</v>
      </c>
      <c r="D211">
        <v>107</v>
      </c>
      <c r="E211">
        <v>54.064999999999998</v>
      </c>
      <c r="F211">
        <v>2.3E-2</v>
      </c>
      <c r="G211">
        <v>47.292999999999999</v>
      </c>
      <c r="H211">
        <v>3.5000000000000003E-2</v>
      </c>
      <c r="I211">
        <v>101.746</v>
      </c>
      <c r="J211" s="1" t="s">
        <v>96</v>
      </c>
    </row>
    <row r="212" spans="1:10" x14ac:dyDescent="0.3">
      <c r="A212" t="s">
        <v>129</v>
      </c>
      <c r="B212" t="s">
        <v>130</v>
      </c>
      <c r="C212" t="s">
        <v>120</v>
      </c>
      <c r="D212">
        <v>108</v>
      </c>
      <c r="E212">
        <v>53.762999999999998</v>
      </c>
      <c r="F212">
        <v>4.8000000000000001E-2</v>
      </c>
      <c r="G212">
        <v>46.933</v>
      </c>
      <c r="H212">
        <v>4.0000000000000001E-3</v>
      </c>
      <c r="I212">
        <v>101.218</v>
      </c>
      <c r="J212" s="1" t="s">
        <v>97</v>
      </c>
    </row>
    <row r="213" spans="1:10" x14ac:dyDescent="0.3">
      <c r="A213" t="s">
        <v>129</v>
      </c>
      <c r="B213" t="s">
        <v>130</v>
      </c>
      <c r="C213" t="s">
        <v>120</v>
      </c>
      <c r="D213">
        <v>109</v>
      </c>
      <c r="E213">
        <v>53.850999999999999</v>
      </c>
      <c r="F213">
        <v>0.108</v>
      </c>
      <c r="G213">
        <v>46.95</v>
      </c>
      <c r="H213">
        <v>3.5999999999999997E-2</v>
      </c>
      <c r="I213">
        <v>101.24299999999999</v>
      </c>
      <c r="J213" s="1" t="s">
        <v>98</v>
      </c>
    </row>
    <row r="214" spans="1:10" x14ac:dyDescent="0.3">
      <c r="A214" t="s">
        <v>129</v>
      </c>
      <c r="B214" t="s">
        <v>130</v>
      </c>
      <c r="C214" t="s">
        <v>120</v>
      </c>
      <c r="D214">
        <v>110</v>
      </c>
      <c r="E214">
        <v>52.853999999999999</v>
      </c>
      <c r="F214">
        <v>0.17499999999999999</v>
      </c>
      <c r="G214">
        <v>46.436999999999998</v>
      </c>
      <c r="H214">
        <v>7.0000000000000001E-3</v>
      </c>
      <c r="I214">
        <v>99.950999999999993</v>
      </c>
      <c r="J214" s="1" t="s">
        <v>99</v>
      </c>
    </row>
    <row r="215" spans="1:10" x14ac:dyDescent="0.3">
      <c r="A215" t="s">
        <v>129</v>
      </c>
      <c r="B215" t="s">
        <v>130</v>
      </c>
      <c r="C215" t="s">
        <v>120</v>
      </c>
      <c r="D215">
        <v>111</v>
      </c>
      <c r="E215">
        <v>52.902999999999999</v>
      </c>
      <c r="F215">
        <v>0.2</v>
      </c>
      <c r="G215">
        <v>46.834000000000003</v>
      </c>
      <c r="H215">
        <v>1.4999999999999999E-2</v>
      </c>
      <c r="I215">
        <v>100.51</v>
      </c>
      <c r="J215" s="1" t="s">
        <v>100</v>
      </c>
    </row>
    <row r="216" spans="1:10" x14ac:dyDescent="0.3">
      <c r="A216" t="s">
        <v>129</v>
      </c>
      <c r="B216" t="s">
        <v>130</v>
      </c>
      <c r="C216" t="s">
        <v>120</v>
      </c>
      <c r="D216">
        <v>112</v>
      </c>
      <c r="E216">
        <v>53.564999999999998</v>
      </c>
      <c r="F216">
        <v>0.20799999999999999</v>
      </c>
      <c r="G216">
        <v>46.432000000000002</v>
      </c>
      <c r="H216">
        <v>0.03</v>
      </c>
      <c r="I216">
        <v>100.682</v>
      </c>
      <c r="J216" s="1" t="s">
        <v>101</v>
      </c>
    </row>
    <row r="217" spans="1:10" x14ac:dyDescent="0.3">
      <c r="A217" t="s">
        <v>129</v>
      </c>
      <c r="B217" t="s">
        <v>130</v>
      </c>
      <c r="C217" t="s">
        <v>120</v>
      </c>
      <c r="D217">
        <v>113</v>
      </c>
      <c r="E217">
        <v>53.615000000000002</v>
      </c>
      <c r="F217">
        <v>0.157</v>
      </c>
      <c r="G217">
        <v>46.866</v>
      </c>
      <c r="H217">
        <v>0</v>
      </c>
      <c r="I217">
        <v>100.999</v>
      </c>
      <c r="J217" s="1" t="s">
        <v>102</v>
      </c>
    </row>
    <row r="218" spans="1:10" x14ac:dyDescent="0.3">
      <c r="A218" t="s">
        <v>129</v>
      </c>
      <c r="B218" t="s">
        <v>130</v>
      </c>
      <c r="C218" t="s">
        <v>120</v>
      </c>
      <c r="D218">
        <v>114</v>
      </c>
      <c r="E218">
        <v>53.402999999999999</v>
      </c>
      <c r="F218">
        <v>0.26100000000000001</v>
      </c>
      <c r="G218">
        <v>46.83</v>
      </c>
      <c r="H218">
        <v>0</v>
      </c>
      <c r="I218">
        <v>100.88</v>
      </c>
      <c r="J218" s="1" t="s">
        <v>103</v>
      </c>
    </row>
    <row r="219" spans="1:10" x14ac:dyDescent="0.3">
      <c r="A219" t="s">
        <v>129</v>
      </c>
      <c r="B219" t="s">
        <v>130</v>
      </c>
      <c r="C219" t="s">
        <v>120</v>
      </c>
      <c r="D219">
        <v>115</v>
      </c>
      <c r="E219">
        <v>54.359000000000002</v>
      </c>
      <c r="F219">
        <v>0.41499999999999998</v>
      </c>
      <c r="G219">
        <v>46.862000000000002</v>
      </c>
      <c r="H219">
        <v>1.2999999999999999E-2</v>
      </c>
      <c r="I219">
        <v>102.056</v>
      </c>
      <c r="J219" s="1" t="s">
        <v>104</v>
      </c>
    </row>
    <row r="220" spans="1:10" x14ac:dyDescent="0.3">
      <c r="A220" t="s">
        <v>129</v>
      </c>
      <c r="B220" t="s">
        <v>130</v>
      </c>
      <c r="C220" t="s">
        <v>120</v>
      </c>
      <c r="D220">
        <v>116</v>
      </c>
      <c r="E220">
        <v>54.03</v>
      </c>
      <c r="F220">
        <v>0.60199999999999998</v>
      </c>
      <c r="G220">
        <v>46.375</v>
      </c>
      <c r="H220">
        <v>3.1E-2</v>
      </c>
      <c r="I220">
        <v>101.458</v>
      </c>
      <c r="J220" s="1" t="s">
        <v>105</v>
      </c>
    </row>
    <row r="221" spans="1:10" x14ac:dyDescent="0.3">
      <c r="A221" t="s">
        <v>129</v>
      </c>
      <c r="B221" t="s">
        <v>130</v>
      </c>
      <c r="C221" t="s">
        <v>120</v>
      </c>
      <c r="D221">
        <v>117</v>
      </c>
      <c r="E221">
        <v>53.311</v>
      </c>
      <c r="F221">
        <v>0.13400000000000001</v>
      </c>
      <c r="G221">
        <v>46.664999999999999</v>
      </c>
      <c r="H221">
        <v>6.0999999999999999E-2</v>
      </c>
      <c r="I221">
        <v>100.675</v>
      </c>
      <c r="J221" s="1" t="s">
        <v>106</v>
      </c>
    </row>
    <row r="222" spans="1:10" x14ac:dyDescent="0.3">
      <c r="A222" t="s">
        <v>129</v>
      </c>
      <c r="B222" t="s">
        <v>130</v>
      </c>
      <c r="C222" t="s">
        <v>120</v>
      </c>
      <c r="D222">
        <v>118</v>
      </c>
      <c r="E222">
        <v>53.030999999999999</v>
      </c>
      <c r="F222">
        <v>0.05</v>
      </c>
      <c r="G222">
        <v>46.63</v>
      </c>
      <c r="H222">
        <v>6.5000000000000002E-2</v>
      </c>
      <c r="I222">
        <v>100.145</v>
      </c>
      <c r="J222" s="1" t="s">
        <v>107</v>
      </c>
    </row>
    <row r="223" spans="1:10" x14ac:dyDescent="0.3">
      <c r="A223" t="s">
        <v>129</v>
      </c>
      <c r="B223" t="s">
        <v>130</v>
      </c>
      <c r="C223" t="s">
        <v>120</v>
      </c>
      <c r="D223">
        <v>119</v>
      </c>
      <c r="E223">
        <v>53.444000000000003</v>
      </c>
      <c r="F223">
        <v>0.14000000000000001</v>
      </c>
      <c r="G223">
        <v>46.845999999999997</v>
      </c>
      <c r="H223">
        <v>2.1999999999999999E-2</v>
      </c>
      <c r="I223">
        <v>100.773</v>
      </c>
      <c r="J223" s="1" t="s">
        <v>108</v>
      </c>
    </row>
    <row r="224" spans="1:10" x14ac:dyDescent="0.3">
      <c r="A224" t="s">
        <v>129</v>
      </c>
      <c r="B224" t="s">
        <v>130</v>
      </c>
      <c r="C224" t="s">
        <v>120</v>
      </c>
      <c r="D224">
        <v>120</v>
      </c>
      <c r="E224">
        <v>53.142000000000003</v>
      </c>
      <c r="F224">
        <v>0.23300000000000001</v>
      </c>
      <c r="G224">
        <v>46.613</v>
      </c>
      <c r="H224">
        <v>4.2000000000000003E-2</v>
      </c>
      <c r="I224">
        <v>100.73699999999999</v>
      </c>
      <c r="J224" s="1" t="s">
        <v>109</v>
      </c>
    </row>
    <row r="225" spans="1:10" x14ac:dyDescent="0.3">
      <c r="A225" t="s">
        <v>129</v>
      </c>
      <c r="B225" t="s">
        <v>130</v>
      </c>
      <c r="C225" t="s">
        <v>120</v>
      </c>
      <c r="D225">
        <v>121</v>
      </c>
      <c r="E225">
        <v>54.256</v>
      </c>
      <c r="F225">
        <v>7.2999999999999995E-2</v>
      </c>
      <c r="G225">
        <v>47.197000000000003</v>
      </c>
      <c r="H225">
        <v>5.1999999999999998E-2</v>
      </c>
      <c r="I225">
        <v>101.949</v>
      </c>
      <c r="J225" s="1" t="s">
        <v>110</v>
      </c>
    </row>
    <row r="226" spans="1:10" x14ac:dyDescent="0.3">
      <c r="A226" t="s">
        <v>129</v>
      </c>
      <c r="B226" t="s">
        <v>130</v>
      </c>
      <c r="C226" t="s">
        <v>120</v>
      </c>
      <c r="D226">
        <v>122</v>
      </c>
      <c r="E226">
        <v>54.140999999999998</v>
      </c>
      <c r="F226">
        <v>0.16</v>
      </c>
      <c r="G226">
        <v>46.929000000000002</v>
      </c>
      <c r="H226">
        <v>3.2000000000000001E-2</v>
      </c>
      <c r="I226">
        <v>101.626</v>
      </c>
      <c r="J226" s="1" t="s">
        <v>111</v>
      </c>
    </row>
  </sheetData>
  <phoneticPr fontId="1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DE32-B11F-4CE5-A697-55F00A573799}">
  <dimension ref="A1:AE78"/>
  <sheetViews>
    <sheetView topLeftCell="A25" workbookViewId="0">
      <selection activeCell="G24" sqref="G24"/>
    </sheetView>
  </sheetViews>
  <sheetFormatPr baseColWidth="10" defaultRowHeight="14.4" x14ac:dyDescent="0.3"/>
  <cols>
    <col min="2" max="2" width="19.6640625" customWidth="1"/>
    <col min="3" max="4" width="22" customWidth="1"/>
    <col min="6" max="6" width="17.44140625" customWidth="1"/>
    <col min="9" max="30" width="16.33203125" customWidth="1"/>
    <col min="31" max="31" width="16.44140625" customWidth="1"/>
  </cols>
  <sheetData>
    <row r="1" spans="1:31" x14ac:dyDescent="0.3">
      <c r="A1" t="s">
        <v>334</v>
      </c>
      <c r="B1" t="s">
        <v>335</v>
      </c>
      <c r="C1" t="s">
        <v>336</v>
      </c>
      <c r="D1" t="s">
        <v>366</v>
      </c>
      <c r="E1" t="s">
        <v>337</v>
      </c>
      <c r="F1" t="s">
        <v>572</v>
      </c>
      <c r="G1" t="s">
        <v>339</v>
      </c>
      <c r="H1" t="s">
        <v>365</v>
      </c>
      <c r="I1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353</v>
      </c>
      <c r="V1" t="s">
        <v>354</v>
      </c>
      <c r="W1" t="s">
        <v>355</v>
      </c>
      <c r="X1" t="s">
        <v>356</v>
      </c>
      <c r="Y1" t="s">
        <v>357</v>
      </c>
      <c r="Z1" t="s">
        <v>358</v>
      </c>
      <c r="AA1" t="s">
        <v>359</v>
      </c>
      <c r="AB1" t="s">
        <v>360</v>
      </c>
      <c r="AC1" t="s">
        <v>361</v>
      </c>
      <c r="AD1" t="s">
        <v>362</v>
      </c>
      <c r="AE1" t="s">
        <v>363</v>
      </c>
    </row>
    <row r="2" spans="1:31" x14ac:dyDescent="0.3">
      <c r="I2" t="s">
        <v>340</v>
      </c>
      <c r="J2" t="s">
        <v>340</v>
      </c>
      <c r="K2" t="s">
        <v>340</v>
      </c>
      <c r="L2" t="s">
        <v>340</v>
      </c>
      <c r="M2" t="s">
        <v>340</v>
      </c>
      <c r="N2" t="s">
        <v>340</v>
      </c>
      <c r="O2" t="s">
        <v>340</v>
      </c>
      <c r="P2" t="s">
        <v>340</v>
      </c>
      <c r="Q2" t="s">
        <v>340</v>
      </c>
      <c r="R2" t="s">
        <v>340</v>
      </c>
      <c r="S2" t="s">
        <v>340</v>
      </c>
      <c r="T2" t="s">
        <v>340</v>
      </c>
      <c r="U2" t="s">
        <v>340</v>
      </c>
      <c r="V2" t="s">
        <v>340</v>
      </c>
      <c r="W2" t="s">
        <v>340</v>
      </c>
      <c r="X2" t="s">
        <v>340</v>
      </c>
      <c r="Y2" t="s">
        <v>340</v>
      </c>
      <c r="Z2" t="s">
        <v>340</v>
      </c>
      <c r="AA2" t="s">
        <v>340</v>
      </c>
      <c r="AB2" t="s">
        <v>340</v>
      </c>
      <c r="AC2" t="s">
        <v>340</v>
      </c>
      <c r="AD2" t="s">
        <v>340</v>
      </c>
      <c r="AE2" t="s">
        <v>340</v>
      </c>
    </row>
    <row r="3" spans="1:31" x14ac:dyDescent="0.3">
      <c r="A3" t="s">
        <v>297</v>
      </c>
      <c r="B3" t="s">
        <v>338</v>
      </c>
      <c r="C3" t="s">
        <v>571</v>
      </c>
      <c r="D3" t="s">
        <v>122</v>
      </c>
      <c r="E3" t="s">
        <v>257</v>
      </c>
      <c r="F3" t="s">
        <v>954</v>
      </c>
      <c r="G3">
        <v>-10.199999999999999</v>
      </c>
      <c r="H3">
        <v>0.1</v>
      </c>
      <c r="I3" s="1">
        <v>17.485399999999998</v>
      </c>
      <c r="J3" s="1">
        <v>6.93757</v>
      </c>
      <c r="K3" s="1">
        <v>72.3476</v>
      </c>
      <c r="L3" s="1">
        <v>3.7638999999999999E-2</v>
      </c>
      <c r="M3" s="1">
        <v>0.20774999999999999</v>
      </c>
      <c r="N3" s="1">
        <v>1.7484599999999999</v>
      </c>
      <c r="O3" s="1">
        <v>26.073599999999999</v>
      </c>
      <c r="P3" s="1">
        <v>0.10859000000000001</v>
      </c>
      <c r="Q3" s="1">
        <v>9.6277500000000002E-2</v>
      </c>
      <c r="R3" s="1">
        <v>3.3551299999999999</v>
      </c>
      <c r="S3" s="1">
        <v>4.7777799999999999</v>
      </c>
      <c r="T3" s="1" t="s">
        <v>575</v>
      </c>
      <c r="U3" s="1" t="s">
        <v>575</v>
      </c>
      <c r="V3" s="1" t="s">
        <v>575</v>
      </c>
      <c r="W3" s="1" t="s">
        <v>575</v>
      </c>
      <c r="X3" s="1">
        <v>2.1411099999999999E-2</v>
      </c>
      <c r="Y3" s="1">
        <v>9.3535900000000002E-3</v>
      </c>
      <c r="Z3" s="1">
        <v>0.38306600000000002</v>
      </c>
      <c r="AA3" s="1" t="s">
        <v>575</v>
      </c>
      <c r="AB3" s="1" t="s">
        <v>575</v>
      </c>
      <c r="AC3" s="1">
        <v>2.3682299999999998E-3</v>
      </c>
      <c r="AD3" s="1">
        <v>0.20150999999999999</v>
      </c>
      <c r="AE3" s="1">
        <v>5.8245500000000004E-3</v>
      </c>
    </row>
    <row r="4" spans="1:31" x14ac:dyDescent="0.3">
      <c r="A4" t="s">
        <v>298</v>
      </c>
      <c r="B4" t="s">
        <v>338</v>
      </c>
      <c r="C4" t="s">
        <v>571</v>
      </c>
      <c r="D4" t="s">
        <v>122</v>
      </c>
      <c r="E4" t="s">
        <v>257</v>
      </c>
      <c r="F4" t="s">
        <v>954</v>
      </c>
      <c r="G4">
        <v>-10.199999999999999</v>
      </c>
      <c r="H4">
        <v>0.1</v>
      </c>
      <c r="I4" s="1">
        <v>15.824999999999999</v>
      </c>
      <c r="J4" s="1">
        <v>5.1620100000000004</v>
      </c>
      <c r="K4" s="1">
        <v>47.654600000000002</v>
      </c>
      <c r="L4" s="1">
        <v>1.9782500000000001E-2</v>
      </c>
      <c r="M4" s="1">
        <v>0.11325</v>
      </c>
      <c r="N4" s="1">
        <v>1.6900599999999999</v>
      </c>
      <c r="O4" s="1">
        <v>16.491099999999999</v>
      </c>
      <c r="P4" s="1">
        <v>7.9209199999999994E-2</v>
      </c>
      <c r="Q4" s="1">
        <v>0.137768</v>
      </c>
      <c r="R4" s="1">
        <v>2.3195800000000002</v>
      </c>
      <c r="S4" s="1">
        <v>8.1852499999999999</v>
      </c>
      <c r="T4" s="1" t="s">
        <v>575</v>
      </c>
      <c r="U4" s="1">
        <v>3.8077200000000001E-3</v>
      </c>
      <c r="V4" s="1">
        <v>8.2184000000000007E-3</v>
      </c>
      <c r="W4" s="1">
        <v>3.4606300000000002E-4</v>
      </c>
      <c r="X4" s="1">
        <v>1.5070099999999999E-2</v>
      </c>
      <c r="Y4" s="1">
        <v>1.54455E-3</v>
      </c>
      <c r="Z4" s="1">
        <v>1.09378</v>
      </c>
      <c r="AA4" s="1" t="s">
        <v>575</v>
      </c>
      <c r="AB4" s="1" t="s">
        <v>575</v>
      </c>
      <c r="AC4" s="1">
        <v>2.6467499999999998E-3</v>
      </c>
      <c r="AD4" s="1">
        <v>0.307255</v>
      </c>
      <c r="AE4" s="1">
        <v>4.0460100000000001E-3</v>
      </c>
    </row>
    <row r="5" spans="1:31" x14ac:dyDescent="0.3">
      <c r="A5" t="s">
        <v>299</v>
      </c>
      <c r="B5" t="s">
        <v>338</v>
      </c>
      <c r="C5" t="s">
        <v>571</v>
      </c>
      <c r="D5" t="s">
        <v>122</v>
      </c>
      <c r="E5" t="s">
        <v>257</v>
      </c>
      <c r="F5" t="s">
        <v>954</v>
      </c>
      <c r="G5">
        <v>-10.199999999999999</v>
      </c>
      <c r="H5">
        <v>0.1</v>
      </c>
      <c r="I5" s="1">
        <v>22.106999999999999</v>
      </c>
      <c r="J5" s="1">
        <v>13.785500000000001</v>
      </c>
      <c r="K5" s="1">
        <v>89.0715</v>
      </c>
      <c r="L5" s="1">
        <v>4.5731800000000003E-2</v>
      </c>
      <c r="M5" s="1">
        <v>0.26364199999999999</v>
      </c>
      <c r="N5" s="1">
        <v>1.7113700000000001</v>
      </c>
      <c r="O5" s="1">
        <v>31.937899999999999</v>
      </c>
      <c r="P5" s="1">
        <v>0.17654800000000001</v>
      </c>
      <c r="Q5" s="1">
        <v>2.47344E-2</v>
      </c>
      <c r="R5" s="1">
        <v>3.3410799999999998</v>
      </c>
      <c r="S5" s="1">
        <v>2.77908</v>
      </c>
      <c r="T5" s="1" t="s">
        <v>575</v>
      </c>
      <c r="U5" s="1">
        <v>3.4634299999999999E-4</v>
      </c>
      <c r="V5" s="1">
        <v>3.8913000000000003E-2</v>
      </c>
      <c r="W5" s="1">
        <v>4.41903E-4</v>
      </c>
      <c r="X5" s="1">
        <v>6.8723699999999999E-2</v>
      </c>
      <c r="Y5" s="1">
        <v>2.39855E-2</v>
      </c>
      <c r="Z5" s="1">
        <v>0.240812</v>
      </c>
      <c r="AA5" s="1" t="s">
        <v>575</v>
      </c>
      <c r="AB5" s="1" t="s">
        <v>575</v>
      </c>
      <c r="AC5" s="1">
        <v>2.4374800000000001E-3</v>
      </c>
      <c r="AD5" s="1">
        <v>2.9507500000000002</v>
      </c>
      <c r="AE5" s="1">
        <v>4.5361100000000003E-3</v>
      </c>
    </row>
    <row r="6" spans="1:31" x14ac:dyDescent="0.3">
      <c r="A6" t="s">
        <v>300</v>
      </c>
      <c r="B6" t="s">
        <v>338</v>
      </c>
      <c r="C6" t="s">
        <v>571</v>
      </c>
      <c r="D6" t="s">
        <v>122</v>
      </c>
      <c r="E6" t="s">
        <v>257</v>
      </c>
      <c r="F6" t="s">
        <v>954</v>
      </c>
      <c r="G6">
        <v>-10.199999999999999</v>
      </c>
      <c r="H6">
        <v>0.1</v>
      </c>
      <c r="I6" s="1">
        <v>9.6891700000000007</v>
      </c>
      <c r="J6" s="1">
        <v>4.3028000000000004</v>
      </c>
      <c r="K6" s="1">
        <v>56.001199999999997</v>
      </c>
      <c r="L6" s="1">
        <v>1.0193799999999999E-2</v>
      </c>
      <c r="M6" s="1">
        <v>0.152618</v>
      </c>
      <c r="N6" s="1">
        <v>1.14534</v>
      </c>
      <c r="O6" s="1">
        <v>15.132199999999999</v>
      </c>
      <c r="P6" s="1">
        <v>7.7559100000000006E-2</v>
      </c>
      <c r="Q6" s="1">
        <v>3.2924799999999997E-2</v>
      </c>
      <c r="R6" s="1">
        <v>2.0879699999999999</v>
      </c>
      <c r="S6" s="1">
        <v>3.1460499999999998</v>
      </c>
      <c r="T6" s="1" t="s">
        <v>575</v>
      </c>
      <c r="U6" s="1" t="s">
        <v>575</v>
      </c>
      <c r="V6" s="1">
        <v>1.014E-2</v>
      </c>
      <c r="W6" s="1">
        <v>1.3929000000000001E-3</v>
      </c>
      <c r="X6" s="1">
        <v>2.1175800000000002E-2</v>
      </c>
      <c r="Y6" s="1">
        <v>4.0771999999999996E-3</v>
      </c>
      <c r="Z6" s="1">
        <v>0.25573899999999999</v>
      </c>
      <c r="AA6" s="1">
        <v>1.25968E-3</v>
      </c>
      <c r="AB6" s="1" t="s">
        <v>575</v>
      </c>
      <c r="AC6" s="1">
        <v>1.8727399999999999E-3</v>
      </c>
      <c r="AD6" s="1">
        <v>0.28937000000000002</v>
      </c>
      <c r="AE6" s="1">
        <v>5.1408699999999996E-3</v>
      </c>
    </row>
    <row r="7" spans="1:31" x14ac:dyDescent="0.3">
      <c r="A7" t="s">
        <v>301</v>
      </c>
      <c r="B7" t="s">
        <v>338</v>
      </c>
      <c r="C7" t="s">
        <v>571</v>
      </c>
      <c r="D7" t="s">
        <v>122</v>
      </c>
      <c r="E7" t="s">
        <v>257</v>
      </c>
      <c r="F7" t="s">
        <v>954</v>
      </c>
      <c r="G7">
        <v>-10.199999999999999</v>
      </c>
      <c r="H7">
        <v>0.1</v>
      </c>
      <c r="I7" s="1">
        <v>0.78442400000000001</v>
      </c>
      <c r="J7" s="1">
        <v>7.9250400000000001</v>
      </c>
      <c r="K7" s="1">
        <v>53.686399999999999</v>
      </c>
      <c r="L7" s="1">
        <v>2.7510400000000001E-2</v>
      </c>
      <c r="M7" s="1">
        <v>8.2218299999999994E-2</v>
      </c>
      <c r="N7" s="1">
        <v>1.2052400000000001</v>
      </c>
      <c r="O7" s="1">
        <v>6.9436400000000003</v>
      </c>
      <c r="P7" s="1">
        <v>3.5634099999999999E-3</v>
      </c>
      <c r="Q7" s="1" t="s">
        <v>575</v>
      </c>
      <c r="R7" s="1">
        <v>1.9038900000000001</v>
      </c>
      <c r="S7" s="1">
        <v>4.1178999999999997</v>
      </c>
      <c r="T7" s="1" t="s">
        <v>575</v>
      </c>
      <c r="U7" s="1">
        <v>1.08004E-2</v>
      </c>
      <c r="V7" s="1">
        <v>4.0598099999999998E-2</v>
      </c>
      <c r="W7" s="1">
        <v>1.39594E-3</v>
      </c>
      <c r="X7" s="1">
        <v>5.7103099999999997E-2</v>
      </c>
      <c r="Y7" s="1" t="s">
        <v>575</v>
      </c>
      <c r="Z7" s="1">
        <v>0.32039600000000001</v>
      </c>
      <c r="AA7" s="1" t="s">
        <v>575</v>
      </c>
      <c r="AB7" s="1" t="s">
        <v>575</v>
      </c>
      <c r="AC7" s="1">
        <v>2.0363600000000001E-3</v>
      </c>
      <c r="AD7" s="1">
        <v>5.2431299999999998</v>
      </c>
      <c r="AE7" s="1">
        <v>1.16069E-2</v>
      </c>
    </row>
    <row r="8" spans="1:31" x14ac:dyDescent="0.3">
      <c r="A8" t="s">
        <v>302</v>
      </c>
      <c r="B8" t="s">
        <v>338</v>
      </c>
      <c r="C8" t="s">
        <v>571</v>
      </c>
      <c r="D8" t="s">
        <v>122</v>
      </c>
      <c r="E8" t="s">
        <v>257</v>
      </c>
      <c r="F8" t="s">
        <v>954</v>
      </c>
      <c r="G8">
        <v>-10.199999999999999</v>
      </c>
      <c r="H8">
        <v>0.1</v>
      </c>
      <c r="I8" s="1">
        <v>0.67560399999999998</v>
      </c>
      <c r="J8" s="1">
        <v>4.4835599999999998</v>
      </c>
      <c r="K8" s="1">
        <v>38.804900000000004</v>
      </c>
      <c r="L8" s="1">
        <v>2.3678299999999999E-2</v>
      </c>
      <c r="M8" s="1">
        <v>4.0314200000000001E-2</v>
      </c>
      <c r="N8" s="1">
        <v>1.0861099999999999</v>
      </c>
      <c r="O8" s="1">
        <v>7.5451499999999996</v>
      </c>
      <c r="P8" s="1">
        <v>3.0419100000000001E-3</v>
      </c>
      <c r="Q8" s="1">
        <v>0.119265</v>
      </c>
      <c r="R8" s="1">
        <v>3.0518900000000002</v>
      </c>
      <c r="S8" s="1">
        <v>2.55436</v>
      </c>
      <c r="T8" s="1" t="s">
        <v>575</v>
      </c>
      <c r="U8" s="1">
        <v>9.3226100000000003E-3</v>
      </c>
      <c r="V8" s="1" t="s">
        <v>575</v>
      </c>
      <c r="W8" s="1">
        <v>1.3617099999999999E-3</v>
      </c>
      <c r="X8" s="1">
        <v>4.2371899999999997E-2</v>
      </c>
      <c r="Y8" s="1" t="s">
        <v>575</v>
      </c>
      <c r="Z8" s="1">
        <v>0.25587900000000002</v>
      </c>
      <c r="AA8" s="1" t="s">
        <v>575</v>
      </c>
      <c r="AB8" s="1" t="s">
        <v>575</v>
      </c>
      <c r="AC8" s="1">
        <v>2.0305900000000001E-3</v>
      </c>
      <c r="AD8" s="1">
        <v>1.0687899999999999</v>
      </c>
      <c r="AE8" s="1">
        <v>5.5088999999999997E-3</v>
      </c>
    </row>
    <row r="9" spans="1:31" x14ac:dyDescent="0.3">
      <c r="A9" t="s">
        <v>303</v>
      </c>
      <c r="B9" t="s">
        <v>338</v>
      </c>
      <c r="C9" t="s">
        <v>571</v>
      </c>
      <c r="D9" t="s">
        <v>122</v>
      </c>
      <c r="E9" t="s">
        <v>257</v>
      </c>
      <c r="F9" t="s">
        <v>954</v>
      </c>
      <c r="G9">
        <v>-10.199999999999999</v>
      </c>
      <c r="H9">
        <v>0.1</v>
      </c>
      <c r="I9" s="1">
        <v>0.66952500000000004</v>
      </c>
      <c r="J9" s="1">
        <v>6.5612199999999996</v>
      </c>
      <c r="K9" s="1">
        <v>49.131300000000003</v>
      </c>
      <c r="L9" s="1">
        <v>1.8687200000000001E-2</v>
      </c>
      <c r="M9" s="1">
        <v>7.9969200000000004E-2</v>
      </c>
      <c r="N9" s="1">
        <v>1.34266</v>
      </c>
      <c r="O9" s="1">
        <v>8.3702799999999993</v>
      </c>
      <c r="P9" s="1" t="s">
        <v>575</v>
      </c>
      <c r="Q9" s="1">
        <v>2.0318599999999999E-2</v>
      </c>
      <c r="R9" s="1">
        <v>1.6206100000000001</v>
      </c>
      <c r="S9" s="1">
        <v>3.7798699999999998</v>
      </c>
      <c r="T9" s="1" t="s">
        <v>575</v>
      </c>
      <c r="U9" s="1">
        <v>5.5045099999999998E-3</v>
      </c>
      <c r="V9" s="1">
        <v>6.89658E-4</v>
      </c>
      <c r="W9" s="1">
        <v>8.72754E-4</v>
      </c>
      <c r="X9" s="1">
        <v>5.0246100000000002E-2</v>
      </c>
      <c r="Y9" s="1">
        <v>3.1431499999999999E-3</v>
      </c>
      <c r="Z9" s="1">
        <v>0.45274900000000001</v>
      </c>
      <c r="AA9" s="1">
        <v>3.6847999999999998E-3</v>
      </c>
      <c r="AB9" s="1" t="s">
        <v>575</v>
      </c>
      <c r="AC9" s="1" t="s">
        <v>575</v>
      </c>
      <c r="AD9" s="1">
        <v>1.4398500000000001</v>
      </c>
      <c r="AE9" s="1">
        <v>8.6871199999999996E-3</v>
      </c>
    </row>
    <row r="10" spans="1:31" x14ac:dyDescent="0.3">
      <c r="A10" t="s">
        <v>304</v>
      </c>
      <c r="B10" t="s">
        <v>338</v>
      </c>
      <c r="C10" t="s">
        <v>571</v>
      </c>
      <c r="D10" t="s">
        <v>122</v>
      </c>
      <c r="E10" t="s">
        <v>257</v>
      </c>
      <c r="F10" t="s">
        <v>954</v>
      </c>
      <c r="G10">
        <v>-10.199999999999999</v>
      </c>
      <c r="H10">
        <v>0.1</v>
      </c>
      <c r="I10" s="1">
        <v>0.58887900000000004</v>
      </c>
      <c r="J10" s="1">
        <v>4.7088599999999996</v>
      </c>
      <c r="K10" s="1">
        <v>36.260800000000003</v>
      </c>
      <c r="L10" s="1">
        <v>2.0389899999999999E-2</v>
      </c>
      <c r="M10" s="1">
        <v>2.17807E-2</v>
      </c>
      <c r="N10" s="1">
        <v>1.44339</v>
      </c>
      <c r="O10" s="1">
        <v>5.5408600000000003</v>
      </c>
      <c r="P10" s="1">
        <v>1.2953900000000001E-2</v>
      </c>
      <c r="Q10" s="1" t="s">
        <v>575</v>
      </c>
      <c r="R10" s="1">
        <v>1.18347</v>
      </c>
      <c r="S10" s="1">
        <v>4.2626600000000003</v>
      </c>
      <c r="T10" s="1" t="s">
        <v>575</v>
      </c>
      <c r="U10" s="1">
        <v>7.8919799999999996E-4</v>
      </c>
      <c r="V10" s="1">
        <v>8.8073000000000005E-3</v>
      </c>
      <c r="W10" s="1">
        <v>3.4223499999999998E-4</v>
      </c>
      <c r="X10" s="1">
        <v>5.1105400000000002E-2</v>
      </c>
      <c r="Y10" s="1">
        <v>5.6936200000000001E-4</v>
      </c>
      <c r="Z10" s="1">
        <v>0.35075099999999998</v>
      </c>
      <c r="AA10" s="1">
        <v>1.1088300000000001E-3</v>
      </c>
      <c r="AB10" s="1" t="s">
        <v>575</v>
      </c>
      <c r="AC10" s="1">
        <v>1.1509199999999999E-3</v>
      </c>
      <c r="AD10" s="1">
        <v>0.96596700000000002</v>
      </c>
      <c r="AE10" s="1">
        <v>2.99885E-3</v>
      </c>
    </row>
    <row r="11" spans="1:31" x14ac:dyDescent="0.3">
      <c r="A11" t="s">
        <v>305</v>
      </c>
      <c r="B11" t="s">
        <v>338</v>
      </c>
      <c r="C11" t="s">
        <v>571</v>
      </c>
      <c r="D11" t="s">
        <v>122</v>
      </c>
      <c r="E11" t="s">
        <v>257</v>
      </c>
      <c r="F11" t="s">
        <v>954</v>
      </c>
      <c r="G11">
        <v>-10.199999999999999</v>
      </c>
      <c r="H11">
        <v>0.1</v>
      </c>
      <c r="I11" s="1">
        <v>0.71955999999999998</v>
      </c>
      <c r="J11" s="1">
        <v>5.0602999999999998</v>
      </c>
      <c r="K11" s="1">
        <v>50.128</v>
      </c>
      <c r="L11" s="1">
        <v>2.6775700000000002E-3</v>
      </c>
      <c r="M11" s="1">
        <v>8.4183599999999997E-2</v>
      </c>
      <c r="N11" s="1">
        <v>1.2058500000000001</v>
      </c>
      <c r="O11" s="1">
        <v>5.8085500000000003</v>
      </c>
      <c r="P11" s="1" t="s">
        <v>575</v>
      </c>
      <c r="Q11" s="1" t="s">
        <v>575</v>
      </c>
      <c r="R11" s="1">
        <v>3.1000399999999999</v>
      </c>
      <c r="S11" s="1">
        <v>4.02529</v>
      </c>
      <c r="T11" s="1" t="s">
        <v>575</v>
      </c>
      <c r="U11" s="1" t="s">
        <v>575</v>
      </c>
      <c r="V11" s="1" t="s">
        <v>575</v>
      </c>
      <c r="W11" s="1" t="s">
        <v>575</v>
      </c>
      <c r="X11" s="1">
        <v>4.3186500000000003E-3</v>
      </c>
      <c r="Y11" s="1">
        <v>6.3126500000000004E-3</v>
      </c>
      <c r="Z11" s="1">
        <v>0.407385</v>
      </c>
      <c r="AA11" s="1" t="s">
        <v>575</v>
      </c>
      <c r="AB11" s="1" t="s">
        <v>575</v>
      </c>
      <c r="AC11" s="1">
        <v>5.8777299999999998E-4</v>
      </c>
      <c r="AD11" s="1">
        <v>0.65237299999999998</v>
      </c>
      <c r="AE11" s="1">
        <v>9.3802799999999995E-3</v>
      </c>
    </row>
    <row r="12" spans="1:31" x14ac:dyDescent="0.3">
      <c r="A12" t="s">
        <v>306</v>
      </c>
      <c r="B12" t="s">
        <v>338</v>
      </c>
      <c r="C12" t="s">
        <v>571</v>
      </c>
      <c r="D12" t="s">
        <v>122</v>
      </c>
      <c r="E12" t="s">
        <v>257</v>
      </c>
      <c r="F12" t="s">
        <v>954</v>
      </c>
      <c r="G12">
        <v>-10.199999999999999</v>
      </c>
      <c r="H12">
        <v>0.1</v>
      </c>
      <c r="I12" s="1">
        <v>1.0210999999999999</v>
      </c>
      <c r="J12" s="1">
        <v>4.7332099999999997</v>
      </c>
      <c r="K12" s="1">
        <v>56.652200000000001</v>
      </c>
      <c r="L12" s="1">
        <v>9.2966400000000001E-3</v>
      </c>
      <c r="M12" s="1">
        <v>5.1272400000000003E-2</v>
      </c>
      <c r="N12" s="1">
        <v>1.58023</v>
      </c>
      <c r="O12" s="1">
        <v>6.7413600000000002</v>
      </c>
      <c r="P12" s="1">
        <v>8.7554799999999995E-3</v>
      </c>
      <c r="Q12" s="1" t="s">
        <v>575</v>
      </c>
      <c r="R12" s="1">
        <v>3.2536299999999998</v>
      </c>
      <c r="S12" s="1">
        <v>6.3908199999999997</v>
      </c>
      <c r="T12" s="1" t="s">
        <v>575</v>
      </c>
      <c r="U12" s="1">
        <v>1.9024000000000001E-3</v>
      </c>
      <c r="V12" s="1">
        <v>1.3799499999999999E-2</v>
      </c>
      <c r="W12" s="1" t="s">
        <v>575</v>
      </c>
      <c r="X12" s="1">
        <v>7.6182699999999999E-3</v>
      </c>
      <c r="Y12" s="1">
        <v>1.14197E-3</v>
      </c>
      <c r="Z12" s="1">
        <v>0.80674599999999996</v>
      </c>
      <c r="AA12" s="1" t="s">
        <v>575</v>
      </c>
      <c r="AB12" s="1" t="s">
        <v>575</v>
      </c>
      <c r="AC12" s="1">
        <v>4.3341300000000003E-3</v>
      </c>
      <c r="AD12" s="1">
        <v>0.87146400000000002</v>
      </c>
      <c r="AE12" s="1">
        <v>2.88017E-3</v>
      </c>
    </row>
    <row r="13" spans="1:31" x14ac:dyDescent="0.3">
      <c r="A13" t="s">
        <v>307</v>
      </c>
      <c r="B13" t="s">
        <v>338</v>
      </c>
      <c r="C13" t="s">
        <v>571</v>
      </c>
      <c r="D13" t="s">
        <v>122</v>
      </c>
      <c r="E13" t="s">
        <v>257</v>
      </c>
      <c r="F13" t="s">
        <v>954</v>
      </c>
      <c r="G13">
        <v>-10.199999999999999</v>
      </c>
      <c r="H13">
        <v>0.1</v>
      </c>
      <c r="I13" s="1">
        <v>0.71477199999999996</v>
      </c>
      <c r="J13" s="1">
        <v>6.5030900000000003</v>
      </c>
      <c r="K13" s="1">
        <v>99.968900000000005</v>
      </c>
      <c r="L13" s="1">
        <v>4.7976499999999998E-2</v>
      </c>
      <c r="M13" s="1">
        <v>0.116281</v>
      </c>
      <c r="N13" s="1">
        <v>1.1574500000000001</v>
      </c>
      <c r="O13" s="1">
        <v>9.0889500000000005</v>
      </c>
      <c r="P13" s="1">
        <v>2.4179099999999999E-2</v>
      </c>
      <c r="Q13" s="1">
        <v>5.6008500000000003E-2</v>
      </c>
      <c r="R13" s="1">
        <v>2.7950900000000001</v>
      </c>
      <c r="S13" s="1">
        <v>2.5081099999999998</v>
      </c>
      <c r="T13" s="1" t="s">
        <v>575</v>
      </c>
      <c r="U13" s="1">
        <v>4.2956699999999997E-3</v>
      </c>
      <c r="V13" s="1" t="s">
        <v>575</v>
      </c>
      <c r="W13" s="1">
        <v>1.88926E-3</v>
      </c>
      <c r="X13" s="1">
        <v>3.8239200000000001E-2</v>
      </c>
      <c r="Y13" s="1">
        <v>1.4824499999999999E-2</v>
      </c>
      <c r="Z13" s="1">
        <v>0.445299</v>
      </c>
      <c r="AA13" s="1">
        <v>3.5321599999999999E-3</v>
      </c>
      <c r="AB13" s="1" t="s">
        <v>575</v>
      </c>
      <c r="AC13" s="1">
        <v>1.6988999999999999E-3</v>
      </c>
      <c r="AD13" s="1">
        <v>0.76531800000000005</v>
      </c>
      <c r="AE13" s="1">
        <v>9.7828299999999993E-3</v>
      </c>
    </row>
    <row r="14" spans="1:31" x14ac:dyDescent="0.3">
      <c r="A14" t="s">
        <v>308</v>
      </c>
      <c r="B14" t="s">
        <v>338</v>
      </c>
      <c r="C14" t="s">
        <v>571</v>
      </c>
      <c r="D14" t="s">
        <v>122</v>
      </c>
      <c r="E14" t="s">
        <v>257</v>
      </c>
      <c r="F14" t="s">
        <v>954</v>
      </c>
      <c r="G14">
        <v>-10.199999999999999</v>
      </c>
      <c r="H14">
        <v>0.1</v>
      </c>
      <c r="I14" s="1">
        <v>7.5337300000000003</v>
      </c>
      <c r="J14" s="1">
        <v>4.5301799999999997</v>
      </c>
      <c r="K14" s="1">
        <v>48.395400000000002</v>
      </c>
      <c r="L14" s="1">
        <v>3.0192900000000002E-2</v>
      </c>
      <c r="M14" s="1">
        <v>0.193133</v>
      </c>
      <c r="N14" s="1">
        <v>1.31324</v>
      </c>
      <c r="O14" s="1">
        <v>16.303699999999999</v>
      </c>
      <c r="P14" s="1">
        <v>4.1345800000000002E-2</v>
      </c>
      <c r="Q14" s="1">
        <v>6.6259600000000002E-2</v>
      </c>
      <c r="R14" s="1">
        <v>3.0051299999999999</v>
      </c>
      <c r="S14" s="1">
        <v>1.6832199999999999</v>
      </c>
      <c r="T14" s="1" t="s">
        <v>575</v>
      </c>
      <c r="U14" s="1">
        <v>2.5730499999999999E-4</v>
      </c>
      <c r="V14" s="1" t="s">
        <v>575</v>
      </c>
      <c r="W14" s="1" t="s">
        <v>575</v>
      </c>
      <c r="X14" s="1">
        <v>5.3573500000000003E-2</v>
      </c>
      <c r="Y14" s="1">
        <v>2.80234E-2</v>
      </c>
      <c r="Z14" s="1">
        <v>0.27711000000000002</v>
      </c>
      <c r="AA14" s="1">
        <v>5.2721199999999999E-4</v>
      </c>
      <c r="AB14" s="1" t="s">
        <v>575</v>
      </c>
      <c r="AC14" s="1">
        <v>3.5213699999999998E-3</v>
      </c>
      <c r="AD14" s="1">
        <v>0.18129899999999999</v>
      </c>
      <c r="AE14" s="1">
        <v>6.8903200000000001E-3</v>
      </c>
    </row>
    <row r="15" spans="1:31" x14ac:dyDescent="0.3">
      <c r="A15" t="s">
        <v>309</v>
      </c>
      <c r="B15" t="s">
        <v>338</v>
      </c>
      <c r="C15" t="s">
        <v>571</v>
      </c>
      <c r="D15" t="s">
        <v>122</v>
      </c>
      <c r="E15" t="s">
        <v>257</v>
      </c>
      <c r="F15" t="s">
        <v>954</v>
      </c>
      <c r="G15">
        <v>-10.199999999999999</v>
      </c>
      <c r="H15">
        <v>0.1</v>
      </c>
      <c r="I15" s="1">
        <v>0.49396699999999999</v>
      </c>
      <c r="J15" s="1">
        <v>4.5688199999999997</v>
      </c>
      <c r="K15" s="1">
        <v>41.4542</v>
      </c>
      <c r="L15" s="1">
        <v>1.7897799999999998E-2</v>
      </c>
      <c r="M15" s="1">
        <v>6.8253400000000006E-2</v>
      </c>
      <c r="N15" s="1">
        <v>0.99191200000000002</v>
      </c>
      <c r="O15" s="1">
        <v>7.71875</v>
      </c>
      <c r="P15" s="1">
        <v>1.55386E-2</v>
      </c>
      <c r="Q15" s="1">
        <v>5.78107E-2</v>
      </c>
      <c r="R15" s="1">
        <v>3.06826</v>
      </c>
      <c r="S15" s="1">
        <v>2.2933300000000001</v>
      </c>
      <c r="T15" s="1" t="s">
        <v>575</v>
      </c>
      <c r="U15" s="1">
        <v>2.56011E-3</v>
      </c>
      <c r="V15" s="1">
        <v>8.7051799999999999E-3</v>
      </c>
      <c r="W15" s="1">
        <v>1.2812699999999999E-3</v>
      </c>
      <c r="X15" s="1">
        <v>1.39939E-2</v>
      </c>
      <c r="Y15" s="1">
        <v>8.6600099999999992E-3</v>
      </c>
      <c r="Z15" s="1">
        <v>0.303898</v>
      </c>
      <c r="AA15" s="1">
        <v>5.2844100000000005E-4</v>
      </c>
      <c r="AB15" s="1" t="s">
        <v>575</v>
      </c>
      <c r="AC15" s="1" t="s">
        <v>575</v>
      </c>
      <c r="AD15" s="1">
        <v>0.49220900000000001</v>
      </c>
      <c r="AE15" s="1">
        <v>3.8917299999999999E-3</v>
      </c>
    </row>
    <row r="16" spans="1:31" x14ac:dyDescent="0.3">
      <c r="A16" t="s">
        <v>310</v>
      </c>
      <c r="B16" t="s">
        <v>338</v>
      </c>
      <c r="C16" t="s">
        <v>571</v>
      </c>
      <c r="D16" t="s">
        <v>122</v>
      </c>
      <c r="E16" t="s">
        <v>257</v>
      </c>
      <c r="F16" t="s">
        <v>954</v>
      </c>
      <c r="G16">
        <v>-10.199999999999999</v>
      </c>
      <c r="H16">
        <v>0.1</v>
      </c>
      <c r="I16" s="1">
        <v>0.56317399999999995</v>
      </c>
      <c r="J16" s="1">
        <v>7.4150600000000004</v>
      </c>
      <c r="K16" s="1">
        <v>66.846999999999994</v>
      </c>
      <c r="L16" s="1">
        <v>1.6162200000000002E-2</v>
      </c>
      <c r="M16" s="1">
        <v>0.16109799999999999</v>
      </c>
      <c r="N16" s="1">
        <v>0.91530800000000001</v>
      </c>
      <c r="O16" s="1">
        <v>9.3362499999999997</v>
      </c>
      <c r="P16" s="1">
        <v>6.6170700000000001E-3</v>
      </c>
      <c r="Q16" s="1">
        <v>1.4435399999999999E-2</v>
      </c>
      <c r="R16" s="1">
        <v>2.97424</v>
      </c>
      <c r="S16" s="1">
        <v>1.7554399999999999</v>
      </c>
      <c r="T16" s="1" t="s">
        <v>575</v>
      </c>
      <c r="U16" s="1">
        <v>7.8705700000000003E-3</v>
      </c>
      <c r="V16" s="1">
        <v>2.2758899999999999E-2</v>
      </c>
      <c r="W16" s="1">
        <v>1.86433E-3</v>
      </c>
      <c r="X16" s="1" t="s">
        <v>575</v>
      </c>
      <c r="Y16" s="1" t="s">
        <v>575</v>
      </c>
      <c r="Z16" s="1">
        <v>0.225804</v>
      </c>
      <c r="AA16" s="1" t="s">
        <v>575</v>
      </c>
      <c r="AB16" s="1" t="s">
        <v>575</v>
      </c>
      <c r="AC16" s="1">
        <v>3.5950700000000001E-3</v>
      </c>
      <c r="AD16" s="1">
        <v>0.55680600000000002</v>
      </c>
      <c r="AE16" s="1">
        <v>5.3031800000000002E-3</v>
      </c>
    </row>
    <row r="17" spans="1:31" x14ac:dyDescent="0.3">
      <c r="A17" t="s">
        <v>311</v>
      </c>
      <c r="B17" t="s">
        <v>338</v>
      </c>
      <c r="C17" t="s">
        <v>571</v>
      </c>
      <c r="D17" t="s">
        <v>122</v>
      </c>
      <c r="E17" t="s">
        <v>257</v>
      </c>
      <c r="F17" t="s">
        <v>954</v>
      </c>
      <c r="G17">
        <v>-10.199999999999999</v>
      </c>
      <c r="H17">
        <v>0.1</v>
      </c>
      <c r="I17" s="1">
        <v>1.25708</v>
      </c>
      <c r="J17" s="1">
        <v>9.6577999999999999</v>
      </c>
      <c r="K17" s="1">
        <v>58.4895</v>
      </c>
      <c r="L17" s="1">
        <v>1.7932900000000002E-2</v>
      </c>
      <c r="M17" s="1">
        <v>0.17596200000000001</v>
      </c>
      <c r="N17" s="1">
        <v>1.0983400000000001</v>
      </c>
      <c r="O17" s="1">
        <v>9.5221999999999998</v>
      </c>
      <c r="P17" s="1">
        <v>3.63328E-3</v>
      </c>
      <c r="Q17" s="1" t="s">
        <v>575</v>
      </c>
      <c r="R17" s="1">
        <v>3.09694</v>
      </c>
      <c r="S17" s="1">
        <v>2.6211799999999998</v>
      </c>
      <c r="T17" s="1" t="s">
        <v>575</v>
      </c>
      <c r="U17" s="1">
        <v>8.6282000000000008E-3</v>
      </c>
      <c r="V17" s="1">
        <v>1.3869899999999999E-2</v>
      </c>
      <c r="W17" s="1">
        <v>1.7144899999999999E-3</v>
      </c>
      <c r="X17" s="1">
        <v>6.7332199999999998E-3</v>
      </c>
      <c r="Y17" s="1" t="s">
        <v>575</v>
      </c>
      <c r="Z17" s="1">
        <v>0.40533400000000003</v>
      </c>
      <c r="AA17" s="1" t="s">
        <v>575</v>
      </c>
      <c r="AB17" s="1" t="s">
        <v>575</v>
      </c>
      <c r="AC17" s="1">
        <v>4.7336399999999999E-4</v>
      </c>
      <c r="AD17" s="1">
        <v>0.99830200000000002</v>
      </c>
      <c r="AE17" s="1">
        <v>3.0669099999999999E-3</v>
      </c>
    </row>
    <row r="18" spans="1:31" x14ac:dyDescent="0.3">
      <c r="A18" t="s">
        <v>312</v>
      </c>
      <c r="B18" t="s">
        <v>338</v>
      </c>
      <c r="C18" t="s">
        <v>571</v>
      </c>
      <c r="D18" t="s">
        <v>122</v>
      </c>
      <c r="E18" t="s">
        <v>257</v>
      </c>
      <c r="F18" t="s">
        <v>954</v>
      </c>
      <c r="G18">
        <v>-10.199999999999999</v>
      </c>
      <c r="H18">
        <v>0.1</v>
      </c>
      <c r="I18" s="1">
        <v>0.84921899999999995</v>
      </c>
      <c r="J18" s="1">
        <v>8.5471400000000006</v>
      </c>
      <c r="K18" s="1">
        <v>60.121699999999997</v>
      </c>
      <c r="L18" s="1">
        <v>2.2987899999999999E-2</v>
      </c>
      <c r="M18" s="1">
        <v>0.12145</v>
      </c>
      <c r="N18" s="1">
        <v>1.57927</v>
      </c>
      <c r="O18" s="1">
        <v>17.7606</v>
      </c>
      <c r="P18" s="1">
        <v>9.1866499999999993E-3</v>
      </c>
      <c r="Q18" s="1" t="s">
        <v>575</v>
      </c>
      <c r="R18" s="1">
        <v>1.80985</v>
      </c>
      <c r="S18" s="1">
        <v>3.0140199999999999</v>
      </c>
      <c r="T18" s="1" t="s">
        <v>575</v>
      </c>
      <c r="U18" s="1">
        <v>6.0727899999999998E-3</v>
      </c>
      <c r="V18" s="1">
        <v>1.81427E-3</v>
      </c>
      <c r="W18" s="1">
        <v>1.0108599999999999E-3</v>
      </c>
      <c r="X18" s="1">
        <v>3.7266199999999999E-3</v>
      </c>
      <c r="Y18" s="1">
        <v>3.3686200000000001E-3</v>
      </c>
      <c r="Z18" s="1">
        <v>0.45946100000000001</v>
      </c>
      <c r="AA18" s="1">
        <v>2.3215800000000002E-3</v>
      </c>
      <c r="AB18" s="1" t="s">
        <v>575</v>
      </c>
      <c r="AC18" s="1">
        <v>3.4124099999999999E-4</v>
      </c>
      <c r="AD18" s="1">
        <v>1.0024900000000001</v>
      </c>
      <c r="AE18" s="1">
        <v>4.1225000000000003E-3</v>
      </c>
    </row>
    <row r="19" spans="1:31" x14ac:dyDescent="0.3">
      <c r="A19" t="s">
        <v>313</v>
      </c>
      <c r="B19" t="s">
        <v>338</v>
      </c>
      <c r="C19" t="s">
        <v>571</v>
      </c>
      <c r="D19" t="s">
        <v>122</v>
      </c>
      <c r="E19" t="s">
        <v>257</v>
      </c>
      <c r="F19" t="s">
        <v>954</v>
      </c>
      <c r="G19">
        <v>-10.199999999999999</v>
      </c>
      <c r="H19">
        <v>0.1</v>
      </c>
      <c r="I19" s="1">
        <v>0.94897500000000001</v>
      </c>
      <c r="J19" s="1">
        <v>7.4273899999999999</v>
      </c>
      <c r="K19" s="1">
        <v>59.756700000000002</v>
      </c>
      <c r="L19" s="1">
        <v>1.5989199999999999E-2</v>
      </c>
      <c r="M19" s="1">
        <v>0.110497</v>
      </c>
      <c r="N19" s="1">
        <v>1.5378700000000001</v>
      </c>
      <c r="O19" s="1">
        <v>12.072699999999999</v>
      </c>
      <c r="P19" s="1">
        <v>2.9535E-3</v>
      </c>
      <c r="Q19" s="1" t="s">
        <v>575</v>
      </c>
      <c r="R19" s="1">
        <v>2.4639000000000002</v>
      </c>
      <c r="S19" s="1">
        <v>2.3832399999999998</v>
      </c>
      <c r="T19" s="1" t="s">
        <v>575</v>
      </c>
      <c r="U19" s="1">
        <v>3.6510599999999998E-3</v>
      </c>
      <c r="V19" s="1">
        <v>1.0044100000000001E-3</v>
      </c>
      <c r="W19" s="1">
        <v>1.2684599999999999E-3</v>
      </c>
      <c r="X19" s="1">
        <v>4.6663199999999998E-3</v>
      </c>
      <c r="Y19" s="1">
        <v>6.53004E-3</v>
      </c>
      <c r="Z19" s="1">
        <v>0.55628</v>
      </c>
      <c r="AA19" s="1" t="s">
        <v>575</v>
      </c>
      <c r="AB19" s="1" t="s">
        <v>575</v>
      </c>
      <c r="AC19" s="1" t="s">
        <v>575</v>
      </c>
      <c r="AD19" s="1">
        <v>0.48055999999999999</v>
      </c>
      <c r="AE19" s="1">
        <v>1.2992099999999999E-2</v>
      </c>
    </row>
    <row r="20" spans="1:31" x14ac:dyDescent="0.3">
      <c r="A20" t="s">
        <v>314</v>
      </c>
      <c r="B20" t="s">
        <v>338</v>
      </c>
      <c r="C20" t="s">
        <v>571</v>
      </c>
      <c r="D20" t="s">
        <v>122</v>
      </c>
      <c r="E20" t="s">
        <v>257</v>
      </c>
      <c r="F20" t="s">
        <v>954</v>
      </c>
      <c r="G20">
        <v>-10.199999999999999</v>
      </c>
      <c r="H20">
        <v>0.1</v>
      </c>
      <c r="I20" s="1">
        <v>12.805</v>
      </c>
      <c r="J20" s="1">
        <v>5.4846199999999996</v>
      </c>
      <c r="K20" s="1">
        <v>62.3919</v>
      </c>
      <c r="L20" s="1">
        <v>1.30657E-2</v>
      </c>
      <c r="M20" s="1">
        <v>6.9256700000000004E-2</v>
      </c>
      <c r="N20" s="1">
        <v>1.7734700000000001</v>
      </c>
      <c r="O20" s="1">
        <v>16.298400000000001</v>
      </c>
      <c r="P20" s="1">
        <v>4.5397600000000003E-2</v>
      </c>
      <c r="Q20" s="1" t="s">
        <v>575</v>
      </c>
      <c r="R20" s="1">
        <v>3.6408900000000002</v>
      </c>
      <c r="S20" s="1">
        <v>2.2028300000000001</v>
      </c>
      <c r="T20" s="1" t="s">
        <v>575</v>
      </c>
      <c r="U20" s="1">
        <v>2.7106600000000002E-3</v>
      </c>
      <c r="V20" s="1" t="s">
        <v>575</v>
      </c>
      <c r="W20" s="1">
        <v>1.0564999999999999E-3</v>
      </c>
      <c r="X20" s="1">
        <v>1.16966E-2</v>
      </c>
      <c r="Y20" s="1">
        <v>3.0530000000000002E-2</v>
      </c>
      <c r="Z20" s="1">
        <v>0.36274499999999998</v>
      </c>
      <c r="AA20" s="1" t="s">
        <v>575</v>
      </c>
      <c r="AB20" s="1" t="s">
        <v>575</v>
      </c>
      <c r="AC20" s="1">
        <v>4.15512E-3</v>
      </c>
      <c r="AD20" s="1">
        <v>0.78070899999999999</v>
      </c>
      <c r="AE20" s="1">
        <v>3.7759400000000002E-3</v>
      </c>
    </row>
    <row r="21" spans="1:31" x14ac:dyDescent="0.3">
      <c r="A21" t="s">
        <v>315</v>
      </c>
      <c r="B21" t="s">
        <v>338</v>
      </c>
      <c r="C21" t="s">
        <v>571</v>
      </c>
      <c r="D21" t="s">
        <v>122</v>
      </c>
      <c r="E21" t="s">
        <v>257</v>
      </c>
      <c r="F21" t="s">
        <v>954</v>
      </c>
      <c r="G21">
        <v>-10.199999999999999</v>
      </c>
      <c r="H21">
        <v>0.1</v>
      </c>
      <c r="I21" s="1">
        <v>24.362400000000001</v>
      </c>
      <c r="J21" s="1">
        <v>9.3417999999999992</v>
      </c>
      <c r="K21" s="1">
        <v>228.36600000000001</v>
      </c>
      <c r="L21" s="1">
        <v>4.4203699999999999E-2</v>
      </c>
      <c r="M21" s="1">
        <v>0.32647700000000002</v>
      </c>
      <c r="N21" s="1">
        <v>2.0598399999999999</v>
      </c>
      <c r="O21" s="1">
        <v>24.192599999999999</v>
      </c>
      <c r="P21" s="1">
        <v>7.6397300000000001E-2</v>
      </c>
      <c r="Q21" s="1">
        <v>0.118839</v>
      </c>
      <c r="R21" s="1">
        <v>3.8020499999999999</v>
      </c>
      <c r="S21" s="1">
        <v>2.1023100000000001</v>
      </c>
      <c r="T21" s="1" t="s">
        <v>575</v>
      </c>
      <c r="U21" s="1" t="s">
        <v>575</v>
      </c>
      <c r="V21" s="1">
        <v>2.5221200000000001E-3</v>
      </c>
      <c r="W21" s="1">
        <v>4.7877400000000004E-3</v>
      </c>
      <c r="X21" s="1" t="s">
        <v>575</v>
      </c>
      <c r="Y21" s="1">
        <v>1.14635E-3</v>
      </c>
      <c r="Z21" s="1">
        <v>0.24213200000000001</v>
      </c>
      <c r="AA21" s="1">
        <v>1.8355400000000001E-3</v>
      </c>
      <c r="AB21" s="1" t="s">
        <v>575</v>
      </c>
      <c r="AC21" s="1">
        <v>5.85003E-3</v>
      </c>
      <c r="AD21" s="1">
        <v>0.42812099999999997</v>
      </c>
      <c r="AE21" s="1">
        <v>1.06173E-2</v>
      </c>
    </row>
    <row r="22" spans="1:31" x14ac:dyDescent="0.3">
      <c r="A22" t="s">
        <v>316</v>
      </c>
      <c r="B22" t="s">
        <v>338</v>
      </c>
      <c r="C22" t="s">
        <v>571</v>
      </c>
      <c r="D22" t="s">
        <v>122</v>
      </c>
      <c r="E22" t="s">
        <v>257</v>
      </c>
      <c r="F22" t="s">
        <v>954</v>
      </c>
      <c r="G22">
        <v>-10.199999999999999</v>
      </c>
      <c r="H22">
        <v>0.1</v>
      </c>
      <c r="I22" s="1">
        <v>36.031999999999996</v>
      </c>
      <c r="J22" s="1">
        <v>15.4726</v>
      </c>
      <c r="K22" s="1">
        <v>257.12700000000001</v>
      </c>
      <c r="L22" s="1">
        <v>6.4504400000000003E-2</v>
      </c>
      <c r="M22" s="1">
        <v>0.52825599999999995</v>
      </c>
      <c r="N22" s="1">
        <v>3.50508</v>
      </c>
      <c r="O22" s="1">
        <v>81.727900000000005</v>
      </c>
      <c r="P22" s="1">
        <v>0.107304</v>
      </c>
      <c r="Q22" s="1">
        <v>0.33720600000000001</v>
      </c>
      <c r="R22" s="1">
        <v>4.3678100000000004</v>
      </c>
      <c r="S22" s="1">
        <v>1.2519800000000001</v>
      </c>
      <c r="T22" s="1" t="s">
        <v>575</v>
      </c>
      <c r="U22" s="1">
        <v>3.2787000000000003E-5</v>
      </c>
      <c r="V22" s="1">
        <v>1.01663E-2</v>
      </c>
      <c r="W22" s="1">
        <v>4.1327500000000001E-3</v>
      </c>
      <c r="X22" s="1">
        <v>2.0045E-2</v>
      </c>
      <c r="Y22" s="1">
        <v>6.6018400000000005E-2</v>
      </c>
      <c r="Z22" s="1">
        <v>0.16053799999999999</v>
      </c>
      <c r="AA22" s="1">
        <v>1.01168E-3</v>
      </c>
      <c r="AB22" s="1" t="s">
        <v>575</v>
      </c>
      <c r="AC22" s="1">
        <v>1.04218E-2</v>
      </c>
      <c r="AD22" s="1">
        <v>0.42092400000000002</v>
      </c>
      <c r="AE22" s="1">
        <v>2.1347700000000001E-2</v>
      </c>
    </row>
    <row r="23" spans="1:31" x14ac:dyDescent="0.3">
      <c r="A23" t="s">
        <v>317</v>
      </c>
      <c r="B23" t="s">
        <v>338</v>
      </c>
      <c r="C23" t="s">
        <v>571</v>
      </c>
      <c r="D23" t="s">
        <v>122</v>
      </c>
      <c r="E23" t="s">
        <v>257</v>
      </c>
      <c r="F23" t="s">
        <v>954</v>
      </c>
      <c r="G23">
        <v>-10.199999999999999</v>
      </c>
      <c r="H23">
        <v>0.1</v>
      </c>
      <c r="I23" s="1">
        <v>18.0962</v>
      </c>
      <c r="J23" s="1">
        <v>7.6240199999999998</v>
      </c>
      <c r="K23" s="1">
        <v>106.971</v>
      </c>
      <c r="L23" s="1">
        <v>3.0350499999999999E-2</v>
      </c>
      <c r="M23" s="1">
        <v>0.18809300000000001</v>
      </c>
      <c r="N23" s="1">
        <v>1.7871699999999999</v>
      </c>
      <c r="O23" s="1">
        <v>18.547799999999999</v>
      </c>
      <c r="P23" s="1">
        <v>4.3341699999999997E-2</v>
      </c>
      <c r="Q23" s="1">
        <v>1.0345500000000001E-2</v>
      </c>
      <c r="R23" s="1">
        <v>2.7859699999999998</v>
      </c>
      <c r="S23" s="1">
        <v>1.8009299999999999</v>
      </c>
      <c r="T23" s="1" t="s">
        <v>575</v>
      </c>
      <c r="U23" s="1" t="s">
        <v>575</v>
      </c>
      <c r="V23" s="1" t="s">
        <v>575</v>
      </c>
      <c r="W23" s="1">
        <v>1.9212700000000001E-3</v>
      </c>
      <c r="X23" s="1">
        <v>1.96261E-2</v>
      </c>
      <c r="Y23" s="1">
        <v>2.0505499999999999E-2</v>
      </c>
      <c r="Z23" s="1">
        <v>0.26805400000000001</v>
      </c>
      <c r="AA23" s="1" t="s">
        <v>575</v>
      </c>
      <c r="AB23" s="1" t="s">
        <v>575</v>
      </c>
      <c r="AC23" s="1">
        <v>2.5036899999999998E-3</v>
      </c>
      <c r="AD23" s="1">
        <v>0.19748599999999999</v>
      </c>
      <c r="AE23" s="1">
        <v>6.2801300000000001E-3</v>
      </c>
    </row>
    <row r="24" spans="1:31" x14ac:dyDescent="0.3">
      <c r="A24" t="s">
        <v>318</v>
      </c>
      <c r="B24" t="s">
        <v>338</v>
      </c>
      <c r="C24" t="s">
        <v>571</v>
      </c>
      <c r="D24" t="s">
        <v>122</v>
      </c>
      <c r="E24" t="s">
        <v>257</v>
      </c>
      <c r="F24" t="s">
        <v>954</v>
      </c>
      <c r="G24">
        <v>-10.199999999999999</v>
      </c>
      <c r="H24">
        <v>0.1</v>
      </c>
      <c r="I24" s="1">
        <v>1.2083299999999999</v>
      </c>
      <c r="J24" s="1">
        <v>5.9919900000000004</v>
      </c>
      <c r="K24" s="1">
        <v>127.074</v>
      </c>
      <c r="L24" s="1">
        <v>4.6685299999999999E-2</v>
      </c>
      <c r="M24" s="1">
        <v>0.13344200000000001</v>
      </c>
      <c r="N24" s="1">
        <v>1.8228200000000001</v>
      </c>
      <c r="O24" s="1">
        <v>10.1601</v>
      </c>
      <c r="P24" s="1">
        <v>8.5131400000000006E-3</v>
      </c>
      <c r="Q24" s="1">
        <v>8.1596699999999994E-2</v>
      </c>
      <c r="R24" s="1">
        <v>3.4892300000000001</v>
      </c>
      <c r="S24" s="1">
        <v>2.4145599999999998</v>
      </c>
      <c r="T24" s="1" t="s">
        <v>575</v>
      </c>
      <c r="U24" s="1">
        <v>3.5884799999999998E-3</v>
      </c>
      <c r="V24" s="1" t="s">
        <v>575</v>
      </c>
      <c r="W24" s="1" t="s">
        <v>575</v>
      </c>
      <c r="X24" s="1">
        <v>8.2558900000000001E-3</v>
      </c>
      <c r="Y24" s="1" t="s">
        <v>575</v>
      </c>
      <c r="Z24" s="1">
        <v>0.25952700000000001</v>
      </c>
      <c r="AA24" s="1" t="s">
        <v>575</v>
      </c>
      <c r="AB24" s="1" t="s">
        <v>575</v>
      </c>
      <c r="AC24" s="1">
        <v>1.1141499999999999E-3</v>
      </c>
      <c r="AD24" s="1">
        <v>0.392623</v>
      </c>
      <c r="AE24" s="1">
        <v>8.7419000000000004E-3</v>
      </c>
    </row>
    <row r="25" spans="1:31" x14ac:dyDescent="0.3">
      <c r="A25" t="s">
        <v>319</v>
      </c>
      <c r="B25" t="s">
        <v>338</v>
      </c>
      <c r="C25" t="s">
        <v>571</v>
      </c>
      <c r="D25" t="s">
        <v>122</v>
      </c>
      <c r="E25" t="s">
        <v>257</v>
      </c>
      <c r="F25" t="s">
        <v>954</v>
      </c>
      <c r="G25">
        <v>-10.199999999999999</v>
      </c>
      <c r="H25">
        <v>0.1</v>
      </c>
      <c r="I25" s="1">
        <v>0.71944600000000003</v>
      </c>
      <c r="J25" s="1">
        <v>6.1096500000000002</v>
      </c>
      <c r="K25" s="1">
        <v>41.525799999999997</v>
      </c>
      <c r="L25" s="1">
        <v>1.94813E-2</v>
      </c>
      <c r="M25" s="1">
        <v>9.7169500000000006E-2</v>
      </c>
      <c r="N25" s="1">
        <v>1.22414</v>
      </c>
      <c r="O25" s="1">
        <v>9.3610799999999994</v>
      </c>
      <c r="P25" s="1">
        <v>9.6049199999999994E-3</v>
      </c>
      <c r="Q25" s="1">
        <v>0.103759</v>
      </c>
      <c r="R25" s="1">
        <v>3.1607799999999999</v>
      </c>
      <c r="S25" s="1">
        <v>1.64801</v>
      </c>
      <c r="T25" s="1" t="s">
        <v>575</v>
      </c>
      <c r="U25" s="1">
        <v>3.0249299999999999E-3</v>
      </c>
      <c r="V25" s="1">
        <v>1.6017099999999999E-3</v>
      </c>
      <c r="W25" s="1" t="s">
        <v>575</v>
      </c>
      <c r="X25" s="1">
        <v>3.4272900000000002E-2</v>
      </c>
      <c r="Y25" s="1" t="s">
        <v>575</v>
      </c>
      <c r="Z25" s="1">
        <v>0.168984</v>
      </c>
      <c r="AA25" s="1">
        <v>8.3812000000000001E-3</v>
      </c>
      <c r="AB25" s="1" t="s">
        <v>575</v>
      </c>
      <c r="AC25" s="1">
        <v>5.1916200000000001E-3</v>
      </c>
      <c r="AD25" s="1">
        <v>0.34743800000000002</v>
      </c>
      <c r="AE25" s="1">
        <v>1.0098599999999999E-2</v>
      </c>
    </row>
    <row r="26" spans="1:31" x14ac:dyDescent="0.3">
      <c r="A26" t="s">
        <v>320</v>
      </c>
      <c r="B26" t="s">
        <v>338</v>
      </c>
      <c r="C26" t="s">
        <v>571</v>
      </c>
      <c r="D26" t="s">
        <v>122</v>
      </c>
      <c r="E26" t="s">
        <v>257</v>
      </c>
      <c r="F26" t="s">
        <v>954</v>
      </c>
      <c r="G26">
        <v>-10.199999999999999</v>
      </c>
      <c r="H26">
        <v>0.1</v>
      </c>
      <c r="I26" s="1">
        <v>0.85342600000000002</v>
      </c>
      <c r="J26" s="1">
        <v>7.2920999999999996</v>
      </c>
      <c r="K26" s="1">
        <v>78.562600000000003</v>
      </c>
      <c r="L26" s="1">
        <v>2.93887E-2</v>
      </c>
      <c r="M26" s="1">
        <v>0.234844</v>
      </c>
      <c r="N26" s="1">
        <v>4.3018799999999997</v>
      </c>
      <c r="O26" s="1">
        <v>11.099</v>
      </c>
      <c r="P26" s="1">
        <v>1.63692E-3</v>
      </c>
      <c r="Q26" s="1" t="s">
        <v>575</v>
      </c>
      <c r="R26" s="1">
        <v>2.67178</v>
      </c>
      <c r="S26" s="1">
        <v>3.5007000000000001</v>
      </c>
      <c r="T26" s="1" t="s">
        <v>575</v>
      </c>
      <c r="U26" s="1">
        <v>7.7049500000000003E-3</v>
      </c>
      <c r="V26" s="1" t="s">
        <v>575</v>
      </c>
      <c r="W26" s="1">
        <v>5.8512299999999998E-3</v>
      </c>
      <c r="X26" s="1">
        <v>6.4666799999999997E-2</v>
      </c>
      <c r="Y26" s="1">
        <v>2.7275899999999999E-2</v>
      </c>
      <c r="Z26" s="1">
        <v>0.43814900000000001</v>
      </c>
      <c r="AA26" s="1">
        <v>1.1682499999999999E-4</v>
      </c>
      <c r="AB26" s="1" t="s">
        <v>575</v>
      </c>
      <c r="AC26" s="1" t="s">
        <v>575</v>
      </c>
      <c r="AD26" s="1">
        <v>2.32484</v>
      </c>
      <c r="AE26" s="1">
        <v>9.4408200000000008E-3</v>
      </c>
    </row>
    <row r="27" spans="1:31" x14ac:dyDescent="0.3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3">
      <c r="A28" t="s">
        <v>256</v>
      </c>
      <c r="B28" t="s">
        <v>250</v>
      </c>
      <c r="C28" t="s">
        <v>364</v>
      </c>
      <c r="D28" t="s">
        <v>120</v>
      </c>
      <c r="E28" t="s">
        <v>257</v>
      </c>
      <c r="F28" t="s">
        <v>574</v>
      </c>
      <c r="G28">
        <v>-10.6</v>
      </c>
      <c r="I28" s="1">
        <v>1.1486700000000001</v>
      </c>
      <c r="J28" s="1">
        <v>3.9230999999999998</v>
      </c>
      <c r="K28" s="1">
        <v>43.472900000000003</v>
      </c>
      <c r="L28" s="1">
        <v>7.6971700000000004E-2</v>
      </c>
      <c r="M28" s="1">
        <v>1.7010600000000001E-2</v>
      </c>
      <c r="N28" s="1">
        <v>6.3246799999999999</v>
      </c>
      <c r="O28" s="1">
        <v>4.5064799999999998</v>
      </c>
      <c r="P28" s="1">
        <v>1.5605000000000001E-2</v>
      </c>
      <c r="Q28" s="1">
        <v>7.3023199999999996E-2</v>
      </c>
      <c r="R28" s="1">
        <v>23.831</v>
      </c>
      <c r="S28" s="1">
        <v>14.0145</v>
      </c>
      <c r="T28" s="1">
        <v>3.6345100000000001</v>
      </c>
      <c r="U28" s="1">
        <v>1.6079099999999999E-2</v>
      </c>
      <c r="V28" s="1">
        <v>4.6980599999999997E-2</v>
      </c>
      <c r="W28" s="1">
        <v>4.89837E-3</v>
      </c>
      <c r="X28" s="1">
        <v>1.00211E-2</v>
      </c>
      <c r="Y28" s="1">
        <v>2.0634099999999999E-2</v>
      </c>
      <c r="Z28" s="1">
        <v>1.8640099999999999</v>
      </c>
      <c r="AA28" s="1">
        <v>4.9162600000000004E-3</v>
      </c>
      <c r="AB28" s="1">
        <v>0.78929000000000005</v>
      </c>
      <c r="AC28" s="1">
        <v>4.5683199999999998E-3</v>
      </c>
      <c r="AD28" s="1">
        <v>0.38695299999999999</v>
      </c>
      <c r="AE28" s="1">
        <v>5.4060499999999999E-3</v>
      </c>
    </row>
    <row r="29" spans="1:31" x14ac:dyDescent="0.3">
      <c r="A29" t="s">
        <v>258</v>
      </c>
      <c r="B29" t="s">
        <v>250</v>
      </c>
      <c r="C29" t="s">
        <v>364</v>
      </c>
      <c r="D29" t="s">
        <v>120</v>
      </c>
      <c r="E29" t="s">
        <v>257</v>
      </c>
      <c r="F29" t="s">
        <v>574</v>
      </c>
      <c r="G29">
        <v>-10.6</v>
      </c>
      <c r="I29" s="1">
        <v>0.98480900000000005</v>
      </c>
      <c r="J29" s="1">
        <v>3.1151</v>
      </c>
      <c r="K29" s="1">
        <v>36.929200000000002</v>
      </c>
      <c r="L29" s="1">
        <v>4.9090700000000001E-2</v>
      </c>
      <c r="M29" s="1">
        <v>7.2592699999999996E-2</v>
      </c>
      <c r="N29" s="1">
        <v>6.2241799999999996</v>
      </c>
      <c r="O29" s="1">
        <v>5.0723099999999999</v>
      </c>
      <c r="P29" s="1">
        <v>1.16924E-2</v>
      </c>
      <c r="Q29" s="1">
        <v>7.6382199999999997E-2</v>
      </c>
      <c r="R29" s="1">
        <v>25.485499999999998</v>
      </c>
      <c r="S29" s="1">
        <v>13.8279</v>
      </c>
      <c r="T29" s="1">
        <v>3.6661700000000002</v>
      </c>
      <c r="U29" s="1">
        <v>1.4231300000000001E-2</v>
      </c>
      <c r="V29" s="1">
        <v>3.2712400000000003E-2</v>
      </c>
      <c r="W29" s="1">
        <v>6.6071899999999998E-3</v>
      </c>
      <c r="X29" s="1">
        <v>2.8067700000000001E-2</v>
      </c>
      <c r="Y29" s="1">
        <v>2.7743199999999999E-2</v>
      </c>
      <c r="Z29" s="1">
        <v>1.9892099999999999</v>
      </c>
      <c r="AA29" s="1">
        <v>1.8153799999999999E-3</v>
      </c>
      <c r="AB29" s="1">
        <v>0.745116</v>
      </c>
      <c r="AC29" s="1">
        <v>2.4427899999999998E-3</v>
      </c>
      <c r="AD29" s="1">
        <v>0.44135099999999999</v>
      </c>
      <c r="AE29" s="1">
        <v>9.8122799999999996E-3</v>
      </c>
    </row>
    <row r="30" spans="1:31" x14ac:dyDescent="0.3">
      <c r="A30" t="s">
        <v>259</v>
      </c>
      <c r="B30" t="s">
        <v>250</v>
      </c>
      <c r="C30" t="s">
        <v>364</v>
      </c>
      <c r="D30" t="s">
        <v>120</v>
      </c>
      <c r="E30" t="s">
        <v>257</v>
      </c>
      <c r="F30" t="s">
        <v>574</v>
      </c>
      <c r="G30">
        <v>-10.6</v>
      </c>
      <c r="I30" s="1">
        <v>1.1039600000000001</v>
      </c>
      <c r="J30" s="1">
        <v>1.8097399999999999</v>
      </c>
      <c r="K30" s="1">
        <v>36.703000000000003</v>
      </c>
      <c r="L30" s="1">
        <v>2.21867E-2</v>
      </c>
      <c r="M30" s="1">
        <v>4.3635599999999997E-2</v>
      </c>
      <c r="N30" s="1">
        <v>4.6023399999999999</v>
      </c>
      <c r="O30" s="1">
        <v>3.5286599999999999</v>
      </c>
      <c r="P30" s="1">
        <v>6.6799499999999996E-3</v>
      </c>
      <c r="Q30" s="1">
        <v>3.5514900000000002E-2</v>
      </c>
      <c r="R30" s="1">
        <v>42.784199999999998</v>
      </c>
      <c r="S30" s="1">
        <v>13.651300000000001</v>
      </c>
      <c r="T30" s="1">
        <v>9.9169999999999998</v>
      </c>
      <c r="U30" s="1">
        <v>4.1433499999999998E-2</v>
      </c>
      <c r="V30" s="1">
        <v>3.6840299999999999E-2</v>
      </c>
      <c r="W30" s="1">
        <v>3.9861999999999996E-3</v>
      </c>
      <c r="X30" s="1">
        <v>2.4528000000000001E-2</v>
      </c>
      <c r="Y30" s="1">
        <v>2.1767499999999999E-2</v>
      </c>
      <c r="Z30" s="1">
        <v>1.99413</v>
      </c>
      <c r="AA30" s="1" t="s">
        <v>575</v>
      </c>
      <c r="AB30" s="1">
        <v>0.89790700000000001</v>
      </c>
      <c r="AC30" s="1">
        <v>3.2020500000000001E-3</v>
      </c>
      <c r="AD30" s="1">
        <v>0.81733199999999995</v>
      </c>
      <c r="AE30" s="1">
        <v>2.05112E-2</v>
      </c>
    </row>
    <row r="31" spans="1:31" x14ac:dyDescent="0.3">
      <c r="A31" t="s">
        <v>260</v>
      </c>
      <c r="B31" t="s">
        <v>250</v>
      </c>
      <c r="C31" t="s">
        <v>364</v>
      </c>
      <c r="D31" t="s">
        <v>120</v>
      </c>
      <c r="E31" t="s">
        <v>257</v>
      </c>
      <c r="F31" t="s">
        <v>574</v>
      </c>
      <c r="G31">
        <v>-10.6</v>
      </c>
      <c r="I31" s="1">
        <v>0.97824699999999998</v>
      </c>
      <c r="J31" s="1">
        <v>3.60426</v>
      </c>
      <c r="K31" s="1">
        <v>43.633800000000001</v>
      </c>
      <c r="L31" s="1">
        <v>5.5895500000000001E-2</v>
      </c>
      <c r="M31" s="1">
        <v>5.0854900000000001E-2</v>
      </c>
      <c r="N31" s="1">
        <v>1.29138</v>
      </c>
      <c r="O31" s="1">
        <v>3.9778799999999999</v>
      </c>
      <c r="P31" s="1">
        <v>1.1620399999999999E-2</v>
      </c>
      <c r="Q31" s="1">
        <v>8.387E-2</v>
      </c>
      <c r="R31" s="1">
        <v>25.675599999999999</v>
      </c>
      <c r="S31" s="1">
        <v>9.6044499999999999</v>
      </c>
      <c r="T31" s="1">
        <v>1.30809</v>
      </c>
      <c r="U31" s="1">
        <v>6.3517799999999996E-3</v>
      </c>
      <c r="V31" s="1">
        <v>5.6416099999999997E-2</v>
      </c>
      <c r="W31" s="1">
        <v>1.10374E-3</v>
      </c>
      <c r="X31" s="1">
        <v>1.8972500000000001E-3</v>
      </c>
      <c r="Y31" s="1">
        <v>1.11643E-2</v>
      </c>
      <c r="Z31" s="1">
        <v>1.60016</v>
      </c>
      <c r="AA31" s="1">
        <v>3.8728299999999998E-4</v>
      </c>
      <c r="AB31" s="1">
        <v>0.57496100000000006</v>
      </c>
      <c r="AC31" s="1" t="s">
        <v>575</v>
      </c>
      <c r="AD31" s="1">
        <v>0.41331299999999999</v>
      </c>
      <c r="AE31" s="1">
        <v>4.3109999999999997E-3</v>
      </c>
    </row>
    <row r="32" spans="1:31" x14ac:dyDescent="0.3">
      <c r="A32" t="s">
        <v>261</v>
      </c>
      <c r="B32" t="s">
        <v>250</v>
      </c>
      <c r="C32" t="s">
        <v>364</v>
      </c>
      <c r="D32" t="s">
        <v>120</v>
      </c>
      <c r="E32" t="s">
        <v>257</v>
      </c>
      <c r="F32" t="s">
        <v>574</v>
      </c>
      <c r="G32">
        <v>-10.6</v>
      </c>
      <c r="I32" s="1">
        <v>1.1900200000000001</v>
      </c>
      <c r="J32" s="1">
        <v>4.8790300000000002</v>
      </c>
      <c r="K32" s="1">
        <v>47.694200000000002</v>
      </c>
      <c r="L32" s="1">
        <v>5.0167499999999997E-2</v>
      </c>
      <c r="M32" s="1">
        <v>0.10359500000000001</v>
      </c>
      <c r="N32" s="1">
        <v>5.9220800000000002</v>
      </c>
      <c r="O32" s="1">
        <v>6.9371600000000004</v>
      </c>
      <c r="P32" s="1">
        <v>1.0975199999999999E-2</v>
      </c>
      <c r="Q32" s="1">
        <v>5.3172499999999998E-2</v>
      </c>
      <c r="R32" s="1">
        <v>47.657400000000003</v>
      </c>
      <c r="S32" s="1">
        <v>10.598599999999999</v>
      </c>
      <c r="T32" s="1">
        <v>6.6147999999999998</v>
      </c>
      <c r="U32" s="1">
        <v>2.3500799999999999E-2</v>
      </c>
      <c r="V32" s="1">
        <v>7.6725399999999999E-2</v>
      </c>
      <c r="W32" s="1">
        <v>4.1192700000000004E-3</v>
      </c>
      <c r="X32" s="1">
        <v>3.6064999999999999E-3</v>
      </c>
      <c r="Y32" s="1">
        <v>2.4350799999999999E-2</v>
      </c>
      <c r="Z32" s="1">
        <v>1.47645</v>
      </c>
      <c r="AA32" s="1">
        <v>4.1537900000000001E-3</v>
      </c>
      <c r="AB32" s="1">
        <v>0.70059800000000005</v>
      </c>
      <c r="AC32" s="1" t="s">
        <v>575</v>
      </c>
      <c r="AD32" s="1">
        <v>0.66692300000000004</v>
      </c>
      <c r="AE32" s="1">
        <v>1.29192E-2</v>
      </c>
    </row>
    <row r="33" spans="1:31" x14ac:dyDescent="0.3">
      <c r="A33" t="s">
        <v>262</v>
      </c>
      <c r="B33" t="s">
        <v>250</v>
      </c>
      <c r="C33" t="s">
        <v>364</v>
      </c>
      <c r="D33" t="s">
        <v>120</v>
      </c>
      <c r="E33" t="s">
        <v>257</v>
      </c>
      <c r="F33" t="s">
        <v>574</v>
      </c>
      <c r="G33">
        <v>-10.6</v>
      </c>
      <c r="I33" s="1">
        <v>1.0854999999999999</v>
      </c>
      <c r="J33" s="1">
        <v>2.1049099999999998</v>
      </c>
      <c r="K33" s="1">
        <v>38.980899999999998</v>
      </c>
      <c r="L33" s="1">
        <v>3.1940900000000001E-2</v>
      </c>
      <c r="M33" s="1">
        <v>1.2818700000000001E-2</v>
      </c>
      <c r="N33" s="1">
        <v>4.7415700000000003</v>
      </c>
      <c r="O33" s="1">
        <v>3.8302700000000001</v>
      </c>
      <c r="P33" s="1">
        <v>1.4156E-2</v>
      </c>
      <c r="Q33" s="1">
        <v>6.9392999999999996E-2</v>
      </c>
      <c r="R33" s="1">
        <v>15.8352</v>
      </c>
      <c r="S33" s="1">
        <v>10.6686</v>
      </c>
      <c r="T33" s="1">
        <v>5.8851199999999997</v>
      </c>
      <c r="U33" s="1">
        <v>1.6349599999999999E-2</v>
      </c>
      <c r="V33" s="1">
        <v>3.18214E-2</v>
      </c>
      <c r="W33" s="1">
        <v>2.3122099999999999E-3</v>
      </c>
      <c r="X33" s="1">
        <v>6.6269800000000002E-3</v>
      </c>
      <c r="Y33" s="1">
        <v>2.3724100000000001E-2</v>
      </c>
      <c r="Z33" s="1">
        <v>1.3270500000000001</v>
      </c>
      <c r="AA33" s="1">
        <v>2.8473299999999999E-3</v>
      </c>
      <c r="AB33" s="1">
        <v>0.72616199999999997</v>
      </c>
      <c r="AC33" s="1">
        <v>2.9697600000000001E-3</v>
      </c>
      <c r="AD33" s="1">
        <v>0.29494100000000001</v>
      </c>
      <c r="AE33" s="1">
        <v>1.1514699999999999E-2</v>
      </c>
    </row>
    <row r="34" spans="1:31" x14ac:dyDescent="0.3">
      <c r="A34" t="s">
        <v>284</v>
      </c>
      <c r="B34" t="s">
        <v>250</v>
      </c>
      <c r="C34" t="s">
        <v>364</v>
      </c>
      <c r="D34" t="s">
        <v>120</v>
      </c>
      <c r="E34" t="s">
        <v>257</v>
      </c>
      <c r="F34" t="s">
        <v>574</v>
      </c>
      <c r="G34">
        <v>-10.6</v>
      </c>
      <c r="I34" s="1">
        <v>1.07019</v>
      </c>
      <c r="J34" s="1">
        <v>2.6922700000000002</v>
      </c>
      <c r="K34" s="1">
        <v>41.577199999999998</v>
      </c>
      <c r="L34" s="1">
        <v>5.67164E-2</v>
      </c>
      <c r="M34" s="1">
        <v>5.0864199999999998E-2</v>
      </c>
      <c r="N34" s="1">
        <v>4.5855100000000002</v>
      </c>
      <c r="O34" s="1">
        <v>3.49518</v>
      </c>
      <c r="P34" s="1">
        <v>2.2672399999999999E-2</v>
      </c>
      <c r="Q34" s="1">
        <v>3.4701599999999999E-2</v>
      </c>
      <c r="R34" s="1">
        <v>20.357900000000001</v>
      </c>
      <c r="S34" s="1">
        <v>12.869199999999999</v>
      </c>
      <c r="T34" s="1">
        <v>14.228899999999999</v>
      </c>
      <c r="U34" s="1">
        <v>6.5607900000000004E-3</v>
      </c>
      <c r="V34" s="1">
        <v>2.2963200000000001E-3</v>
      </c>
      <c r="W34" s="1">
        <v>3.77509E-3</v>
      </c>
      <c r="X34" s="1" t="s">
        <v>575</v>
      </c>
      <c r="Y34" s="1">
        <v>2.4780199999999999E-2</v>
      </c>
      <c r="Z34" s="1">
        <v>0.74467000000000005</v>
      </c>
      <c r="AA34" s="1" t="s">
        <v>575</v>
      </c>
      <c r="AB34" s="1">
        <v>8.9894300000000005</v>
      </c>
      <c r="AC34" s="1">
        <v>1.2850299999999999E-3</v>
      </c>
      <c r="AD34" s="1">
        <v>0.34595799999999999</v>
      </c>
      <c r="AE34" s="1">
        <v>7.6406299999999998E-3</v>
      </c>
    </row>
    <row r="35" spans="1:31" x14ac:dyDescent="0.3">
      <c r="A35" t="s">
        <v>285</v>
      </c>
      <c r="B35" t="s">
        <v>250</v>
      </c>
      <c r="C35" t="s">
        <v>364</v>
      </c>
      <c r="D35" t="s">
        <v>120</v>
      </c>
      <c r="E35" t="s">
        <v>257</v>
      </c>
      <c r="F35" t="s">
        <v>574</v>
      </c>
      <c r="G35">
        <v>-10.6</v>
      </c>
      <c r="I35" s="1">
        <v>1.5884100000000001</v>
      </c>
      <c r="J35" s="1">
        <v>5.1603399999999997</v>
      </c>
      <c r="K35" s="1">
        <v>58.093000000000004</v>
      </c>
      <c r="L35" s="1">
        <v>8.65451E-2</v>
      </c>
      <c r="M35" s="1">
        <v>5.4632800000000002E-2</v>
      </c>
      <c r="N35" s="1">
        <v>6.0054499999999997</v>
      </c>
      <c r="O35" s="1">
        <v>5.85161</v>
      </c>
      <c r="P35" s="1">
        <v>2.2858E-2</v>
      </c>
      <c r="Q35" s="1">
        <v>2.5533500000000001E-2</v>
      </c>
      <c r="R35" s="1">
        <v>18.193300000000001</v>
      </c>
      <c r="S35" s="1">
        <v>9.1954899999999995</v>
      </c>
      <c r="T35" s="1">
        <v>23.289200000000001</v>
      </c>
      <c r="U35" s="1">
        <v>2.4296499999999999E-2</v>
      </c>
      <c r="V35" s="1">
        <v>3.4407100000000003E-2</v>
      </c>
      <c r="W35" s="1">
        <v>5.5877499999999998E-3</v>
      </c>
      <c r="X35" s="1" t="s">
        <v>575</v>
      </c>
      <c r="Y35" s="1">
        <v>2.1080399999999999E-2</v>
      </c>
      <c r="Z35" s="1">
        <v>0.80077100000000001</v>
      </c>
      <c r="AA35" s="1">
        <v>2.9317499999999999E-3</v>
      </c>
      <c r="AB35" s="1">
        <v>13.157</v>
      </c>
      <c r="AC35" s="1">
        <v>2.7204999999999998E-3</v>
      </c>
      <c r="AD35" s="1">
        <v>0.39110099999999998</v>
      </c>
      <c r="AE35" s="1">
        <v>8.5226599999999996E-3</v>
      </c>
    </row>
    <row r="36" spans="1:31" x14ac:dyDescent="0.3">
      <c r="A36" t="s">
        <v>286</v>
      </c>
      <c r="B36" t="s">
        <v>250</v>
      </c>
      <c r="C36" t="s">
        <v>364</v>
      </c>
      <c r="D36" t="s">
        <v>120</v>
      </c>
      <c r="E36" t="s">
        <v>257</v>
      </c>
      <c r="F36" t="s">
        <v>574</v>
      </c>
      <c r="G36">
        <v>-10.6</v>
      </c>
      <c r="I36" s="1">
        <v>1.46296</v>
      </c>
      <c r="J36" s="1">
        <v>4.3380599999999996</v>
      </c>
      <c r="K36" s="1">
        <v>34.122500000000002</v>
      </c>
      <c r="L36" s="1">
        <v>5.8797599999999998E-2</v>
      </c>
      <c r="M36" s="1">
        <v>4.1444000000000002E-2</v>
      </c>
      <c r="N36" s="1">
        <v>5.5652999999999997</v>
      </c>
      <c r="O36" s="1">
        <v>5.2801</v>
      </c>
      <c r="P36" s="1">
        <v>2.4537900000000001E-2</v>
      </c>
      <c r="Q36" s="1">
        <v>6.5442799999999995E-2</v>
      </c>
      <c r="R36" s="1">
        <v>56.703899999999997</v>
      </c>
      <c r="S36" s="1">
        <v>9.3307900000000004</v>
      </c>
      <c r="T36" s="1">
        <v>98.43</v>
      </c>
      <c r="U36" s="1">
        <v>1.8664199999999999E-2</v>
      </c>
      <c r="V36" s="1">
        <v>7.5101100000000004E-2</v>
      </c>
      <c r="W36" s="1">
        <v>8.1028999999999997E-3</v>
      </c>
      <c r="X36" s="1" t="s">
        <v>575</v>
      </c>
      <c r="Y36" s="1" t="s">
        <v>575</v>
      </c>
      <c r="Z36" s="1">
        <v>0.63649900000000004</v>
      </c>
      <c r="AA36" s="1" t="s">
        <v>575</v>
      </c>
      <c r="AB36" s="1" t="s">
        <v>575</v>
      </c>
      <c r="AC36" s="1">
        <v>9.9526900000000001E-3</v>
      </c>
      <c r="AD36" s="1">
        <v>1.1920299999999999</v>
      </c>
      <c r="AE36" s="1">
        <v>8.8074699999999995E-3</v>
      </c>
    </row>
    <row r="37" spans="1:31" x14ac:dyDescent="0.3">
      <c r="A37" t="s">
        <v>287</v>
      </c>
      <c r="B37" t="s">
        <v>250</v>
      </c>
      <c r="C37" t="s">
        <v>364</v>
      </c>
      <c r="D37" t="s">
        <v>120</v>
      </c>
      <c r="E37" t="s">
        <v>257</v>
      </c>
      <c r="F37" t="s">
        <v>574</v>
      </c>
      <c r="G37">
        <v>-10.6</v>
      </c>
      <c r="I37" s="1">
        <v>1.3284400000000001</v>
      </c>
      <c r="J37" s="1">
        <v>6.6751300000000002</v>
      </c>
      <c r="K37" s="1">
        <v>44.229799999999997</v>
      </c>
      <c r="L37" s="1">
        <v>7.4873700000000001E-2</v>
      </c>
      <c r="M37" s="1">
        <v>4.94338E-2</v>
      </c>
      <c r="N37" s="1">
        <v>5.9516600000000004</v>
      </c>
      <c r="O37" s="1">
        <v>5.7004999999999999</v>
      </c>
      <c r="P37" s="1">
        <v>1.4815999999999999E-2</v>
      </c>
      <c r="Q37" s="1">
        <v>2.93244E-2</v>
      </c>
      <c r="R37" s="1">
        <v>47.065899999999999</v>
      </c>
      <c r="S37" s="1">
        <v>9.3507599999999993</v>
      </c>
      <c r="T37" s="1" t="s">
        <v>575</v>
      </c>
      <c r="U37" s="1">
        <v>3.9287899999999997E-3</v>
      </c>
      <c r="V37" s="1" t="s">
        <v>575</v>
      </c>
      <c r="W37" s="1">
        <v>5.3492399999999999E-3</v>
      </c>
      <c r="X37" s="1" t="s">
        <v>575</v>
      </c>
      <c r="Y37" s="1">
        <v>5.9260899999999998E-2</v>
      </c>
      <c r="Z37" s="1">
        <v>0.72317200000000004</v>
      </c>
      <c r="AA37" s="1">
        <v>4.6153799999999997E-3</v>
      </c>
      <c r="AB37" s="1" t="s">
        <v>575</v>
      </c>
      <c r="AC37" s="1">
        <v>4.1763599999999996E-3</v>
      </c>
      <c r="AD37" s="1">
        <v>0.85258699999999998</v>
      </c>
      <c r="AE37" s="1">
        <v>7.3237600000000003E-3</v>
      </c>
    </row>
    <row r="38" spans="1:31" x14ac:dyDescent="0.3">
      <c r="A38" t="s">
        <v>288</v>
      </c>
      <c r="B38" t="s">
        <v>250</v>
      </c>
      <c r="C38" t="s">
        <v>364</v>
      </c>
      <c r="D38" t="s">
        <v>120</v>
      </c>
      <c r="E38" t="s">
        <v>257</v>
      </c>
      <c r="F38" t="s">
        <v>574</v>
      </c>
      <c r="G38">
        <v>-10.6</v>
      </c>
      <c r="I38" s="1">
        <v>1.4730399999999999</v>
      </c>
      <c r="J38" s="1">
        <v>3.6481499999999998</v>
      </c>
      <c r="K38" s="1">
        <v>50.006999999999998</v>
      </c>
      <c r="L38" s="1">
        <v>5.80455E-2</v>
      </c>
      <c r="M38" s="1">
        <v>8.30954E-2</v>
      </c>
      <c r="N38" s="1">
        <v>5.6028099999999998</v>
      </c>
      <c r="O38" s="1">
        <v>4.5371199999999998</v>
      </c>
      <c r="P38" s="1">
        <v>1.6411800000000001E-2</v>
      </c>
      <c r="Q38" s="1">
        <v>8.9793700000000004E-2</v>
      </c>
      <c r="R38" s="1">
        <v>19.3689</v>
      </c>
      <c r="S38" s="1">
        <v>7.20655</v>
      </c>
      <c r="T38" s="1" t="s">
        <v>575</v>
      </c>
      <c r="U38" s="1">
        <v>1.35108E-2</v>
      </c>
      <c r="V38" s="1">
        <v>1.9438500000000001E-2</v>
      </c>
      <c r="W38" s="1">
        <v>2.65438E-3</v>
      </c>
      <c r="X38" s="1">
        <v>8.6953099999999995E-3</v>
      </c>
      <c r="Y38" s="1">
        <v>1.9355600000000001E-2</v>
      </c>
      <c r="Z38" s="1">
        <v>0.65590400000000004</v>
      </c>
      <c r="AA38" s="1">
        <v>5.6492300000000005E-4</v>
      </c>
      <c r="AB38" s="1" t="s">
        <v>575</v>
      </c>
      <c r="AC38" s="1">
        <v>4.5621799999999999E-3</v>
      </c>
      <c r="AD38" s="1">
        <v>0.63503399999999999</v>
      </c>
      <c r="AE38" s="1">
        <v>1.0120199999999999E-2</v>
      </c>
    </row>
    <row r="39" spans="1:31" x14ac:dyDescent="0.3">
      <c r="A39" t="s">
        <v>289</v>
      </c>
      <c r="B39" t="s">
        <v>250</v>
      </c>
      <c r="C39" t="s">
        <v>364</v>
      </c>
      <c r="D39" t="s">
        <v>120</v>
      </c>
      <c r="E39" t="s">
        <v>257</v>
      </c>
      <c r="F39" t="s">
        <v>574</v>
      </c>
      <c r="G39">
        <v>-10.6</v>
      </c>
      <c r="I39" s="1">
        <v>1.1288</v>
      </c>
      <c r="J39" s="1">
        <v>3.6340499999999998</v>
      </c>
      <c r="K39" s="1">
        <v>47.179699999999997</v>
      </c>
      <c r="L39" s="1">
        <v>3.7001100000000002E-2</v>
      </c>
      <c r="M39" s="1">
        <v>2.4150600000000001E-2</v>
      </c>
      <c r="N39" s="1">
        <v>2.25583</v>
      </c>
      <c r="O39" s="1">
        <v>2.5616599999999998</v>
      </c>
      <c r="P39" s="1">
        <v>3.2463499999999999E-2</v>
      </c>
      <c r="Q39" s="1">
        <v>0.11108800000000001</v>
      </c>
      <c r="R39" s="1">
        <v>31.132999999999999</v>
      </c>
      <c r="S39" s="1">
        <v>7.4558600000000004</v>
      </c>
      <c r="T39" s="1" t="s">
        <v>575</v>
      </c>
      <c r="U39" s="1">
        <v>1.8257200000000001E-3</v>
      </c>
      <c r="V39" s="1">
        <v>6.1014499999999999E-2</v>
      </c>
      <c r="W39" s="1">
        <v>1.21098E-3</v>
      </c>
      <c r="X39" s="1">
        <v>3.4343499999999999E-2</v>
      </c>
      <c r="Y39" s="1">
        <v>2.9743599999999999E-2</v>
      </c>
      <c r="Z39" s="1">
        <v>0.64007599999999998</v>
      </c>
      <c r="AA39" s="1" t="s">
        <v>575</v>
      </c>
      <c r="AB39" s="1" t="s">
        <v>575</v>
      </c>
      <c r="AC39" s="1">
        <v>2.7935299999999998E-4</v>
      </c>
      <c r="AD39" s="1">
        <v>0.92106100000000002</v>
      </c>
      <c r="AE39" s="1">
        <v>6.3733000000000001E-3</v>
      </c>
    </row>
    <row r="40" spans="1:31" x14ac:dyDescent="0.3">
      <c r="A40" t="s">
        <v>290</v>
      </c>
      <c r="B40" t="s">
        <v>250</v>
      </c>
      <c r="C40" t="s">
        <v>364</v>
      </c>
      <c r="D40" t="s">
        <v>120</v>
      </c>
      <c r="E40" t="s">
        <v>257</v>
      </c>
      <c r="F40" t="s">
        <v>574</v>
      </c>
      <c r="G40">
        <v>-10.6</v>
      </c>
      <c r="I40" s="1">
        <v>26.950299999999999</v>
      </c>
      <c r="J40" s="1">
        <v>7.8186499999999999</v>
      </c>
      <c r="K40" s="1">
        <v>641.71299999999997</v>
      </c>
      <c r="L40" s="1">
        <v>0.119356</v>
      </c>
      <c r="M40" s="1">
        <v>8.7897299999999998E-2</v>
      </c>
      <c r="N40" s="1">
        <v>7.4705000000000004</v>
      </c>
      <c r="O40" s="1">
        <v>5.1308299999999996</v>
      </c>
      <c r="P40" s="1">
        <v>9.6268199999999995E-3</v>
      </c>
      <c r="Q40" s="1">
        <v>7.2436100000000003E-2</v>
      </c>
      <c r="R40" s="1">
        <v>35.866599999999998</v>
      </c>
      <c r="S40" s="1">
        <v>5.00075</v>
      </c>
      <c r="T40" s="1" t="s">
        <v>575</v>
      </c>
      <c r="U40" s="1">
        <v>1.8954499999999999E-2</v>
      </c>
      <c r="V40" s="1">
        <v>5.7696900000000002E-2</v>
      </c>
      <c r="W40" s="1">
        <v>3.5485899999999999E-3</v>
      </c>
      <c r="X40" s="1">
        <v>3.52243E-2</v>
      </c>
      <c r="Y40" s="1">
        <v>0.12442599999999999</v>
      </c>
      <c r="Z40" s="1">
        <v>1.4165000000000001</v>
      </c>
      <c r="AA40" s="1">
        <v>1.29601E-3</v>
      </c>
      <c r="AB40" s="1" t="s">
        <v>575</v>
      </c>
      <c r="AC40" s="1">
        <v>1.6602200000000001E-2</v>
      </c>
      <c r="AD40" s="1">
        <v>1.22872</v>
      </c>
      <c r="AE40" s="1">
        <v>2.5078400000000001E-2</v>
      </c>
    </row>
    <row r="41" spans="1:31" x14ac:dyDescent="0.3">
      <c r="A41" t="s">
        <v>291</v>
      </c>
      <c r="B41" t="s">
        <v>250</v>
      </c>
      <c r="C41" t="s">
        <v>364</v>
      </c>
      <c r="D41" t="s">
        <v>120</v>
      </c>
      <c r="E41" t="s">
        <v>257</v>
      </c>
      <c r="F41" t="s">
        <v>574</v>
      </c>
      <c r="G41">
        <v>-10.6</v>
      </c>
      <c r="I41" s="1">
        <v>26.710999999999999</v>
      </c>
      <c r="J41" s="1">
        <v>11.3284</v>
      </c>
      <c r="K41" s="1">
        <v>683.18600000000004</v>
      </c>
      <c r="L41" s="1">
        <v>0.15213199999999999</v>
      </c>
      <c r="M41" s="1">
        <v>6.4373E-2</v>
      </c>
      <c r="N41" s="1">
        <v>7.9302700000000002</v>
      </c>
      <c r="O41" s="1">
        <v>5.5619899999999998</v>
      </c>
      <c r="P41" s="1">
        <v>1.7539099999999998E-2</v>
      </c>
      <c r="Q41" s="1">
        <v>3.8572599999999999E-2</v>
      </c>
      <c r="R41" s="1">
        <v>45.975099999999998</v>
      </c>
      <c r="S41" s="1">
        <v>7.0333399999999999</v>
      </c>
      <c r="T41" s="1" t="s">
        <v>575</v>
      </c>
      <c r="U41" s="1">
        <v>2.4988799999999999E-2</v>
      </c>
      <c r="V41" s="1">
        <v>1.61415E-2</v>
      </c>
      <c r="W41" s="1">
        <v>4.2593099999999997E-3</v>
      </c>
      <c r="X41" s="1">
        <v>5.20978E-2</v>
      </c>
      <c r="Y41" s="1">
        <v>0.22370100000000001</v>
      </c>
      <c r="Z41" s="1">
        <v>1.7386200000000001</v>
      </c>
      <c r="AA41" s="1">
        <v>5.4028599999999998E-3</v>
      </c>
      <c r="AB41" s="1" t="s">
        <v>575</v>
      </c>
      <c r="AC41" s="1">
        <v>7.0212599999999997E-3</v>
      </c>
      <c r="AD41" s="1">
        <v>1.6591499999999999</v>
      </c>
      <c r="AE41" s="1">
        <v>3.4245400000000002E-2</v>
      </c>
    </row>
    <row r="42" spans="1:31" x14ac:dyDescent="0.3">
      <c r="A42" t="s">
        <v>292</v>
      </c>
      <c r="B42" t="s">
        <v>250</v>
      </c>
      <c r="C42" t="s">
        <v>364</v>
      </c>
      <c r="D42" t="s">
        <v>120</v>
      </c>
      <c r="E42" t="s">
        <v>257</v>
      </c>
      <c r="F42" t="s">
        <v>574</v>
      </c>
      <c r="G42">
        <v>-10.6</v>
      </c>
      <c r="I42" s="1">
        <v>1.6751</v>
      </c>
      <c r="J42" s="1">
        <v>2.58433</v>
      </c>
      <c r="K42" s="1">
        <v>42.1755</v>
      </c>
      <c r="L42" s="1">
        <v>3.3502400000000002E-2</v>
      </c>
      <c r="M42" s="1">
        <v>3.9012600000000001E-2</v>
      </c>
      <c r="N42" s="1">
        <v>5.57315</v>
      </c>
      <c r="O42" s="1">
        <v>3.85344</v>
      </c>
      <c r="P42" s="1">
        <v>1.3487000000000001E-2</v>
      </c>
      <c r="Q42" s="1">
        <v>8.2222299999999998E-2</v>
      </c>
      <c r="R42" s="1">
        <v>16.544799999999999</v>
      </c>
      <c r="S42" s="1">
        <v>5.3029200000000003</v>
      </c>
      <c r="T42" s="1" t="s">
        <v>575</v>
      </c>
      <c r="U42" s="1">
        <v>1.57506E-2</v>
      </c>
      <c r="V42" s="1">
        <v>1.0477500000000001E-2</v>
      </c>
      <c r="W42" s="1">
        <v>2.37953E-4</v>
      </c>
      <c r="X42" s="1">
        <v>4.4126400000000003E-2</v>
      </c>
      <c r="Y42" s="1">
        <v>4.8794200000000003E-2</v>
      </c>
      <c r="Z42" s="1">
        <v>0.37108000000000002</v>
      </c>
      <c r="AA42" s="1" t="s">
        <v>575</v>
      </c>
      <c r="AB42" s="1" t="s">
        <v>575</v>
      </c>
      <c r="AC42" s="1">
        <v>5.6919700000000002E-3</v>
      </c>
      <c r="AD42" s="1">
        <v>0.59509199999999995</v>
      </c>
      <c r="AE42" s="1">
        <v>1.7662600000000001E-2</v>
      </c>
    </row>
    <row r="43" spans="1:31" x14ac:dyDescent="0.3">
      <c r="A43" t="s">
        <v>293</v>
      </c>
      <c r="B43" t="s">
        <v>250</v>
      </c>
      <c r="C43" t="s">
        <v>364</v>
      </c>
      <c r="D43" t="s">
        <v>120</v>
      </c>
      <c r="E43" t="s">
        <v>257</v>
      </c>
      <c r="F43" t="s">
        <v>574</v>
      </c>
      <c r="G43">
        <v>-10.6</v>
      </c>
      <c r="I43" s="1">
        <v>1.4885699999999999</v>
      </c>
      <c r="J43" s="1">
        <v>2.4399099999999998</v>
      </c>
      <c r="K43" s="1">
        <v>37.025500000000001</v>
      </c>
      <c r="L43" s="1">
        <v>2.9656999999999999E-2</v>
      </c>
      <c r="M43" s="1">
        <v>4.4698500000000002E-2</v>
      </c>
      <c r="N43" s="1">
        <v>6.4612699999999998</v>
      </c>
      <c r="O43" s="1">
        <v>3.4610400000000001</v>
      </c>
      <c r="P43" s="1" t="s">
        <v>575</v>
      </c>
      <c r="Q43" s="1" t="s">
        <v>575</v>
      </c>
      <c r="R43" s="1">
        <v>11.6653</v>
      </c>
      <c r="S43" s="1">
        <v>4.6620900000000001</v>
      </c>
      <c r="T43" s="1" t="s">
        <v>575</v>
      </c>
      <c r="U43" s="1">
        <v>1.6336799999999999E-2</v>
      </c>
      <c r="V43" s="1">
        <v>4.5765E-2</v>
      </c>
      <c r="W43" s="1">
        <v>1.5845E-3</v>
      </c>
      <c r="X43" s="1" t="s">
        <v>575</v>
      </c>
      <c r="Y43" s="1">
        <v>2.6464399999999999E-2</v>
      </c>
      <c r="Z43" s="1">
        <v>0.48874499999999999</v>
      </c>
      <c r="AA43" s="1" t="s">
        <v>575</v>
      </c>
      <c r="AB43" s="1" t="s">
        <v>575</v>
      </c>
      <c r="AC43" s="1">
        <v>4.3028199999999997E-3</v>
      </c>
      <c r="AD43" s="1">
        <v>0.48622799999999999</v>
      </c>
      <c r="AE43" s="1">
        <v>8.66748E-3</v>
      </c>
    </row>
    <row r="44" spans="1:31" x14ac:dyDescent="0.3">
      <c r="A44" t="s">
        <v>294</v>
      </c>
      <c r="B44" t="s">
        <v>250</v>
      </c>
      <c r="C44" t="s">
        <v>364</v>
      </c>
      <c r="D44" t="s">
        <v>120</v>
      </c>
      <c r="E44" t="s">
        <v>257</v>
      </c>
      <c r="F44" t="s">
        <v>574</v>
      </c>
      <c r="G44">
        <v>-10.6</v>
      </c>
      <c r="I44" s="1">
        <v>1.9671099999999999</v>
      </c>
      <c r="J44" s="1">
        <v>6.9254300000000004</v>
      </c>
      <c r="K44" s="1">
        <v>60.792499999999997</v>
      </c>
      <c r="L44" s="1">
        <v>9.1574199999999994E-2</v>
      </c>
      <c r="M44" s="1">
        <v>4.7548300000000002E-2</v>
      </c>
      <c r="N44" s="1">
        <v>6.9850899999999996</v>
      </c>
      <c r="O44" s="1">
        <v>6.81473</v>
      </c>
      <c r="P44" s="1">
        <v>7.0755100000000001E-3</v>
      </c>
      <c r="Q44" s="1">
        <v>3.5718899999999998E-2</v>
      </c>
      <c r="R44" s="1">
        <v>32.595199999999998</v>
      </c>
      <c r="S44" s="1">
        <v>3.7361200000000001</v>
      </c>
      <c r="T44" s="1" t="s">
        <v>575</v>
      </c>
      <c r="U44" s="1">
        <v>1.7321E-2</v>
      </c>
      <c r="V44" s="1">
        <v>3.1850999999999997E-2</v>
      </c>
      <c r="W44" s="1">
        <v>5.7092000000000002E-3</v>
      </c>
      <c r="X44" s="1">
        <v>2.6791499999999999E-2</v>
      </c>
      <c r="Y44" s="1">
        <v>3.3532399999999997E-2</v>
      </c>
      <c r="Z44" s="1">
        <v>0.44489099999999998</v>
      </c>
      <c r="AA44" s="1">
        <v>9.2880999999999997E-4</v>
      </c>
      <c r="AB44" s="1" t="s">
        <v>575</v>
      </c>
      <c r="AC44" s="1">
        <v>6.0925799999999999E-5</v>
      </c>
      <c r="AD44" s="1">
        <v>0.87523099999999998</v>
      </c>
      <c r="AE44" s="1">
        <v>7.6311900000000004E-3</v>
      </c>
    </row>
    <row r="45" spans="1:31" x14ac:dyDescent="0.3">
      <c r="A45" t="s">
        <v>295</v>
      </c>
      <c r="B45" t="s">
        <v>250</v>
      </c>
      <c r="C45" t="s">
        <v>364</v>
      </c>
      <c r="D45" t="s">
        <v>120</v>
      </c>
      <c r="E45" t="s">
        <v>257</v>
      </c>
      <c r="F45" t="s">
        <v>574</v>
      </c>
      <c r="G45">
        <v>-10.6</v>
      </c>
      <c r="I45" s="1">
        <v>2.6822499999999998</v>
      </c>
      <c r="J45" s="1">
        <v>7.5599699999999999</v>
      </c>
      <c r="K45" s="1">
        <v>78.5886</v>
      </c>
      <c r="L45" s="1">
        <v>8.1959599999999994E-2</v>
      </c>
      <c r="M45" s="1">
        <v>3.7373200000000002E-2</v>
      </c>
      <c r="N45" s="1">
        <v>7.6793399999999998</v>
      </c>
      <c r="O45" s="1">
        <v>6.6320600000000001</v>
      </c>
      <c r="P45" s="1">
        <v>5.1664500000000004E-3</v>
      </c>
      <c r="Q45" s="1">
        <v>3.7724100000000003E-2</v>
      </c>
      <c r="R45" s="1">
        <v>18.557600000000001</v>
      </c>
      <c r="S45" s="1">
        <v>3.5762900000000002</v>
      </c>
      <c r="T45" s="1" t="s">
        <v>575</v>
      </c>
      <c r="U45" s="1">
        <v>4.4167499999999998E-2</v>
      </c>
      <c r="V45" s="1">
        <v>8.8330800000000001E-3</v>
      </c>
      <c r="W45" s="1">
        <v>7.2147399999999999E-3</v>
      </c>
      <c r="X45" s="1">
        <v>3.6077100000000001E-2</v>
      </c>
      <c r="Y45" s="1">
        <v>3.0611800000000002E-2</v>
      </c>
      <c r="Z45" s="1">
        <v>0.50413699999999995</v>
      </c>
      <c r="AA45" s="1">
        <v>2.5470699999999998E-3</v>
      </c>
      <c r="AB45" s="1" t="s">
        <v>575</v>
      </c>
      <c r="AC45" s="1">
        <v>2.82183E-3</v>
      </c>
      <c r="AD45" s="1">
        <v>1.06165</v>
      </c>
      <c r="AE45" s="1">
        <v>1.3263199999999999E-2</v>
      </c>
    </row>
    <row r="46" spans="1:31" x14ac:dyDescent="0.3">
      <c r="A46" t="s">
        <v>296</v>
      </c>
      <c r="B46" t="s">
        <v>250</v>
      </c>
      <c r="C46" t="s">
        <v>364</v>
      </c>
      <c r="D46" t="s">
        <v>120</v>
      </c>
      <c r="E46" t="s">
        <v>257</v>
      </c>
      <c r="F46" t="s">
        <v>574</v>
      </c>
      <c r="G46">
        <v>-10.6</v>
      </c>
      <c r="I46" s="1">
        <v>0.68554199999999998</v>
      </c>
      <c r="J46" s="1">
        <v>1.9019600000000001</v>
      </c>
      <c r="K46" s="1">
        <v>29.200900000000001</v>
      </c>
      <c r="L46" s="1">
        <v>6.9717700000000004E-3</v>
      </c>
      <c r="M46" s="1">
        <v>6.6317299999999996E-2</v>
      </c>
      <c r="N46" s="1">
        <v>1.95007</v>
      </c>
      <c r="O46" s="1">
        <v>2.1674799999999999</v>
      </c>
      <c r="P46" s="1" t="s">
        <v>575</v>
      </c>
      <c r="Q46" s="1" t="s">
        <v>575</v>
      </c>
      <c r="R46" s="1">
        <v>35.3108</v>
      </c>
      <c r="S46" s="1">
        <v>2.9611499999999999</v>
      </c>
      <c r="T46" s="1" t="s">
        <v>575</v>
      </c>
      <c r="U46" s="1">
        <v>2.15263E-3</v>
      </c>
      <c r="V46" s="1" t="s">
        <v>575</v>
      </c>
      <c r="W46" s="1" t="s">
        <v>575</v>
      </c>
      <c r="X46" s="1">
        <v>2.34036E-2</v>
      </c>
      <c r="Y46" s="1">
        <v>2.7093300000000001E-2</v>
      </c>
      <c r="Z46" s="1">
        <v>0.359095</v>
      </c>
      <c r="AA46" s="1">
        <v>1.0210899999999999E-4</v>
      </c>
      <c r="AB46" s="1" t="s">
        <v>575</v>
      </c>
      <c r="AC46" s="1" t="s">
        <v>575</v>
      </c>
      <c r="AD46" s="1">
        <v>0.89458899999999997</v>
      </c>
      <c r="AE46" s="1">
        <v>6.2362900000000002E-3</v>
      </c>
    </row>
    <row r="47" spans="1:31" x14ac:dyDescent="0.3">
      <c r="A47" t="s">
        <v>263</v>
      </c>
      <c r="B47" t="s">
        <v>128</v>
      </c>
      <c r="C47" t="s">
        <v>264</v>
      </c>
      <c r="D47" t="s">
        <v>120</v>
      </c>
      <c r="E47" t="s">
        <v>265</v>
      </c>
      <c r="F47" t="s">
        <v>573</v>
      </c>
      <c r="G47">
        <v>-5.2</v>
      </c>
      <c r="H47">
        <v>2.5</v>
      </c>
      <c r="I47" s="1">
        <v>0.327571</v>
      </c>
      <c r="J47" s="1">
        <v>0.111045</v>
      </c>
      <c r="K47" s="1">
        <v>0.26876299999999997</v>
      </c>
      <c r="L47" s="1">
        <v>2.0316499999999999E-3</v>
      </c>
      <c r="M47" s="1">
        <v>4.0972399999999999E-2</v>
      </c>
      <c r="N47" s="1">
        <v>5.6109999999999997E-3</v>
      </c>
      <c r="O47" s="1">
        <v>0.16741500000000001</v>
      </c>
      <c r="P47" s="1">
        <v>1.64258E-3</v>
      </c>
      <c r="Q47" s="1">
        <v>9.6351099999999995E-2</v>
      </c>
      <c r="R47" s="1">
        <v>1.33883</v>
      </c>
      <c r="S47" s="1">
        <v>41.300699999999999</v>
      </c>
      <c r="T47" s="1">
        <v>3.4097200000000003E-5</v>
      </c>
      <c r="U47" s="1">
        <v>9.9990400000000003E-4</v>
      </c>
      <c r="V47" s="1">
        <v>1.8371800000000001E-2</v>
      </c>
      <c r="W47" s="1">
        <v>1.3093600000000001E-4</v>
      </c>
      <c r="X47" s="1">
        <v>2.45592E-2</v>
      </c>
      <c r="Y47" s="1">
        <v>1.41026E-3</v>
      </c>
      <c r="Z47" s="1">
        <v>2.2158099999999998</v>
      </c>
      <c r="AA47" s="1" t="s">
        <v>575</v>
      </c>
      <c r="AB47" s="1" t="s">
        <v>575</v>
      </c>
      <c r="AC47" s="1" t="s">
        <v>575</v>
      </c>
      <c r="AD47" s="1">
        <v>2.72854E-4</v>
      </c>
      <c r="AE47" s="1">
        <v>3.26735E-3</v>
      </c>
    </row>
    <row r="48" spans="1:31" x14ac:dyDescent="0.3">
      <c r="A48" t="s">
        <v>266</v>
      </c>
      <c r="B48" t="s">
        <v>128</v>
      </c>
      <c r="C48" t="s">
        <v>264</v>
      </c>
      <c r="D48" t="s">
        <v>120</v>
      </c>
      <c r="E48" t="s">
        <v>265</v>
      </c>
      <c r="F48" t="s">
        <v>573</v>
      </c>
      <c r="G48">
        <v>-5.2</v>
      </c>
      <c r="H48">
        <v>2.5</v>
      </c>
      <c r="I48" s="1">
        <v>0.37576300000000001</v>
      </c>
      <c r="J48" s="1">
        <v>9.36945E-2</v>
      </c>
      <c r="K48" s="1">
        <v>41.167200000000001</v>
      </c>
      <c r="L48" s="1">
        <v>4.4418300000000001E-2</v>
      </c>
      <c r="M48" s="1">
        <v>5.0819700000000002E-2</v>
      </c>
      <c r="N48" s="1">
        <v>0.55453699999999995</v>
      </c>
      <c r="O48" s="1">
        <v>0.45540999999999998</v>
      </c>
      <c r="P48" s="1">
        <v>4.3065000000000004E-3</v>
      </c>
      <c r="Q48" s="1">
        <v>0.14341799999999999</v>
      </c>
      <c r="R48" s="1">
        <v>0.79508800000000002</v>
      </c>
      <c r="S48" s="1">
        <v>36.593400000000003</v>
      </c>
      <c r="T48" s="1">
        <v>9.94699E-2</v>
      </c>
      <c r="U48" s="1" t="s">
        <v>575</v>
      </c>
      <c r="V48" s="1" t="s">
        <v>575</v>
      </c>
      <c r="W48" s="1">
        <v>8.5419300000000005E-4</v>
      </c>
      <c r="X48" s="1">
        <v>2.3503199999999998E-2</v>
      </c>
      <c r="Y48" s="1">
        <v>4.6581000000000001E-3</v>
      </c>
      <c r="Z48" s="1">
        <v>2.0640499999999999</v>
      </c>
      <c r="AA48" s="1">
        <v>5.0610200000000003E-3</v>
      </c>
      <c r="AB48" s="1" t="s">
        <v>575</v>
      </c>
      <c r="AC48" s="1" t="s">
        <v>575</v>
      </c>
      <c r="AD48" s="1">
        <v>2.17234E-2</v>
      </c>
      <c r="AE48" s="1">
        <v>2.3072399999999999E-3</v>
      </c>
    </row>
    <row r="49" spans="1:31" x14ac:dyDescent="0.3">
      <c r="A49" t="s">
        <v>267</v>
      </c>
      <c r="B49" t="s">
        <v>128</v>
      </c>
      <c r="C49" t="s">
        <v>264</v>
      </c>
      <c r="D49" t="s">
        <v>120</v>
      </c>
      <c r="E49" t="s">
        <v>265</v>
      </c>
      <c r="F49" t="s">
        <v>573</v>
      </c>
      <c r="G49">
        <v>-5.2</v>
      </c>
      <c r="H49">
        <v>2.5</v>
      </c>
      <c r="I49" s="1">
        <v>0.30076199999999997</v>
      </c>
      <c r="J49" s="1">
        <v>4.7789199999999997E-2</v>
      </c>
      <c r="K49" s="1">
        <v>1.3882300000000001</v>
      </c>
      <c r="L49" s="1">
        <v>6.3012099999999998E-3</v>
      </c>
      <c r="M49" s="1">
        <v>3.6971499999999997E-2</v>
      </c>
      <c r="N49" s="1">
        <v>2.53689E-3</v>
      </c>
      <c r="O49" s="1">
        <v>0.32587899999999997</v>
      </c>
      <c r="P49" s="1" t="s">
        <v>575</v>
      </c>
      <c r="Q49" s="1">
        <v>7.7310699999999996E-2</v>
      </c>
      <c r="R49" s="1">
        <v>1.19516</v>
      </c>
      <c r="S49" s="1">
        <v>41.865200000000002</v>
      </c>
      <c r="T49" s="1">
        <v>4.30599E-3</v>
      </c>
      <c r="U49" s="1">
        <v>2.0394200000000001E-3</v>
      </c>
      <c r="V49" s="1">
        <v>2.2004800000000001E-2</v>
      </c>
      <c r="W49" s="1" t="s">
        <v>575</v>
      </c>
      <c r="X49" s="1">
        <v>5.6073900000000003E-3</v>
      </c>
      <c r="Y49" s="1">
        <v>7.8298299999999994E-3</v>
      </c>
      <c r="Z49" s="1">
        <v>2.2672300000000001</v>
      </c>
      <c r="AA49" s="1" t="s">
        <v>575</v>
      </c>
      <c r="AB49" s="1" t="s">
        <v>575</v>
      </c>
      <c r="AC49" s="1" t="s">
        <v>575</v>
      </c>
      <c r="AD49" s="1">
        <v>9.6915300000000003E-3</v>
      </c>
      <c r="AE49" s="1">
        <v>2.4667299999999999E-3</v>
      </c>
    </row>
    <row r="50" spans="1:31" x14ac:dyDescent="0.3">
      <c r="A50" t="s">
        <v>268</v>
      </c>
      <c r="B50" t="s">
        <v>128</v>
      </c>
      <c r="C50" t="s">
        <v>264</v>
      </c>
      <c r="D50" t="s">
        <v>120</v>
      </c>
      <c r="E50" t="s">
        <v>265</v>
      </c>
      <c r="F50" t="s">
        <v>573</v>
      </c>
      <c r="G50">
        <v>-5.2</v>
      </c>
      <c r="H50">
        <v>2.5</v>
      </c>
      <c r="I50" s="1">
        <v>0.301371</v>
      </c>
      <c r="J50" s="1">
        <v>0.15364700000000001</v>
      </c>
      <c r="K50" s="1">
        <v>1.7659</v>
      </c>
      <c r="L50" s="1">
        <v>1.22112E-3</v>
      </c>
      <c r="M50" s="1">
        <v>3.7219800000000002E-4</v>
      </c>
      <c r="N50" s="1">
        <v>3.4474999999999999E-2</v>
      </c>
      <c r="O50" s="1">
        <v>0.34296100000000002</v>
      </c>
      <c r="P50" s="1">
        <v>5.3236400000000001E-3</v>
      </c>
      <c r="Q50" s="1">
        <v>6.8536200000000005E-2</v>
      </c>
      <c r="R50" s="1">
        <v>1.35016</v>
      </c>
      <c r="S50" s="1">
        <v>40.261699999999998</v>
      </c>
      <c r="T50" s="1" t="s">
        <v>575</v>
      </c>
      <c r="U50" s="1">
        <v>4.5178400000000004E-3</v>
      </c>
      <c r="V50" s="1">
        <v>3.1255499999999999E-2</v>
      </c>
      <c r="W50" s="1" t="s">
        <v>575</v>
      </c>
      <c r="X50" s="1">
        <v>2.8893700000000001E-2</v>
      </c>
      <c r="Y50" s="1">
        <v>5.8430699999999997E-3</v>
      </c>
      <c r="Z50" s="1">
        <v>2.2064900000000001</v>
      </c>
      <c r="AA50" s="1">
        <v>1.74018E-3</v>
      </c>
      <c r="AB50" s="1">
        <v>4.1035700000000001E-2</v>
      </c>
      <c r="AC50" s="1">
        <v>4.3802499999999996E-3</v>
      </c>
      <c r="AD50" s="1">
        <v>7.6005500000000002E-3</v>
      </c>
      <c r="AE50" s="1">
        <v>5.4480200000000005E-4</v>
      </c>
    </row>
    <row r="51" spans="1:31" x14ac:dyDescent="0.3">
      <c r="A51" t="s">
        <v>269</v>
      </c>
      <c r="B51" t="s">
        <v>128</v>
      </c>
      <c r="C51" t="s">
        <v>264</v>
      </c>
      <c r="D51" t="s">
        <v>120</v>
      </c>
      <c r="E51" t="s">
        <v>265</v>
      </c>
      <c r="F51" t="s">
        <v>573</v>
      </c>
      <c r="G51">
        <v>-5.2</v>
      </c>
      <c r="H51">
        <v>2.5</v>
      </c>
      <c r="I51" s="1">
        <v>0.28733300000000001</v>
      </c>
      <c r="J51" s="1">
        <v>4.2271400000000001E-2</v>
      </c>
      <c r="K51" s="1">
        <v>0.76828200000000002</v>
      </c>
      <c r="L51" s="1" t="s">
        <v>575</v>
      </c>
      <c r="M51" s="1">
        <v>7.26701E-3</v>
      </c>
      <c r="N51" s="1">
        <v>2.5193400000000001E-2</v>
      </c>
      <c r="O51" s="1">
        <v>0.23055700000000001</v>
      </c>
      <c r="P51" s="1">
        <v>1.0408799999999999E-2</v>
      </c>
      <c r="Q51" s="1" t="s">
        <v>575</v>
      </c>
      <c r="R51" s="1">
        <v>0.30344199999999999</v>
      </c>
      <c r="S51" s="1">
        <v>38.709499999999998</v>
      </c>
      <c r="T51" s="1" t="s">
        <v>575</v>
      </c>
      <c r="U51" s="1">
        <v>3.7795799999999998E-3</v>
      </c>
      <c r="V51" s="1">
        <v>1.82276E-2</v>
      </c>
      <c r="W51" s="1">
        <v>1.55382E-3</v>
      </c>
      <c r="X51" s="1">
        <v>1.28831E-2</v>
      </c>
      <c r="Y51" s="1" t="s">
        <v>575</v>
      </c>
      <c r="Z51" s="1">
        <v>1.83955</v>
      </c>
      <c r="AA51" s="1" t="s">
        <v>575</v>
      </c>
      <c r="AB51" s="1">
        <v>1.5154600000000001E-2</v>
      </c>
      <c r="AC51" s="1">
        <v>2.7785000000000002E-3</v>
      </c>
      <c r="AD51" s="1">
        <v>9.0297699999999995E-3</v>
      </c>
      <c r="AE51" s="1" t="s">
        <v>575</v>
      </c>
    </row>
    <row r="52" spans="1:31" x14ac:dyDescent="0.3">
      <c r="A52" t="s">
        <v>270</v>
      </c>
      <c r="B52" t="s">
        <v>128</v>
      </c>
      <c r="C52" t="s">
        <v>264</v>
      </c>
      <c r="D52" t="s">
        <v>120</v>
      </c>
      <c r="E52" t="s">
        <v>265</v>
      </c>
      <c r="F52" t="s">
        <v>573</v>
      </c>
      <c r="G52">
        <v>-5.2</v>
      </c>
      <c r="H52">
        <v>2.5</v>
      </c>
      <c r="I52" s="1">
        <v>0.31054399999999999</v>
      </c>
      <c r="J52" s="1">
        <v>7.98069E-2</v>
      </c>
      <c r="K52" s="1" t="s">
        <v>575</v>
      </c>
      <c r="L52" s="1">
        <v>2.12339E-4</v>
      </c>
      <c r="M52" s="1">
        <v>8.2680400000000001E-2</v>
      </c>
      <c r="N52" s="1" t="s">
        <v>575</v>
      </c>
      <c r="O52" s="1">
        <v>0.12775900000000001</v>
      </c>
      <c r="P52" s="1">
        <v>1.4138200000000001E-3</v>
      </c>
      <c r="Q52" s="1" t="s">
        <v>575</v>
      </c>
      <c r="R52" s="1">
        <v>1.2467200000000001</v>
      </c>
      <c r="S52" s="1">
        <v>42.063299999999998</v>
      </c>
      <c r="T52" s="1" t="s">
        <v>575</v>
      </c>
      <c r="U52" s="1" t="s">
        <v>575</v>
      </c>
      <c r="V52" s="1" t="s">
        <v>575</v>
      </c>
      <c r="W52" s="1">
        <v>6.9622499999999997E-4</v>
      </c>
      <c r="X52" s="1">
        <v>1.4609799999999999E-2</v>
      </c>
      <c r="Y52" s="1">
        <v>5.1756700000000003E-3</v>
      </c>
      <c r="Z52" s="1">
        <v>2.0956800000000002</v>
      </c>
      <c r="AA52" s="1" t="s">
        <v>575</v>
      </c>
      <c r="AB52" s="1" t="s">
        <v>575</v>
      </c>
      <c r="AC52" s="1">
        <v>7.1076799999999997E-4</v>
      </c>
      <c r="AD52" s="1" t="s">
        <v>575</v>
      </c>
      <c r="AE52" s="1">
        <v>3.2577800000000001E-3</v>
      </c>
    </row>
    <row r="53" spans="1:31" x14ac:dyDescent="0.3">
      <c r="A53" t="s">
        <v>271</v>
      </c>
      <c r="B53" t="s">
        <v>128</v>
      </c>
      <c r="C53" t="s">
        <v>264</v>
      </c>
      <c r="D53" t="s">
        <v>120</v>
      </c>
      <c r="E53" t="s">
        <v>265</v>
      </c>
      <c r="F53" t="s">
        <v>573</v>
      </c>
      <c r="G53">
        <v>-5.2</v>
      </c>
      <c r="H53">
        <v>2.5</v>
      </c>
      <c r="I53" s="1">
        <v>0.29223500000000002</v>
      </c>
      <c r="J53" s="1">
        <v>0.258297</v>
      </c>
      <c r="K53" s="1">
        <v>7.1411799999999996E-3</v>
      </c>
      <c r="L53" s="1">
        <v>9.7126699999999996E-3</v>
      </c>
      <c r="M53" s="1">
        <v>0.13442000000000001</v>
      </c>
      <c r="N53" s="1">
        <v>1.5654100000000001E-2</v>
      </c>
      <c r="O53" s="1">
        <v>0.24809999999999999</v>
      </c>
      <c r="P53" s="1">
        <v>8.1629600000000004E-3</v>
      </c>
      <c r="Q53" s="1">
        <v>2.6069599999999998E-2</v>
      </c>
      <c r="R53" s="1">
        <v>1.14893</v>
      </c>
      <c r="S53" s="1">
        <v>37.6434</v>
      </c>
      <c r="T53" s="1">
        <v>1.3507699999999999E-2</v>
      </c>
      <c r="U53" s="1" t="s">
        <v>575</v>
      </c>
      <c r="V53" s="1">
        <v>6.7083100000000007E-2</v>
      </c>
      <c r="W53" s="1">
        <v>1.24705E-3</v>
      </c>
      <c r="X53" s="1">
        <v>8.7363200000000005E-3</v>
      </c>
      <c r="Y53" s="1">
        <v>3.2862199999999999E-3</v>
      </c>
      <c r="Z53" s="1">
        <v>2.2612999999999999</v>
      </c>
      <c r="AA53" s="1">
        <v>1.2486699999999999E-3</v>
      </c>
      <c r="AB53" s="1">
        <v>1.97816E-2</v>
      </c>
      <c r="AC53" s="1">
        <v>3.1211800000000001E-4</v>
      </c>
      <c r="AD53" s="1">
        <v>2.9512200000000001E-3</v>
      </c>
      <c r="AE53" s="1">
        <v>2.5856299999999998E-3</v>
      </c>
    </row>
    <row r="54" spans="1:31" x14ac:dyDescent="0.3">
      <c r="A54" t="s">
        <v>272</v>
      </c>
      <c r="B54" t="s">
        <v>128</v>
      </c>
      <c r="C54" t="s">
        <v>264</v>
      </c>
      <c r="D54" t="s">
        <v>120</v>
      </c>
      <c r="E54" t="s">
        <v>265</v>
      </c>
      <c r="F54" t="s">
        <v>573</v>
      </c>
      <c r="G54">
        <v>-5.2</v>
      </c>
      <c r="H54">
        <v>2.5</v>
      </c>
      <c r="I54" s="1">
        <v>0.313392</v>
      </c>
      <c r="J54" s="1">
        <v>0.12970899999999999</v>
      </c>
      <c r="K54" s="1" t="s">
        <v>575</v>
      </c>
      <c r="L54" s="1" t="s">
        <v>575</v>
      </c>
      <c r="M54" s="1">
        <v>1.6309500000000001E-2</v>
      </c>
      <c r="N54" s="1" t="s">
        <v>575</v>
      </c>
      <c r="O54" s="1">
        <v>0.245564</v>
      </c>
      <c r="P54" s="1">
        <v>2.1535500000000002E-3</v>
      </c>
      <c r="Q54" s="1">
        <v>3.8750399999999997E-2</v>
      </c>
      <c r="R54" s="1">
        <v>1.04451</v>
      </c>
      <c r="S54" s="1">
        <v>38.039400000000001</v>
      </c>
      <c r="T54" s="1">
        <v>5.4728299999999997E-4</v>
      </c>
      <c r="U54" s="1" t="s">
        <v>575</v>
      </c>
      <c r="V54" s="1" t="s">
        <v>575</v>
      </c>
      <c r="W54" s="1">
        <v>1.12352E-3</v>
      </c>
      <c r="X54" s="1">
        <v>1.46251E-2</v>
      </c>
      <c r="Y54" s="1">
        <v>3.3386800000000001E-3</v>
      </c>
      <c r="Z54" s="1">
        <v>2.45947</v>
      </c>
      <c r="AA54" s="1">
        <v>5.6640299999999996E-3</v>
      </c>
      <c r="AB54" s="1">
        <v>4.5753700000000001E-2</v>
      </c>
      <c r="AC54" s="1">
        <v>5.1923099999999999E-4</v>
      </c>
      <c r="AD54" s="1">
        <v>5.18448E-3</v>
      </c>
      <c r="AE54" s="1">
        <v>3.5249600000000002E-3</v>
      </c>
    </row>
    <row r="55" spans="1:31" x14ac:dyDescent="0.3">
      <c r="A55" t="s">
        <v>273</v>
      </c>
      <c r="B55" t="s">
        <v>128</v>
      </c>
      <c r="C55" t="s">
        <v>264</v>
      </c>
      <c r="D55" t="s">
        <v>120</v>
      </c>
      <c r="E55" t="s">
        <v>265</v>
      </c>
      <c r="F55" t="s">
        <v>573</v>
      </c>
      <c r="G55">
        <v>-5.2</v>
      </c>
      <c r="H55">
        <v>2.5</v>
      </c>
      <c r="I55" s="1">
        <v>0.34030300000000002</v>
      </c>
      <c r="J55" s="1">
        <v>6.9010699999999994E-2</v>
      </c>
      <c r="K55" s="1">
        <v>0.40808899999999998</v>
      </c>
      <c r="L55" s="1">
        <v>2.3092199999999998E-3</v>
      </c>
      <c r="M55" s="1">
        <v>9.9155300000000002E-2</v>
      </c>
      <c r="N55" s="1" t="s">
        <v>575</v>
      </c>
      <c r="O55" s="1">
        <v>0.40965000000000001</v>
      </c>
      <c r="P55" s="1" t="s">
        <v>575</v>
      </c>
      <c r="Q55" s="1">
        <v>2.66132E-2</v>
      </c>
      <c r="R55" s="1">
        <v>1.28874</v>
      </c>
      <c r="S55" s="1">
        <v>40.4848</v>
      </c>
      <c r="T55" s="1">
        <v>2.7184E-2</v>
      </c>
      <c r="U55" s="1">
        <v>4.7153500000000001E-3</v>
      </c>
      <c r="V55" s="1">
        <v>1.98435E-2</v>
      </c>
      <c r="W55" s="1">
        <v>5.0361600000000002E-4</v>
      </c>
      <c r="X55" s="1">
        <v>1.60964E-2</v>
      </c>
      <c r="Y55" s="1">
        <v>6.61401E-3</v>
      </c>
      <c r="Z55" s="1">
        <v>2.0485600000000002</v>
      </c>
      <c r="AA55" s="1" t="s">
        <v>575</v>
      </c>
      <c r="AB55" s="1" t="s">
        <v>575</v>
      </c>
      <c r="AC55" s="1">
        <v>5.8931599999999999E-4</v>
      </c>
      <c r="AD55" s="1">
        <v>1.30516E-2</v>
      </c>
      <c r="AE55" s="1">
        <v>4.13715E-3</v>
      </c>
    </row>
    <row r="56" spans="1:31" x14ac:dyDescent="0.3">
      <c r="A56" t="s">
        <v>274</v>
      </c>
      <c r="B56" t="s">
        <v>128</v>
      </c>
      <c r="C56" t="s">
        <v>264</v>
      </c>
      <c r="D56" t="s">
        <v>120</v>
      </c>
      <c r="E56" t="s">
        <v>265</v>
      </c>
      <c r="F56" t="s">
        <v>573</v>
      </c>
      <c r="G56">
        <v>-5.2</v>
      </c>
      <c r="H56">
        <v>2.5</v>
      </c>
      <c r="I56" s="1">
        <v>0.257046</v>
      </c>
      <c r="J56" s="1">
        <v>8.8796100000000003E-2</v>
      </c>
      <c r="K56" s="1">
        <v>0.248638</v>
      </c>
      <c r="L56" s="1" t="s">
        <v>575</v>
      </c>
      <c r="M56" s="1">
        <v>3.52127E-2</v>
      </c>
      <c r="N56" s="1" t="s">
        <v>575</v>
      </c>
      <c r="O56" s="1">
        <v>0.342254</v>
      </c>
      <c r="P56" s="1" t="s">
        <v>575</v>
      </c>
      <c r="Q56" s="1">
        <v>6.5498100000000004E-2</v>
      </c>
      <c r="R56" s="1">
        <v>0.66696299999999997</v>
      </c>
      <c r="S56" s="1">
        <v>36.715299999999999</v>
      </c>
      <c r="T56" s="1">
        <v>1.30715E-2</v>
      </c>
      <c r="U56" s="1">
        <v>4.3814400000000003E-3</v>
      </c>
      <c r="V56" s="1">
        <v>2.6996699999999999E-3</v>
      </c>
      <c r="W56" s="1">
        <v>1.79966E-3</v>
      </c>
      <c r="X56" s="1">
        <v>6.2861999999999996E-3</v>
      </c>
      <c r="Y56" s="1">
        <v>8.3426500000000001E-3</v>
      </c>
      <c r="Z56" s="1">
        <v>1.88662</v>
      </c>
      <c r="AA56" s="1" t="s">
        <v>575</v>
      </c>
      <c r="AB56" s="1">
        <v>1.12594E-3</v>
      </c>
      <c r="AC56" s="1" t="s">
        <v>575</v>
      </c>
      <c r="AD56" s="1">
        <v>6.1622300000000003E-3</v>
      </c>
      <c r="AE56" s="1">
        <v>3.2242400000000002E-3</v>
      </c>
    </row>
    <row r="57" spans="1:31" x14ac:dyDescent="0.3">
      <c r="A57" t="s">
        <v>275</v>
      </c>
      <c r="B57" t="s">
        <v>128</v>
      </c>
      <c r="C57" t="s">
        <v>264</v>
      </c>
      <c r="D57" t="s">
        <v>120</v>
      </c>
      <c r="E57" t="s">
        <v>265</v>
      </c>
      <c r="F57" t="s">
        <v>573</v>
      </c>
      <c r="G57">
        <v>-5.2</v>
      </c>
      <c r="H57">
        <v>2.5</v>
      </c>
      <c r="I57" s="1">
        <v>0.242149</v>
      </c>
      <c r="J57" s="1">
        <v>6.2688400000000005E-2</v>
      </c>
      <c r="K57" s="1">
        <v>0.92627899999999996</v>
      </c>
      <c r="L57" s="1" t="s">
        <v>575</v>
      </c>
      <c r="M57" s="1">
        <v>1.6728199999999999E-2</v>
      </c>
      <c r="N57" s="1" t="s">
        <v>575</v>
      </c>
      <c r="O57" s="1">
        <v>0.25679099999999999</v>
      </c>
      <c r="P57" s="1">
        <v>8.6550899999999998E-4</v>
      </c>
      <c r="Q57" s="1" t="s">
        <v>575</v>
      </c>
      <c r="R57" s="1">
        <v>2.5870299999999999</v>
      </c>
      <c r="S57" s="1">
        <v>23.675999999999998</v>
      </c>
      <c r="T57" s="1">
        <v>9.77863E-3</v>
      </c>
      <c r="U57" s="1" t="s">
        <v>575</v>
      </c>
      <c r="V57" s="1" t="s">
        <v>575</v>
      </c>
      <c r="W57" s="1">
        <v>8.2320300000000005E-5</v>
      </c>
      <c r="X57" s="1">
        <v>1.0481500000000001E-3</v>
      </c>
      <c r="Y57" s="1">
        <v>1.8305200000000001E-2</v>
      </c>
      <c r="Z57" s="1">
        <v>1.3741399999999999</v>
      </c>
      <c r="AA57" s="1">
        <v>1.51831E-4</v>
      </c>
      <c r="AB57" s="1">
        <v>4.6748999999999999E-2</v>
      </c>
      <c r="AC57" s="1" t="s">
        <v>575</v>
      </c>
      <c r="AD57" s="1">
        <v>7.9955400000000006E-3</v>
      </c>
      <c r="AE57" s="1">
        <v>3.60093E-3</v>
      </c>
    </row>
    <row r="58" spans="1:31" x14ac:dyDescent="0.3">
      <c r="A58" t="s">
        <v>276</v>
      </c>
      <c r="B58" t="s">
        <v>128</v>
      </c>
      <c r="C58" t="s">
        <v>264</v>
      </c>
      <c r="D58" t="s">
        <v>120</v>
      </c>
      <c r="E58" t="s">
        <v>265</v>
      </c>
      <c r="F58" t="s">
        <v>573</v>
      </c>
      <c r="G58">
        <v>-5.2</v>
      </c>
      <c r="H58">
        <v>2.5</v>
      </c>
      <c r="I58" s="1">
        <v>0.27223000000000003</v>
      </c>
      <c r="J58" s="1">
        <v>5.1996599999999997E-2</v>
      </c>
      <c r="K58" s="1" t="s">
        <v>575</v>
      </c>
      <c r="L58" s="1" t="s">
        <v>575</v>
      </c>
      <c r="M58" s="1">
        <v>6.6653500000000004E-2</v>
      </c>
      <c r="N58" s="1">
        <v>1.4394799999999999E-2</v>
      </c>
      <c r="O58" s="1">
        <v>0.43568699999999999</v>
      </c>
      <c r="P58" s="1">
        <v>4.9867300000000004E-4</v>
      </c>
      <c r="Q58" s="1">
        <v>6.7874000000000004E-2</v>
      </c>
      <c r="R58" s="1">
        <v>2.7541500000000001</v>
      </c>
      <c r="S58" s="1">
        <v>26.642199999999999</v>
      </c>
      <c r="T58" s="1">
        <v>1.20529E-2</v>
      </c>
      <c r="U58" s="1">
        <v>6.3679199999999996E-4</v>
      </c>
      <c r="V58" s="1">
        <v>2.8900100000000001E-2</v>
      </c>
      <c r="W58" s="1">
        <v>1.6003400000000001E-4</v>
      </c>
      <c r="X58" s="1">
        <v>2.1436899999999998E-2</v>
      </c>
      <c r="Y58" s="1">
        <v>1.55631E-3</v>
      </c>
      <c r="Z58" s="1">
        <v>1.25556</v>
      </c>
      <c r="AA58" s="1">
        <v>3.06096E-4</v>
      </c>
      <c r="AB58" s="1">
        <v>9.2010099999999997E-2</v>
      </c>
      <c r="AC58" s="1" t="s">
        <v>575</v>
      </c>
      <c r="AD58" s="1">
        <v>1.48475E-3</v>
      </c>
      <c r="AE58" s="1">
        <v>2.6759900000000001E-3</v>
      </c>
    </row>
    <row r="59" spans="1:31" x14ac:dyDescent="0.3">
      <c r="A59" t="s">
        <v>277</v>
      </c>
      <c r="B59" t="s">
        <v>128</v>
      </c>
      <c r="C59" t="s">
        <v>264</v>
      </c>
      <c r="D59" t="s">
        <v>120</v>
      </c>
      <c r="E59" t="s">
        <v>265</v>
      </c>
      <c r="F59" t="s">
        <v>573</v>
      </c>
      <c r="G59">
        <v>-5.2</v>
      </c>
      <c r="H59">
        <v>2.5</v>
      </c>
      <c r="I59" s="1">
        <v>0.27368500000000001</v>
      </c>
      <c r="J59" s="1">
        <v>4.2286799999999999E-2</v>
      </c>
      <c r="K59" s="1">
        <v>0.482705</v>
      </c>
      <c r="L59" s="1">
        <v>1.7301300000000001E-3</v>
      </c>
      <c r="M59" s="1">
        <v>4.0247600000000001E-2</v>
      </c>
      <c r="N59" s="1" t="s">
        <v>575</v>
      </c>
      <c r="O59" s="1">
        <v>0.31863200000000003</v>
      </c>
      <c r="P59" s="1">
        <v>1.1772E-3</v>
      </c>
      <c r="Q59" s="1">
        <v>4.0951099999999997E-2</v>
      </c>
      <c r="R59" s="1">
        <v>2.7283900000000001</v>
      </c>
      <c r="S59" s="1">
        <v>26.266300000000001</v>
      </c>
      <c r="T59" s="1">
        <v>9.5178999999999993E-3</v>
      </c>
      <c r="U59" s="1">
        <v>3.9929299999999996E-3</v>
      </c>
      <c r="V59" s="1">
        <v>2.14173E-2</v>
      </c>
      <c r="W59" s="1">
        <v>7.3915000000000005E-4</v>
      </c>
      <c r="X59" s="1">
        <v>9.7360999999999993E-3</v>
      </c>
      <c r="Y59" s="1">
        <v>9.4446300000000007E-3</v>
      </c>
      <c r="Z59" s="1">
        <v>1.2931699999999999</v>
      </c>
      <c r="AA59" s="1">
        <v>4.1024099999999999E-3</v>
      </c>
      <c r="AB59" s="1">
        <v>3.8350299999999997E-2</v>
      </c>
      <c r="AC59" s="1">
        <v>4.9489100000000002E-4</v>
      </c>
      <c r="AD59" s="1">
        <v>2.1327300000000002E-3</v>
      </c>
      <c r="AE59" s="1">
        <v>4.7403200000000001E-3</v>
      </c>
    </row>
    <row r="60" spans="1:31" x14ac:dyDescent="0.3">
      <c r="A60" t="s">
        <v>278</v>
      </c>
      <c r="B60" t="s">
        <v>128</v>
      </c>
      <c r="C60" t="s">
        <v>264</v>
      </c>
      <c r="D60" t="s">
        <v>120</v>
      </c>
      <c r="E60" t="s">
        <v>265</v>
      </c>
      <c r="F60" t="s">
        <v>573</v>
      </c>
      <c r="G60">
        <v>-5.2</v>
      </c>
      <c r="H60">
        <v>2.5</v>
      </c>
      <c r="I60" s="1">
        <v>0.30784400000000001</v>
      </c>
      <c r="J60" s="1">
        <v>5.3230399999999997E-2</v>
      </c>
      <c r="K60" s="1">
        <v>0.74546000000000001</v>
      </c>
      <c r="L60" s="1">
        <v>1.7335199999999999E-3</v>
      </c>
      <c r="M60" s="1">
        <v>4.7877799999999998E-2</v>
      </c>
      <c r="N60" s="1" t="s">
        <v>575</v>
      </c>
      <c r="O60" s="1" t="s">
        <v>575</v>
      </c>
      <c r="P60" s="1">
        <v>6.80096E-3</v>
      </c>
      <c r="Q60" s="1" t="s">
        <v>575</v>
      </c>
      <c r="R60" s="1">
        <v>0.108141</v>
      </c>
      <c r="S60" s="1">
        <v>31.396799999999999</v>
      </c>
      <c r="T60" s="1">
        <v>1.01618E-2</v>
      </c>
      <c r="U60" s="1" t="s">
        <v>575</v>
      </c>
      <c r="V60" s="1">
        <v>4.0651199999999998E-2</v>
      </c>
      <c r="W60" s="1">
        <v>2.4575700000000001E-3</v>
      </c>
      <c r="X60" s="1" t="s">
        <v>575</v>
      </c>
      <c r="Y60" s="1">
        <v>1.62485E-4</v>
      </c>
      <c r="Z60" s="1">
        <v>9.4271400000000005E-2</v>
      </c>
      <c r="AA60" s="1" t="s">
        <v>575</v>
      </c>
      <c r="AB60" s="1" t="s">
        <v>575</v>
      </c>
      <c r="AC60" s="1" t="s">
        <v>575</v>
      </c>
      <c r="AD60" s="1">
        <v>2.7745199999999999E-3</v>
      </c>
      <c r="AE60" s="1">
        <v>7.3566099999999998E-4</v>
      </c>
    </row>
    <row r="61" spans="1:31" x14ac:dyDescent="0.3">
      <c r="A61" t="s">
        <v>279</v>
      </c>
      <c r="B61" t="s">
        <v>128</v>
      </c>
      <c r="C61" t="s">
        <v>264</v>
      </c>
      <c r="D61" t="s">
        <v>120</v>
      </c>
      <c r="E61" t="s">
        <v>265</v>
      </c>
      <c r="F61" t="s">
        <v>573</v>
      </c>
      <c r="G61">
        <v>-5.2</v>
      </c>
      <c r="H61">
        <v>2.5</v>
      </c>
      <c r="I61" s="1">
        <v>0.26621699999999998</v>
      </c>
      <c r="J61" s="1">
        <v>4.16785E-2</v>
      </c>
      <c r="K61" s="1">
        <v>1.6847799999999999</v>
      </c>
      <c r="L61" s="1">
        <v>2.8151600000000001E-3</v>
      </c>
      <c r="M61" s="1" t="s">
        <v>575</v>
      </c>
      <c r="N61" s="1">
        <v>3.7501899999999998E-2</v>
      </c>
      <c r="O61" s="1">
        <v>0.32662000000000002</v>
      </c>
      <c r="P61" s="1">
        <v>9.5918600000000007E-3</v>
      </c>
      <c r="Q61" s="1" t="s">
        <v>575</v>
      </c>
      <c r="R61" s="1">
        <v>0.332787</v>
      </c>
      <c r="S61" s="1">
        <v>33.460900000000002</v>
      </c>
      <c r="T61" s="1" t="s">
        <v>575</v>
      </c>
      <c r="U61" s="1" t="s">
        <v>575</v>
      </c>
      <c r="V61" s="1">
        <v>3.13282E-2</v>
      </c>
      <c r="W61" s="1">
        <v>1.61308E-3</v>
      </c>
      <c r="X61" s="1">
        <v>1.24463E-2</v>
      </c>
      <c r="Y61" s="1">
        <v>3.61057E-3</v>
      </c>
      <c r="Z61" s="1">
        <v>1.0330600000000001</v>
      </c>
      <c r="AA61" s="1">
        <v>4.57749E-3</v>
      </c>
      <c r="AB61" s="1" t="s">
        <v>575</v>
      </c>
      <c r="AC61" s="1">
        <v>1.65855E-3</v>
      </c>
      <c r="AD61" s="1" t="s">
        <v>575</v>
      </c>
      <c r="AE61" s="1">
        <v>9.2152300000000005E-4</v>
      </c>
    </row>
    <row r="62" spans="1:31" x14ac:dyDescent="0.3">
      <c r="A62" t="s">
        <v>280</v>
      </c>
      <c r="B62" t="s">
        <v>128</v>
      </c>
      <c r="C62" t="s">
        <v>264</v>
      </c>
      <c r="D62" t="s">
        <v>120</v>
      </c>
      <c r="E62" t="s">
        <v>265</v>
      </c>
      <c r="F62" t="s">
        <v>573</v>
      </c>
      <c r="G62">
        <v>-5.2</v>
      </c>
      <c r="H62">
        <v>2.5</v>
      </c>
      <c r="I62" s="1">
        <v>0.31252200000000002</v>
      </c>
      <c r="J62" s="1">
        <v>0.13483200000000001</v>
      </c>
      <c r="K62" s="1">
        <v>100.67100000000001</v>
      </c>
      <c r="L62" s="1">
        <v>5.5750500000000001E-2</v>
      </c>
      <c r="M62" s="1">
        <v>6.8659100000000001E-2</v>
      </c>
      <c r="N62" s="1">
        <v>2.1353900000000001</v>
      </c>
      <c r="O62" s="1">
        <v>0.31538100000000002</v>
      </c>
      <c r="P62" s="1">
        <v>1.1434399999999999E-3</v>
      </c>
      <c r="Q62" s="1">
        <v>1.94399E-2</v>
      </c>
      <c r="R62" s="1">
        <v>0.20535200000000001</v>
      </c>
      <c r="S62" s="1">
        <v>31.728200000000001</v>
      </c>
      <c r="T62" s="1">
        <v>3.8091399999999997E-2</v>
      </c>
      <c r="U62" s="1">
        <v>9.2228199999999996E-3</v>
      </c>
      <c r="V62" s="1">
        <v>4.0289199999999997E-2</v>
      </c>
      <c r="W62" s="1" t="s">
        <v>575</v>
      </c>
      <c r="X62" s="1">
        <v>1.7918E-2</v>
      </c>
      <c r="Y62" s="1">
        <v>1.04838E-2</v>
      </c>
      <c r="Z62" s="1">
        <v>0.291161</v>
      </c>
      <c r="AA62" s="1">
        <v>1.2251499999999999E-3</v>
      </c>
      <c r="AB62" s="1" t="s">
        <v>575</v>
      </c>
      <c r="AC62" s="1">
        <v>3.1939099999999998E-4</v>
      </c>
      <c r="AD62" s="1">
        <v>5.2845699999999997E-3</v>
      </c>
      <c r="AE62" s="1">
        <v>4.0022900000000004E-3</v>
      </c>
    </row>
    <row r="63" spans="1:31" x14ac:dyDescent="0.3">
      <c r="A63" t="s">
        <v>281</v>
      </c>
      <c r="B63" t="s">
        <v>128</v>
      </c>
      <c r="C63" t="s">
        <v>264</v>
      </c>
      <c r="D63" t="s">
        <v>120</v>
      </c>
      <c r="E63" t="s">
        <v>265</v>
      </c>
      <c r="F63" t="s">
        <v>573</v>
      </c>
      <c r="G63">
        <v>-5.2</v>
      </c>
      <c r="H63">
        <v>2.5</v>
      </c>
      <c r="I63" s="1">
        <v>0.26574300000000001</v>
      </c>
      <c r="J63" s="1">
        <v>6.3712099999999994E-2</v>
      </c>
      <c r="K63" s="1">
        <v>1.3664099999999999</v>
      </c>
      <c r="L63" s="1">
        <v>1.1421300000000001E-3</v>
      </c>
      <c r="M63" s="1">
        <v>9.8885799999999996E-2</v>
      </c>
      <c r="N63" s="1">
        <v>0.28265699999999999</v>
      </c>
      <c r="O63" s="1">
        <v>0.37579200000000001</v>
      </c>
      <c r="P63" s="1">
        <v>3.9564600000000002E-3</v>
      </c>
      <c r="Q63" s="1">
        <v>5.5237599999999998E-2</v>
      </c>
      <c r="R63" s="1">
        <v>0.39133400000000002</v>
      </c>
      <c r="S63" s="1">
        <v>33.3431</v>
      </c>
      <c r="T63" s="1" t="s">
        <v>575</v>
      </c>
      <c r="U63" s="1" t="s">
        <v>575</v>
      </c>
      <c r="V63" s="1" t="s">
        <v>575</v>
      </c>
      <c r="W63" s="1">
        <v>1.71361E-3</v>
      </c>
      <c r="X63" s="1">
        <v>2.9883300000000002E-2</v>
      </c>
      <c r="Y63" s="1">
        <v>1.36376E-2</v>
      </c>
      <c r="Z63" s="1">
        <v>1.7110700000000001</v>
      </c>
      <c r="AA63" s="1">
        <v>4.0071999999999998E-3</v>
      </c>
      <c r="AB63" s="1">
        <v>9.6270999999999995E-3</v>
      </c>
      <c r="AC63" s="1">
        <v>7.1189400000000003E-4</v>
      </c>
      <c r="AD63" s="1">
        <v>2.1587200000000001E-2</v>
      </c>
      <c r="AE63" s="1" t="s">
        <v>575</v>
      </c>
    </row>
    <row r="64" spans="1:31" x14ac:dyDescent="0.3">
      <c r="A64" t="s">
        <v>282</v>
      </c>
      <c r="B64" t="s">
        <v>128</v>
      </c>
      <c r="C64" t="s">
        <v>264</v>
      </c>
      <c r="D64" t="s">
        <v>120</v>
      </c>
      <c r="E64" t="s">
        <v>265</v>
      </c>
      <c r="F64" t="s">
        <v>573</v>
      </c>
      <c r="G64">
        <v>-5.2</v>
      </c>
      <c r="H64">
        <v>2.5</v>
      </c>
      <c r="I64" s="1">
        <v>0.25645200000000001</v>
      </c>
      <c r="J64" s="1">
        <v>4.4673499999999998E-2</v>
      </c>
      <c r="K64" s="1">
        <v>3.4937100000000001</v>
      </c>
      <c r="L64" s="1">
        <v>1.01114E-2</v>
      </c>
      <c r="M64" s="1">
        <v>9.5564399999999994E-2</v>
      </c>
      <c r="N64" s="1" t="s">
        <v>575</v>
      </c>
      <c r="O64" s="1">
        <v>0.620869</v>
      </c>
      <c r="P64" s="1" t="s">
        <v>575</v>
      </c>
      <c r="Q64" s="1" t="s">
        <v>575</v>
      </c>
      <c r="R64" s="1">
        <v>0.38938299999999998</v>
      </c>
      <c r="S64" s="1">
        <v>31.970700000000001</v>
      </c>
      <c r="T64" s="1" t="s">
        <v>575</v>
      </c>
      <c r="U64" s="1">
        <v>1.3011699999999999E-2</v>
      </c>
      <c r="V64" s="1" t="s">
        <v>575</v>
      </c>
      <c r="W64" s="1" t="s">
        <v>575</v>
      </c>
      <c r="X64" s="1">
        <v>6.56071E-3</v>
      </c>
      <c r="Y64" s="1">
        <v>2.6663099999999999E-2</v>
      </c>
      <c r="Z64" s="1">
        <v>0.55400099999999997</v>
      </c>
      <c r="AA64" s="1" t="s">
        <v>575</v>
      </c>
      <c r="AB64" s="1">
        <v>1.57115E-2</v>
      </c>
      <c r="AC64" s="1">
        <v>4.79001E-4</v>
      </c>
      <c r="AD64" s="1">
        <v>7.3838799999999998E-3</v>
      </c>
      <c r="AE64" s="1">
        <v>2.2759899999999999E-3</v>
      </c>
    </row>
    <row r="65" spans="1:31" x14ac:dyDescent="0.3">
      <c r="A65" t="s">
        <v>283</v>
      </c>
      <c r="B65" t="s">
        <v>128</v>
      </c>
      <c r="C65" t="s">
        <v>264</v>
      </c>
      <c r="D65" t="s">
        <v>120</v>
      </c>
      <c r="E65" t="s">
        <v>265</v>
      </c>
      <c r="F65" t="s">
        <v>573</v>
      </c>
      <c r="G65">
        <v>-5.2</v>
      </c>
      <c r="H65">
        <v>2.5</v>
      </c>
      <c r="I65" s="1">
        <v>0.24849199999999999</v>
      </c>
      <c r="J65" s="1">
        <v>2.5467400000000001E-2</v>
      </c>
      <c r="K65" s="1" t="s">
        <v>575</v>
      </c>
      <c r="L65" s="1">
        <v>1.33095E-3</v>
      </c>
      <c r="M65" s="1" t="s">
        <v>575</v>
      </c>
      <c r="N65" s="1" t="s">
        <v>575</v>
      </c>
      <c r="O65" s="1">
        <v>0.23394799999999999</v>
      </c>
      <c r="P65" s="1" t="s">
        <v>575</v>
      </c>
      <c r="Q65" s="1">
        <v>0.131605</v>
      </c>
      <c r="R65" s="1">
        <v>1.80782</v>
      </c>
      <c r="S65" s="1">
        <v>32.645299999999999</v>
      </c>
      <c r="T65" s="1">
        <v>2.32606E-3</v>
      </c>
      <c r="U65" s="1">
        <v>3.9583400000000003E-3</v>
      </c>
      <c r="V65" s="1">
        <v>1.2636700000000001E-2</v>
      </c>
      <c r="W65" s="1" t="s">
        <v>575</v>
      </c>
      <c r="X65" s="1">
        <v>6.9109699999999998E-3</v>
      </c>
      <c r="Y65" s="1">
        <v>4.5264800000000003E-3</v>
      </c>
      <c r="Z65" s="1">
        <v>0.81006199999999995</v>
      </c>
      <c r="AA65" s="1">
        <v>6.7626000000000003E-4</v>
      </c>
      <c r="AB65" s="1" t="s">
        <v>575</v>
      </c>
      <c r="AC65" s="1" t="s">
        <v>575</v>
      </c>
      <c r="AD65" s="1">
        <v>3.47176E-3</v>
      </c>
      <c r="AE65" s="1">
        <v>1.45801E-3</v>
      </c>
    </row>
    <row r="66" spans="1:31" x14ac:dyDescent="0.3">
      <c r="A66" t="s">
        <v>321</v>
      </c>
      <c r="B66" t="s">
        <v>128</v>
      </c>
      <c r="C66" t="s">
        <v>264</v>
      </c>
      <c r="D66" t="s">
        <v>120</v>
      </c>
      <c r="E66" t="s">
        <v>265</v>
      </c>
      <c r="F66" t="s">
        <v>573</v>
      </c>
      <c r="G66">
        <v>-5.2</v>
      </c>
      <c r="H66">
        <v>2.5</v>
      </c>
      <c r="I66" s="1">
        <v>0.24498</v>
      </c>
      <c r="J66" s="1">
        <v>7.9686900000000005E-2</v>
      </c>
      <c r="K66" s="1" t="s">
        <v>575</v>
      </c>
      <c r="L66" s="1">
        <v>5.7757000000000001E-4</v>
      </c>
      <c r="M66" s="1">
        <v>3.4574900000000001E-3</v>
      </c>
      <c r="N66" s="1" t="s">
        <v>575</v>
      </c>
      <c r="O66" s="1">
        <v>0.18765899999999999</v>
      </c>
      <c r="P66" s="1">
        <v>3.3405399999999999E-3</v>
      </c>
      <c r="Q66" s="1">
        <v>0.12003900000000001</v>
      </c>
      <c r="R66" s="1">
        <v>1.95001</v>
      </c>
      <c r="S66" s="1">
        <v>30.566500000000001</v>
      </c>
      <c r="T66" s="1" t="s">
        <v>575</v>
      </c>
      <c r="U66" s="1" t="s">
        <v>575</v>
      </c>
      <c r="V66" s="1">
        <v>3.17227E-3</v>
      </c>
      <c r="W66" s="1">
        <v>4.7369600000000001E-4</v>
      </c>
      <c r="X66" s="1" t="s">
        <v>575</v>
      </c>
      <c r="Y66" s="1" t="s">
        <v>575</v>
      </c>
      <c r="Z66" s="1">
        <v>1.25003</v>
      </c>
      <c r="AA66" s="1" t="s">
        <v>575</v>
      </c>
      <c r="AB66" s="1" t="s">
        <v>575</v>
      </c>
      <c r="AC66" s="1" t="s">
        <v>575</v>
      </c>
      <c r="AD66" s="1" t="s">
        <v>575</v>
      </c>
      <c r="AE66" s="1">
        <v>9.6741899999999996E-4</v>
      </c>
    </row>
    <row r="67" spans="1:31" x14ac:dyDescent="0.3">
      <c r="A67" t="s">
        <v>322</v>
      </c>
      <c r="B67" t="s">
        <v>128</v>
      </c>
      <c r="C67" t="s">
        <v>264</v>
      </c>
      <c r="D67" t="s">
        <v>120</v>
      </c>
      <c r="E67" t="s">
        <v>265</v>
      </c>
      <c r="F67" t="s">
        <v>573</v>
      </c>
      <c r="G67">
        <v>-5.2</v>
      </c>
      <c r="H67">
        <v>2.5</v>
      </c>
      <c r="I67" s="1">
        <v>0.38289600000000001</v>
      </c>
      <c r="J67" s="1">
        <v>0.29554000000000002</v>
      </c>
      <c r="K67" s="1">
        <v>181.26499999999999</v>
      </c>
      <c r="L67" s="1">
        <v>0.12654799999999999</v>
      </c>
      <c r="M67" s="1" t="s">
        <v>575</v>
      </c>
      <c r="N67" s="1">
        <v>2.2279100000000001</v>
      </c>
      <c r="O67" s="1">
        <v>0.51345499999999999</v>
      </c>
      <c r="P67" s="1">
        <v>4.2673099999999999E-3</v>
      </c>
      <c r="Q67" s="1" t="s">
        <v>575</v>
      </c>
      <c r="R67" s="1">
        <v>1.25857</v>
      </c>
      <c r="S67" s="1">
        <v>28.986599999999999</v>
      </c>
      <c r="T67" s="1" t="s">
        <v>575</v>
      </c>
      <c r="U67" s="1">
        <v>7.1964800000000003E-4</v>
      </c>
      <c r="V67" s="1">
        <v>6.9951400000000004E-3</v>
      </c>
      <c r="W67" s="1">
        <v>1.4269599999999999E-3</v>
      </c>
      <c r="X67" s="1">
        <v>1.4857E-2</v>
      </c>
      <c r="Y67" s="1">
        <v>3.71784E-3</v>
      </c>
      <c r="Z67" s="1">
        <v>0.69386599999999998</v>
      </c>
      <c r="AA67" s="1">
        <v>2.1218700000000001E-3</v>
      </c>
      <c r="AB67" s="1" t="s">
        <v>575</v>
      </c>
      <c r="AC67" s="1">
        <v>3.3953199999999998E-3</v>
      </c>
      <c r="AD67" s="1">
        <v>5.3475000000000002E-2</v>
      </c>
      <c r="AE67" s="1">
        <v>6.3476499999999998E-3</v>
      </c>
    </row>
    <row r="68" spans="1:31" x14ac:dyDescent="0.3">
      <c r="A68" t="s">
        <v>323</v>
      </c>
      <c r="B68" t="s">
        <v>128</v>
      </c>
      <c r="C68" t="s">
        <v>264</v>
      </c>
      <c r="D68" t="s">
        <v>120</v>
      </c>
      <c r="E68" t="s">
        <v>265</v>
      </c>
      <c r="F68" t="s">
        <v>573</v>
      </c>
      <c r="G68">
        <v>-5.2</v>
      </c>
      <c r="H68">
        <v>2.5</v>
      </c>
      <c r="I68" s="1">
        <v>0.43466700000000003</v>
      </c>
      <c r="J68" s="1">
        <v>0.27271499999999999</v>
      </c>
      <c r="K68" s="1">
        <v>71.730199999999996</v>
      </c>
      <c r="L68" s="1">
        <v>0.14779400000000001</v>
      </c>
      <c r="M68" s="1">
        <v>4.08501E-2</v>
      </c>
      <c r="N68" s="1">
        <v>4.5708099999999998</v>
      </c>
      <c r="O68" s="1" t="s">
        <v>575</v>
      </c>
      <c r="P68" s="1">
        <v>1.39276E-2</v>
      </c>
      <c r="Q68" s="1" t="s">
        <v>575</v>
      </c>
      <c r="R68" s="1">
        <v>1.2719499999999999</v>
      </c>
      <c r="S68" s="1">
        <v>27.342099999999999</v>
      </c>
      <c r="T68" s="1" t="s">
        <v>575</v>
      </c>
      <c r="U68" s="1">
        <v>4.2240100000000003E-3</v>
      </c>
      <c r="V68" s="1" t="s">
        <v>575</v>
      </c>
      <c r="W68" s="1" t="s">
        <v>575</v>
      </c>
      <c r="X68" s="1">
        <v>2.4545000000000001E-2</v>
      </c>
      <c r="Y68" s="1">
        <v>2.1772099999999999E-2</v>
      </c>
      <c r="Z68" s="1">
        <v>0.78941300000000003</v>
      </c>
      <c r="AA68" s="1">
        <v>2.6442800000000002E-3</v>
      </c>
      <c r="AB68" s="1" t="s">
        <v>575</v>
      </c>
      <c r="AC68" s="1" t="s">
        <v>575</v>
      </c>
      <c r="AD68" s="1">
        <v>1.0129900000000001E-2</v>
      </c>
      <c r="AE68" s="1">
        <v>4.1709299999999998E-3</v>
      </c>
    </row>
    <row r="69" spans="1:31" x14ac:dyDescent="0.3">
      <c r="A69" t="s">
        <v>324</v>
      </c>
      <c r="B69" t="s">
        <v>128</v>
      </c>
      <c r="C69" t="s">
        <v>264</v>
      </c>
      <c r="D69" t="s">
        <v>120</v>
      </c>
      <c r="E69" t="s">
        <v>265</v>
      </c>
      <c r="F69" t="s">
        <v>573</v>
      </c>
      <c r="G69">
        <v>-5.2</v>
      </c>
      <c r="H69">
        <v>2.5</v>
      </c>
      <c r="I69" s="1">
        <v>0.251278</v>
      </c>
      <c r="J69" s="1">
        <v>0.14901400000000001</v>
      </c>
      <c r="K69" s="1">
        <v>50.7883</v>
      </c>
      <c r="L69" s="1">
        <v>1.8743699999999999E-2</v>
      </c>
      <c r="M69" s="1">
        <v>4.5415900000000002E-2</v>
      </c>
      <c r="N69" s="1">
        <v>0.57597500000000001</v>
      </c>
      <c r="O69" s="1">
        <v>0.26572800000000002</v>
      </c>
      <c r="P69" s="1">
        <v>8.2937500000000003E-4</v>
      </c>
      <c r="Q69" s="1" t="s">
        <v>575</v>
      </c>
      <c r="R69" s="1">
        <v>1.61473</v>
      </c>
      <c r="S69" s="1">
        <v>29.224</v>
      </c>
      <c r="T69" s="1" t="s">
        <v>575</v>
      </c>
      <c r="U69" s="1" t="s">
        <v>575</v>
      </c>
      <c r="V69" s="1" t="s">
        <v>575</v>
      </c>
      <c r="W69" s="1">
        <v>1.1155799999999999E-3</v>
      </c>
      <c r="X69" s="1" t="s">
        <v>575</v>
      </c>
      <c r="Y69" s="1" t="s">
        <v>575</v>
      </c>
      <c r="Z69" s="1">
        <v>0.76291200000000003</v>
      </c>
      <c r="AA69" s="1" t="s">
        <v>575</v>
      </c>
      <c r="AB69" s="1" t="s">
        <v>575</v>
      </c>
      <c r="AC69" s="1">
        <v>1.9910700000000002E-3</v>
      </c>
      <c r="AD69" s="1">
        <v>2.7416200000000002E-2</v>
      </c>
      <c r="AE69" s="1">
        <v>4.1694699999999998E-3</v>
      </c>
    </row>
    <row r="70" spans="1:31" x14ac:dyDescent="0.3">
      <c r="A70" t="s">
        <v>325</v>
      </c>
      <c r="B70" t="s">
        <v>128</v>
      </c>
      <c r="C70" t="s">
        <v>264</v>
      </c>
      <c r="D70" t="s">
        <v>120</v>
      </c>
      <c r="E70" t="s">
        <v>265</v>
      </c>
      <c r="F70" t="s">
        <v>573</v>
      </c>
      <c r="G70">
        <v>-5.2</v>
      </c>
      <c r="H70">
        <v>2.5</v>
      </c>
      <c r="I70" s="1">
        <v>0.23266700000000001</v>
      </c>
      <c r="J70" s="1">
        <v>8.3377599999999996E-2</v>
      </c>
      <c r="K70" s="1" t="s">
        <v>575</v>
      </c>
      <c r="L70" s="1" t="s">
        <v>575</v>
      </c>
      <c r="M70" s="1" t="s">
        <v>575</v>
      </c>
      <c r="N70" s="1" t="s">
        <v>575</v>
      </c>
      <c r="O70" s="1">
        <v>0.49880799999999997</v>
      </c>
      <c r="P70" s="1" t="s">
        <v>575</v>
      </c>
      <c r="Q70" s="1">
        <v>6.22978E-2</v>
      </c>
      <c r="R70" s="1">
        <v>0.42199599999999998</v>
      </c>
      <c r="S70" s="1">
        <v>30.781500000000001</v>
      </c>
      <c r="T70" s="1">
        <v>4.4163500000000003E-3</v>
      </c>
      <c r="U70" s="1">
        <v>4.0268300000000003E-3</v>
      </c>
      <c r="V70" s="1" t="s">
        <v>575</v>
      </c>
      <c r="W70" s="1">
        <v>1.02597E-3</v>
      </c>
      <c r="X70" s="1">
        <v>1.7413600000000001E-2</v>
      </c>
      <c r="Y70" s="1">
        <v>5.6931899999999999E-4</v>
      </c>
      <c r="Z70" s="1">
        <v>0.67886999999999997</v>
      </c>
      <c r="AA70" s="1">
        <v>2.74617E-3</v>
      </c>
      <c r="AB70" s="1" t="s">
        <v>575</v>
      </c>
      <c r="AC70" s="1" t="s">
        <v>575</v>
      </c>
      <c r="AD70" s="1">
        <v>3.92276E-3</v>
      </c>
      <c r="AE70" s="1">
        <v>3.3690400000000001E-4</v>
      </c>
    </row>
    <row r="71" spans="1:31" x14ac:dyDescent="0.3">
      <c r="A71" t="s">
        <v>326</v>
      </c>
      <c r="B71" t="s">
        <v>128</v>
      </c>
      <c r="C71" t="s">
        <v>264</v>
      </c>
      <c r="D71" t="s">
        <v>120</v>
      </c>
      <c r="E71" t="s">
        <v>265</v>
      </c>
      <c r="F71" t="s">
        <v>573</v>
      </c>
      <c r="G71">
        <v>-5.2</v>
      </c>
      <c r="H71">
        <v>2.5</v>
      </c>
      <c r="I71" s="1">
        <v>0.21521999999999999</v>
      </c>
      <c r="J71" s="1">
        <v>9.9145800000000006E-2</v>
      </c>
      <c r="K71" s="1" t="s">
        <v>575</v>
      </c>
      <c r="L71" s="1" t="s">
        <v>575</v>
      </c>
      <c r="M71" s="1">
        <v>5.2626399999999997E-2</v>
      </c>
      <c r="N71" s="1">
        <v>2.8969999999999999E-2</v>
      </c>
      <c r="O71" s="1">
        <v>0.244565</v>
      </c>
      <c r="P71" s="1">
        <v>3.7362799999999998E-3</v>
      </c>
      <c r="Q71" s="1">
        <v>1.6278600000000001E-2</v>
      </c>
      <c r="R71" s="1">
        <v>1.0219199999999999</v>
      </c>
      <c r="S71" s="1">
        <v>28.366900000000001</v>
      </c>
      <c r="T71" s="1" t="s">
        <v>575</v>
      </c>
      <c r="U71" s="1">
        <v>1.2198700000000001E-3</v>
      </c>
      <c r="V71" s="1">
        <v>8.9217099999999994E-3</v>
      </c>
      <c r="W71" s="1">
        <v>2.1337499999999998E-3</v>
      </c>
      <c r="X71" s="1">
        <v>4.3111900000000003E-3</v>
      </c>
      <c r="Y71" s="1">
        <v>9.7566000000000007E-3</v>
      </c>
      <c r="Z71" s="1">
        <v>0.98131699999999999</v>
      </c>
      <c r="AA71" s="1">
        <v>2.1511299999999998E-3</v>
      </c>
      <c r="AB71" s="1" t="s">
        <v>575</v>
      </c>
      <c r="AC71" s="1">
        <v>3.0367600000000001E-4</v>
      </c>
      <c r="AD71" s="1">
        <v>3.82636E-3</v>
      </c>
      <c r="AE71" s="1" t="s">
        <v>575</v>
      </c>
    </row>
    <row r="72" spans="1:31" x14ac:dyDescent="0.3">
      <c r="A72" t="s">
        <v>327</v>
      </c>
      <c r="B72" t="s">
        <v>128</v>
      </c>
      <c r="C72" t="s">
        <v>264</v>
      </c>
      <c r="D72" t="s">
        <v>120</v>
      </c>
      <c r="E72" t="s">
        <v>265</v>
      </c>
      <c r="F72" t="s">
        <v>573</v>
      </c>
      <c r="G72">
        <v>-5.2</v>
      </c>
      <c r="H72">
        <v>2.5</v>
      </c>
      <c r="I72" s="1">
        <v>0.279026</v>
      </c>
      <c r="J72" s="1">
        <v>5.2793199999999998E-2</v>
      </c>
      <c r="K72" s="1">
        <v>0.246502</v>
      </c>
      <c r="L72" s="1" t="s">
        <v>575</v>
      </c>
      <c r="M72" s="1">
        <v>4.5063499999999999E-2</v>
      </c>
      <c r="N72" s="1">
        <v>3.4542700000000003E-2</v>
      </c>
      <c r="O72" s="1">
        <v>0.24282000000000001</v>
      </c>
      <c r="P72" s="1" t="s">
        <v>575</v>
      </c>
      <c r="Q72" s="1">
        <v>1.9500099999999999E-2</v>
      </c>
      <c r="R72" s="1">
        <v>0.303896</v>
      </c>
      <c r="S72" s="1">
        <v>31.8505</v>
      </c>
      <c r="T72" s="1" t="s">
        <v>575</v>
      </c>
      <c r="U72" s="1">
        <v>2.3985399999999998E-3</v>
      </c>
      <c r="V72" s="1" t="s">
        <v>575</v>
      </c>
      <c r="W72" s="1" t="s">
        <v>575</v>
      </c>
      <c r="X72" s="1" t="s">
        <v>575</v>
      </c>
      <c r="Y72" s="1">
        <v>2.61538E-3</v>
      </c>
      <c r="Z72" s="1">
        <v>0.70849399999999996</v>
      </c>
      <c r="AA72" s="1" t="s">
        <v>575</v>
      </c>
      <c r="AB72" s="1" t="s">
        <v>575</v>
      </c>
      <c r="AC72" s="1">
        <v>1.48222E-5</v>
      </c>
      <c r="AD72" s="1">
        <v>7.6475400000000004E-3</v>
      </c>
      <c r="AE72" s="1">
        <v>1.3587899999999999E-3</v>
      </c>
    </row>
    <row r="73" spans="1:31" x14ac:dyDescent="0.3">
      <c r="A73" t="s">
        <v>328</v>
      </c>
      <c r="B73" t="s">
        <v>128</v>
      </c>
      <c r="C73" t="s">
        <v>264</v>
      </c>
      <c r="D73" t="s">
        <v>120</v>
      </c>
      <c r="E73" t="s">
        <v>265</v>
      </c>
      <c r="F73" t="s">
        <v>573</v>
      </c>
      <c r="G73">
        <v>-5.2</v>
      </c>
      <c r="H73">
        <v>2.5</v>
      </c>
      <c r="I73" s="1">
        <v>0.25679200000000002</v>
      </c>
      <c r="J73" s="1">
        <v>5.2925100000000003E-2</v>
      </c>
      <c r="K73" s="1">
        <v>0.89311600000000002</v>
      </c>
      <c r="L73" s="1">
        <v>3.12985E-3</v>
      </c>
      <c r="M73" s="1">
        <v>6.4748200000000006E-2</v>
      </c>
      <c r="N73" s="1" t="s">
        <v>575</v>
      </c>
      <c r="O73" s="1">
        <v>0.24098600000000001</v>
      </c>
      <c r="P73" s="1" t="s">
        <v>575</v>
      </c>
      <c r="Q73" s="1" t="s">
        <v>575</v>
      </c>
      <c r="R73" s="1">
        <v>0.23734</v>
      </c>
      <c r="S73" s="1">
        <v>29.173999999999999</v>
      </c>
      <c r="T73" s="1">
        <v>3.6177200000000001E-4</v>
      </c>
      <c r="U73" s="1">
        <v>2.7792799999999999E-3</v>
      </c>
      <c r="V73" s="1" t="s">
        <v>575</v>
      </c>
      <c r="W73" s="1" t="s">
        <v>575</v>
      </c>
      <c r="X73" s="1">
        <v>3.0608400000000001E-2</v>
      </c>
      <c r="Y73" s="1" t="s">
        <v>575</v>
      </c>
      <c r="Z73" s="1">
        <v>0.57133999999999996</v>
      </c>
      <c r="AA73" s="1">
        <v>1.7898E-3</v>
      </c>
      <c r="AB73" s="1" t="s">
        <v>575</v>
      </c>
      <c r="AC73" s="1">
        <v>1.8431700000000001E-3</v>
      </c>
      <c r="AD73" s="1">
        <v>4.2162099999999997E-3</v>
      </c>
      <c r="AE73" s="1">
        <v>2.3371899999999998E-3</v>
      </c>
    </row>
    <row r="74" spans="1:31" x14ac:dyDescent="0.3">
      <c r="A74" t="s">
        <v>329</v>
      </c>
      <c r="B74" t="s">
        <v>128</v>
      </c>
      <c r="C74" t="s">
        <v>264</v>
      </c>
      <c r="D74" t="s">
        <v>120</v>
      </c>
      <c r="E74" t="s">
        <v>265</v>
      </c>
      <c r="F74" t="s">
        <v>573</v>
      </c>
      <c r="G74">
        <v>-5.2</v>
      </c>
      <c r="H74">
        <v>2.5</v>
      </c>
      <c r="I74" s="1">
        <v>0.20313400000000001</v>
      </c>
      <c r="J74" s="1">
        <v>0.13370799999999999</v>
      </c>
      <c r="K74" s="1">
        <v>0.72697500000000004</v>
      </c>
      <c r="L74" s="1" t="s">
        <v>575</v>
      </c>
      <c r="M74" s="1">
        <v>3.0636199999999999E-2</v>
      </c>
      <c r="N74" s="1">
        <v>3.02201E-2</v>
      </c>
      <c r="O74" s="1">
        <v>0.10963199999999999</v>
      </c>
      <c r="P74" s="1" t="s">
        <v>575</v>
      </c>
      <c r="Q74" s="1" t="s">
        <v>575</v>
      </c>
      <c r="R74" s="1">
        <v>0.34800500000000001</v>
      </c>
      <c r="S74" s="1">
        <v>34.953400000000002</v>
      </c>
      <c r="T74" s="1">
        <v>2.7034799999999999E-3</v>
      </c>
      <c r="U74" s="1">
        <v>2.59881E-3</v>
      </c>
      <c r="V74" s="1">
        <v>8.6946499999999999E-3</v>
      </c>
      <c r="W74" s="1">
        <v>1.62407E-3</v>
      </c>
      <c r="X74" s="1">
        <v>8.4955399999999993E-3</v>
      </c>
      <c r="Y74" s="1">
        <v>2.0164899999999999E-2</v>
      </c>
      <c r="Z74" s="1">
        <v>1.7939799999999999</v>
      </c>
      <c r="AA74" s="1" t="s">
        <v>575</v>
      </c>
      <c r="AB74" s="1" t="s">
        <v>575</v>
      </c>
      <c r="AC74" s="1">
        <v>1.44303E-4</v>
      </c>
      <c r="AD74" s="1" t="s">
        <v>575</v>
      </c>
      <c r="AE74" s="1">
        <v>5.9052900000000001E-4</v>
      </c>
    </row>
    <row r="75" spans="1:31" x14ac:dyDescent="0.3">
      <c r="A75" t="s">
        <v>330</v>
      </c>
      <c r="B75" t="s">
        <v>128</v>
      </c>
      <c r="C75" t="s">
        <v>264</v>
      </c>
      <c r="D75" t="s">
        <v>120</v>
      </c>
      <c r="E75" t="s">
        <v>265</v>
      </c>
      <c r="F75" t="s">
        <v>573</v>
      </c>
      <c r="G75">
        <v>-5.2</v>
      </c>
      <c r="H75">
        <v>2.5</v>
      </c>
      <c r="I75" s="1">
        <v>0.21631300000000001</v>
      </c>
      <c r="J75" s="1">
        <v>8.4573400000000007E-2</v>
      </c>
      <c r="K75" s="1">
        <v>0.31072899999999998</v>
      </c>
      <c r="L75" s="1" t="s">
        <v>575</v>
      </c>
      <c r="M75" s="1">
        <v>1.87837E-2</v>
      </c>
      <c r="N75" s="1">
        <v>2.32417E-3</v>
      </c>
      <c r="O75" s="1">
        <v>0.295738</v>
      </c>
      <c r="P75" s="1" t="s">
        <v>575</v>
      </c>
      <c r="Q75" s="1" t="s">
        <v>575</v>
      </c>
      <c r="R75" s="1">
        <v>0.41727199999999998</v>
      </c>
      <c r="S75" s="1">
        <v>37.347299999999997</v>
      </c>
      <c r="T75" s="1" t="s">
        <v>575</v>
      </c>
      <c r="U75" s="1">
        <v>2.9889700000000001E-3</v>
      </c>
      <c r="V75" s="1" t="s">
        <v>575</v>
      </c>
      <c r="W75" s="1" t="s">
        <v>575</v>
      </c>
      <c r="X75" s="1">
        <v>1.86138E-2</v>
      </c>
      <c r="Y75" s="1">
        <v>1.1646699999999999E-2</v>
      </c>
      <c r="Z75" s="1">
        <v>1.7607999999999999</v>
      </c>
      <c r="AA75" s="1">
        <v>4.5801000000000001E-3</v>
      </c>
      <c r="AB75" s="1" t="s">
        <v>575</v>
      </c>
      <c r="AC75" s="1" t="s">
        <v>575</v>
      </c>
      <c r="AD75" s="1">
        <v>5.76444E-3</v>
      </c>
      <c r="AE75" s="1">
        <v>1.11465E-3</v>
      </c>
    </row>
    <row r="76" spans="1:31" x14ac:dyDescent="0.3">
      <c r="A76" t="s">
        <v>331</v>
      </c>
      <c r="B76" t="s">
        <v>128</v>
      </c>
      <c r="C76" t="s">
        <v>264</v>
      </c>
      <c r="D76" t="s">
        <v>120</v>
      </c>
      <c r="E76" t="s">
        <v>265</v>
      </c>
      <c r="F76" t="s">
        <v>573</v>
      </c>
      <c r="G76">
        <v>-5.2</v>
      </c>
      <c r="H76">
        <v>2.5</v>
      </c>
      <c r="I76" s="1">
        <v>0.26975700000000002</v>
      </c>
      <c r="J76" s="1">
        <v>0.22062399999999999</v>
      </c>
      <c r="K76" s="1">
        <v>182.37100000000001</v>
      </c>
      <c r="L76" s="1">
        <v>0.104772</v>
      </c>
      <c r="M76" s="1">
        <v>4.8182099999999999E-2</v>
      </c>
      <c r="N76" s="1">
        <v>2.82212</v>
      </c>
      <c r="O76" s="1">
        <v>0.29689100000000002</v>
      </c>
      <c r="P76" s="1" t="s">
        <v>575</v>
      </c>
      <c r="Q76" s="1">
        <v>0.17380699999999999</v>
      </c>
      <c r="R76" s="1">
        <v>1.3394900000000001</v>
      </c>
      <c r="S76" s="1">
        <v>28.815200000000001</v>
      </c>
      <c r="T76" s="1" t="s">
        <v>575</v>
      </c>
      <c r="U76" s="1">
        <v>3.6378399999999998E-3</v>
      </c>
      <c r="V76" s="1" t="s">
        <v>575</v>
      </c>
      <c r="W76" s="1" t="s">
        <v>575</v>
      </c>
      <c r="X76" s="1">
        <v>6.0802000000000002E-2</v>
      </c>
      <c r="Y76" s="1">
        <v>2.0425599999999999E-2</v>
      </c>
      <c r="Z76" s="1">
        <v>0.89035500000000001</v>
      </c>
      <c r="AA76" s="1" t="s">
        <v>575</v>
      </c>
      <c r="AB76" s="1">
        <v>7.0546699999999999E-3</v>
      </c>
      <c r="AC76" s="1">
        <v>2.8453599999999999E-3</v>
      </c>
      <c r="AD76" s="1">
        <v>2.1848800000000002E-2</v>
      </c>
      <c r="AE76" s="1">
        <v>4.5111800000000001E-3</v>
      </c>
    </row>
    <row r="77" spans="1:31" x14ac:dyDescent="0.3">
      <c r="A77" t="s">
        <v>332</v>
      </c>
      <c r="B77" t="s">
        <v>128</v>
      </c>
      <c r="C77" t="s">
        <v>264</v>
      </c>
      <c r="D77" t="s">
        <v>120</v>
      </c>
      <c r="E77" t="s">
        <v>265</v>
      </c>
      <c r="F77" t="s">
        <v>573</v>
      </c>
      <c r="G77">
        <v>-5.2</v>
      </c>
      <c r="H77">
        <v>2.5</v>
      </c>
      <c r="I77" s="1">
        <v>0.25576100000000002</v>
      </c>
      <c r="J77" s="1">
        <v>9.7209000000000004E-2</v>
      </c>
      <c r="K77" s="1">
        <v>27.4604</v>
      </c>
      <c r="L77" s="1">
        <v>2.07251E-2</v>
      </c>
      <c r="M77" s="1">
        <v>7.3105299999999998E-2</v>
      </c>
      <c r="N77" s="1">
        <v>0.45968700000000001</v>
      </c>
      <c r="O77" s="1">
        <v>0.45611699999999999</v>
      </c>
      <c r="P77" s="1" t="s">
        <v>575</v>
      </c>
      <c r="Q77" s="1">
        <v>7.4028099999999999E-2</v>
      </c>
      <c r="R77" s="1">
        <v>0.425236</v>
      </c>
      <c r="S77" s="1">
        <v>33.795200000000001</v>
      </c>
      <c r="T77" s="1" t="s">
        <v>575</v>
      </c>
      <c r="U77" s="1" t="s">
        <v>575</v>
      </c>
      <c r="V77" s="1">
        <v>9.9523600000000004E-3</v>
      </c>
      <c r="W77" s="1">
        <v>1.41508E-3</v>
      </c>
      <c r="X77" s="1">
        <v>3.4137399999999998E-2</v>
      </c>
      <c r="Y77" s="1">
        <v>1.4039599999999999E-2</v>
      </c>
      <c r="Z77" s="1">
        <v>1.79918</v>
      </c>
      <c r="AA77" s="1">
        <v>2.9354799999999998E-4</v>
      </c>
      <c r="AB77" s="1">
        <v>6.2531299999999998E-2</v>
      </c>
      <c r="AC77" s="1">
        <v>1.4343100000000001E-3</v>
      </c>
      <c r="AD77" s="1">
        <v>5.0295699999999999E-2</v>
      </c>
      <c r="AE77" s="1" t="s">
        <v>575</v>
      </c>
    </row>
    <row r="78" spans="1:31" x14ac:dyDescent="0.3">
      <c r="A78" t="s">
        <v>333</v>
      </c>
      <c r="B78" t="s">
        <v>128</v>
      </c>
      <c r="C78" t="s">
        <v>264</v>
      </c>
      <c r="D78" t="s">
        <v>120</v>
      </c>
      <c r="E78" t="s">
        <v>265</v>
      </c>
      <c r="F78" t="s">
        <v>573</v>
      </c>
      <c r="G78">
        <v>-5.2</v>
      </c>
      <c r="H78">
        <v>2.5</v>
      </c>
      <c r="I78" s="1">
        <v>0.26871800000000001</v>
      </c>
      <c r="J78" s="1">
        <v>0.156586</v>
      </c>
      <c r="K78" s="1">
        <v>105.295</v>
      </c>
      <c r="L78" s="1">
        <v>3.5692599999999998E-2</v>
      </c>
      <c r="M78" s="1">
        <v>2.5247700000000001E-2</v>
      </c>
      <c r="N78" s="1">
        <v>0.68448699999999996</v>
      </c>
      <c r="O78" s="1">
        <v>0.56416999999999995</v>
      </c>
      <c r="P78" s="1">
        <v>1.24955E-2</v>
      </c>
      <c r="Q78" s="1">
        <v>0.10251399999999999</v>
      </c>
      <c r="R78" s="1">
        <v>0.51750200000000002</v>
      </c>
      <c r="S78" s="1">
        <v>27.987500000000001</v>
      </c>
      <c r="T78" s="1" t="s">
        <v>575</v>
      </c>
      <c r="U78" s="1">
        <v>7.9215599999999994E-3</v>
      </c>
      <c r="V78" s="1" t="s">
        <v>575</v>
      </c>
      <c r="W78" s="1" t="s">
        <v>575</v>
      </c>
      <c r="X78" s="1">
        <v>6.6561800000000004E-2</v>
      </c>
      <c r="Y78" s="1">
        <v>1.77473E-3</v>
      </c>
      <c r="Z78" s="1">
        <v>0.25290800000000002</v>
      </c>
      <c r="AA78" s="1" t="s">
        <v>575</v>
      </c>
      <c r="AB78" s="1" t="s">
        <v>575</v>
      </c>
      <c r="AC78" s="1">
        <v>1.77904E-3</v>
      </c>
      <c r="AD78" s="1">
        <v>8.2028599999999993E-2</v>
      </c>
      <c r="AE78" s="1">
        <v>3.1044499999999999E-3</v>
      </c>
    </row>
  </sheetData>
  <phoneticPr fontId="1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01FC-FFE4-4E72-BD92-D3D34FE61250}">
  <dimension ref="A1:N13"/>
  <sheetViews>
    <sheetView workbookViewId="0">
      <selection activeCell="I59" sqref="I59"/>
    </sheetView>
  </sheetViews>
  <sheetFormatPr baseColWidth="10" defaultRowHeight="14.4" x14ac:dyDescent="0.3"/>
  <cols>
    <col min="1" max="1" width="17" customWidth="1"/>
  </cols>
  <sheetData>
    <row r="1" spans="1:14" x14ac:dyDescent="0.3">
      <c r="A1" s="1" t="s">
        <v>113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 t="s">
        <v>114</v>
      </c>
      <c r="B2" s="1" t="s">
        <v>115</v>
      </c>
      <c r="C2" s="1" t="s">
        <v>115</v>
      </c>
      <c r="D2" s="1" t="s">
        <v>115</v>
      </c>
      <c r="E2" s="1" t="s">
        <v>115</v>
      </c>
      <c r="F2" s="1" t="s">
        <v>115</v>
      </c>
      <c r="G2" s="1" t="s">
        <v>115</v>
      </c>
      <c r="H2" s="1" t="s">
        <v>115</v>
      </c>
      <c r="I2" s="1" t="s">
        <v>115</v>
      </c>
      <c r="J2" s="1" t="s">
        <v>115</v>
      </c>
      <c r="K2" s="1" t="s">
        <v>115</v>
      </c>
      <c r="L2" s="1" t="s">
        <v>115</v>
      </c>
      <c r="M2" s="1" t="s">
        <v>115</v>
      </c>
      <c r="N2" s="1"/>
    </row>
    <row r="3" spans="1:14" x14ac:dyDescent="0.3">
      <c r="A3">
        <v>1</v>
      </c>
      <c r="B3">
        <v>8.9999999999999993E-3</v>
      </c>
      <c r="C3">
        <v>2.4E-2</v>
      </c>
      <c r="D3">
        <v>53.398000000000003</v>
      </c>
      <c r="E3">
        <v>5.2999999999999999E-2</v>
      </c>
      <c r="F3">
        <v>2.3E-2</v>
      </c>
      <c r="G3">
        <v>0</v>
      </c>
      <c r="H3">
        <v>0</v>
      </c>
      <c r="I3">
        <v>46.554000000000002</v>
      </c>
      <c r="J3">
        <v>0</v>
      </c>
      <c r="K3">
        <v>2.8000000000000001E-2</v>
      </c>
      <c r="L3">
        <v>6.0000000000000001E-3</v>
      </c>
      <c r="M3">
        <v>100.095</v>
      </c>
      <c r="N3" s="1" t="s">
        <v>13</v>
      </c>
    </row>
    <row r="4" spans="1:14" x14ac:dyDescent="0.3">
      <c r="A4">
        <v>2</v>
      </c>
      <c r="B4">
        <v>0</v>
      </c>
      <c r="C4">
        <v>2.1999999999999999E-2</v>
      </c>
      <c r="D4">
        <v>53.226999999999997</v>
      </c>
      <c r="E4">
        <v>5.8000000000000003E-2</v>
      </c>
      <c r="F4">
        <v>2.9000000000000001E-2</v>
      </c>
      <c r="G4">
        <v>0</v>
      </c>
      <c r="H4">
        <v>1.6E-2</v>
      </c>
      <c r="I4">
        <v>46.375999999999998</v>
      </c>
      <c r="J4">
        <v>4.8000000000000001E-2</v>
      </c>
      <c r="K4">
        <v>8.0000000000000002E-3</v>
      </c>
      <c r="L4">
        <v>2E-3</v>
      </c>
      <c r="M4">
        <v>99.786000000000001</v>
      </c>
      <c r="N4" s="1" t="s">
        <v>13</v>
      </c>
    </row>
    <row r="5" spans="1:14" x14ac:dyDescent="0.3">
      <c r="A5">
        <v>3</v>
      </c>
      <c r="B5">
        <v>2.3E-2</v>
      </c>
      <c r="C5">
        <v>3.7999999999999999E-2</v>
      </c>
      <c r="D5">
        <v>53.883000000000003</v>
      </c>
      <c r="E5">
        <v>0.05</v>
      </c>
      <c r="F5">
        <v>0.05</v>
      </c>
      <c r="G5">
        <v>1.6E-2</v>
      </c>
      <c r="H5">
        <v>1.7999999999999999E-2</v>
      </c>
      <c r="I5">
        <v>46.552</v>
      </c>
      <c r="J5">
        <v>0</v>
      </c>
      <c r="K5">
        <v>0</v>
      </c>
      <c r="L5">
        <v>8.0000000000000002E-3</v>
      </c>
      <c r="M5">
        <v>100.63800000000001</v>
      </c>
      <c r="N5" s="1" t="s">
        <v>13</v>
      </c>
    </row>
    <row r="6" spans="1:14" x14ac:dyDescent="0.3">
      <c r="A6">
        <v>123</v>
      </c>
      <c r="B6">
        <v>0</v>
      </c>
      <c r="C6">
        <v>0.03</v>
      </c>
      <c r="D6">
        <v>53.238999999999997</v>
      </c>
      <c r="E6">
        <v>6.6000000000000003E-2</v>
      </c>
      <c r="F6">
        <v>7.0999999999999994E-2</v>
      </c>
      <c r="G6">
        <v>1.6E-2</v>
      </c>
      <c r="H6">
        <v>0</v>
      </c>
      <c r="I6">
        <v>46.893000000000001</v>
      </c>
      <c r="J6">
        <v>0</v>
      </c>
      <c r="K6">
        <v>0</v>
      </c>
      <c r="L6">
        <v>1E-3</v>
      </c>
      <c r="M6">
        <v>100.316</v>
      </c>
      <c r="N6" s="1" t="s">
        <v>112</v>
      </c>
    </row>
    <row r="7" spans="1:14" x14ac:dyDescent="0.3">
      <c r="A7">
        <v>124</v>
      </c>
      <c r="B7">
        <v>2.1000000000000001E-2</v>
      </c>
      <c r="C7">
        <v>1.2999999999999999E-2</v>
      </c>
      <c r="D7">
        <v>53.344000000000001</v>
      </c>
      <c r="E7">
        <v>5.0999999999999997E-2</v>
      </c>
      <c r="F7">
        <v>0.04</v>
      </c>
      <c r="G7">
        <v>0</v>
      </c>
      <c r="H7">
        <v>0</v>
      </c>
      <c r="I7">
        <v>47.17</v>
      </c>
      <c r="J7">
        <v>0</v>
      </c>
      <c r="K7">
        <v>3.5999999999999997E-2</v>
      </c>
      <c r="L7">
        <v>1.9E-2</v>
      </c>
      <c r="M7">
        <v>100.694</v>
      </c>
      <c r="N7" s="1" t="s">
        <v>112</v>
      </c>
    </row>
    <row r="8" spans="1:14" x14ac:dyDescent="0.3">
      <c r="A8">
        <v>172</v>
      </c>
      <c r="B8">
        <v>7.0000000000000001E-3</v>
      </c>
      <c r="C8">
        <v>5.2999999999999999E-2</v>
      </c>
      <c r="D8">
        <v>53.46</v>
      </c>
      <c r="E8">
        <v>4.5999999999999999E-2</v>
      </c>
      <c r="F8">
        <v>3.5000000000000003E-2</v>
      </c>
      <c r="G8">
        <v>0.11</v>
      </c>
      <c r="H8">
        <v>2.1999999999999999E-2</v>
      </c>
      <c r="I8">
        <v>46.457999999999998</v>
      </c>
      <c r="J8">
        <v>0</v>
      </c>
      <c r="K8">
        <v>4.9000000000000002E-2</v>
      </c>
      <c r="L8">
        <v>1.2999999999999999E-2</v>
      </c>
      <c r="M8">
        <v>100.253</v>
      </c>
      <c r="N8" t="s">
        <v>112</v>
      </c>
    </row>
    <row r="9" spans="1:14" x14ac:dyDescent="0.3">
      <c r="A9">
        <v>173</v>
      </c>
      <c r="B9">
        <v>7.0000000000000001E-3</v>
      </c>
      <c r="C9">
        <v>0.04</v>
      </c>
      <c r="D9">
        <v>53.286999999999999</v>
      </c>
      <c r="E9">
        <v>4.3999999999999997E-2</v>
      </c>
      <c r="F9">
        <v>0.04</v>
      </c>
      <c r="G9">
        <v>0</v>
      </c>
      <c r="H9">
        <v>4.0000000000000001E-3</v>
      </c>
      <c r="I9">
        <v>46.811999999999998</v>
      </c>
      <c r="J9">
        <v>6.7000000000000004E-2</v>
      </c>
      <c r="K9">
        <v>2.5999999999999999E-2</v>
      </c>
      <c r="L9">
        <v>2.4E-2</v>
      </c>
      <c r="M9">
        <v>100.351</v>
      </c>
      <c r="N9" t="s">
        <v>112</v>
      </c>
    </row>
    <row r="10" spans="1:14" x14ac:dyDescent="0.3">
      <c r="A10">
        <v>1</v>
      </c>
      <c r="B10">
        <v>2E-3</v>
      </c>
      <c r="C10">
        <v>2.8000000000000001E-2</v>
      </c>
      <c r="D10">
        <v>53.265999999999998</v>
      </c>
      <c r="E10">
        <v>2.5000000000000001E-2</v>
      </c>
      <c r="F10">
        <v>5.8000000000000003E-2</v>
      </c>
      <c r="G10">
        <v>0</v>
      </c>
      <c r="H10">
        <v>0</v>
      </c>
      <c r="I10">
        <v>46.658999999999999</v>
      </c>
      <c r="J10">
        <v>0</v>
      </c>
      <c r="K10">
        <v>0</v>
      </c>
      <c r="L10">
        <v>0</v>
      </c>
      <c r="M10">
        <v>100.038</v>
      </c>
      <c r="N10" t="s">
        <v>112</v>
      </c>
    </row>
    <row r="11" spans="1:14" x14ac:dyDescent="0.3">
      <c r="A11">
        <v>2</v>
      </c>
      <c r="B11">
        <v>3.3000000000000002E-2</v>
      </c>
      <c r="C11">
        <v>3.1E-2</v>
      </c>
      <c r="D11">
        <v>53.042000000000002</v>
      </c>
      <c r="E11">
        <v>2.1999999999999999E-2</v>
      </c>
      <c r="F11">
        <v>2.5999999999999999E-2</v>
      </c>
      <c r="G11">
        <v>0</v>
      </c>
      <c r="H11">
        <v>1.7000000000000001E-2</v>
      </c>
      <c r="I11">
        <v>46.777999999999999</v>
      </c>
      <c r="J11">
        <v>1E-3</v>
      </c>
      <c r="K11">
        <v>0</v>
      </c>
      <c r="L11">
        <v>7.0000000000000001E-3</v>
      </c>
      <c r="M11">
        <v>99.956999999999994</v>
      </c>
      <c r="N11" t="s">
        <v>112</v>
      </c>
    </row>
    <row r="12" spans="1:14" x14ac:dyDescent="0.3">
      <c r="A12">
        <v>3</v>
      </c>
      <c r="B12">
        <v>0.03</v>
      </c>
      <c r="C12">
        <v>0</v>
      </c>
      <c r="D12">
        <v>53.447000000000003</v>
      </c>
      <c r="E12">
        <v>1.7000000000000001E-2</v>
      </c>
      <c r="F12">
        <v>5.5E-2</v>
      </c>
      <c r="G12">
        <v>3.2000000000000001E-2</v>
      </c>
      <c r="H12">
        <v>1.4999999999999999E-2</v>
      </c>
      <c r="I12">
        <v>46.735999999999997</v>
      </c>
      <c r="J12">
        <v>5.7000000000000002E-2</v>
      </c>
      <c r="K12">
        <v>1.6E-2</v>
      </c>
      <c r="L12">
        <v>4.2000000000000003E-2</v>
      </c>
      <c r="M12">
        <v>100.447</v>
      </c>
      <c r="N12" t="s">
        <v>112</v>
      </c>
    </row>
    <row r="13" spans="1:14" x14ac:dyDescent="0.3">
      <c r="A13">
        <v>4</v>
      </c>
      <c r="B13">
        <v>0</v>
      </c>
      <c r="C13">
        <v>3.6999999999999998E-2</v>
      </c>
      <c r="D13">
        <v>53.072000000000003</v>
      </c>
      <c r="E13">
        <v>5.0999999999999997E-2</v>
      </c>
      <c r="F13">
        <v>5.5E-2</v>
      </c>
      <c r="G13">
        <v>0</v>
      </c>
      <c r="H13">
        <v>8.0000000000000002E-3</v>
      </c>
      <c r="I13">
        <v>46.488999999999997</v>
      </c>
      <c r="J13">
        <v>0</v>
      </c>
      <c r="K13">
        <v>3.0000000000000001E-3</v>
      </c>
      <c r="L13">
        <v>2.8000000000000001E-2</v>
      </c>
      <c r="M13">
        <v>99.742999999999995</v>
      </c>
      <c r="N13" t="s">
        <v>112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C719-0F74-4868-B2C3-4F3A33047C3C}">
  <dimension ref="A1:R39"/>
  <sheetViews>
    <sheetView workbookViewId="0">
      <selection activeCell="J51" sqref="J51"/>
    </sheetView>
  </sheetViews>
  <sheetFormatPr baseColWidth="10" defaultRowHeight="14.4" x14ac:dyDescent="0.3"/>
  <cols>
    <col min="1" max="1" width="26" customWidth="1"/>
    <col min="2" max="2" width="15.6640625" bestFit="1" customWidth="1"/>
    <col min="3" max="4" width="12" bestFit="1" customWidth="1"/>
    <col min="5" max="6" width="15.6640625" bestFit="1" customWidth="1"/>
    <col min="7" max="14" width="12" bestFit="1" customWidth="1"/>
    <col min="16" max="18" width="12" bestFit="1" customWidth="1"/>
  </cols>
  <sheetData>
    <row r="1" spans="1:18" s="3" customFormat="1" x14ac:dyDescent="0.3">
      <c r="B1" s="3" t="s">
        <v>525</v>
      </c>
      <c r="C1" s="3" t="s">
        <v>526</v>
      </c>
      <c r="D1" s="3" t="s">
        <v>527</v>
      </c>
      <c r="E1" s="3" t="s">
        <v>528</v>
      </c>
      <c r="F1" s="3" t="s">
        <v>529</v>
      </c>
      <c r="G1" s="3" t="s">
        <v>530</v>
      </c>
      <c r="H1" s="3" t="s">
        <v>531</v>
      </c>
      <c r="I1" s="3" t="s">
        <v>532</v>
      </c>
      <c r="J1" s="3" t="s">
        <v>533</v>
      </c>
      <c r="K1" s="3" t="s">
        <v>534</v>
      </c>
      <c r="L1" s="3" t="s">
        <v>535</v>
      </c>
      <c r="M1" s="3" t="s">
        <v>536</v>
      </c>
      <c r="N1" s="3" t="s">
        <v>537</v>
      </c>
      <c r="O1" s="3" t="s">
        <v>538</v>
      </c>
      <c r="P1" s="3" t="s">
        <v>539</v>
      </c>
      <c r="Q1" s="3" t="s">
        <v>540</v>
      </c>
      <c r="R1" s="3" t="s">
        <v>541</v>
      </c>
    </row>
    <row r="2" spans="1:18" x14ac:dyDescent="0.3">
      <c r="A2" t="s">
        <v>542</v>
      </c>
      <c r="B2" s="1">
        <v>142896.97369981799</v>
      </c>
      <c r="C2" s="1">
        <v>52.826261799128801</v>
      </c>
      <c r="D2" s="1">
        <v>91.154748210452993</v>
      </c>
      <c r="E2" s="1">
        <v>130753.980355216</v>
      </c>
      <c r="F2" s="1">
        <v>193424.503377135</v>
      </c>
      <c r="G2" s="1">
        <v>43.354538867059901</v>
      </c>
      <c r="H2" s="1">
        <v>60.931709676396999</v>
      </c>
      <c r="I2" s="1">
        <v>47.008733937709103</v>
      </c>
      <c r="J2" s="1">
        <v>54.943742248252804</v>
      </c>
      <c r="K2" s="1">
        <v>49.045603518940403</v>
      </c>
      <c r="L2" s="1">
        <v>53.7718409855418</v>
      </c>
      <c r="M2" s="1">
        <v>54.668341292680203</v>
      </c>
      <c r="N2" s="1">
        <v>13.2906072677136</v>
      </c>
      <c r="O2" s="1">
        <v>41.469222232282597</v>
      </c>
      <c r="P2" s="1">
        <v>43.121538723286797</v>
      </c>
      <c r="Q2" s="1">
        <v>64.138542244249805</v>
      </c>
      <c r="R2" s="1">
        <v>57.6451276859624</v>
      </c>
    </row>
    <row r="3" spans="1:18" x14ac:dyDescent="0.3">
      <c r="A3" t="s">
        <v>545</v>
      </c>
      <c r="B3" s="1">
        <v>160391.132380447</v>
      </c>
      <c r="C3" s="1">
        <v>63.575355153470703</v>
      </c>
      <c r="D3" s="1">
        <v>100.649579874952</v>
      </c>
      <c r="E3" s="1">
        <v>135269.020597817</v>
      </c>
      <c r="F3" s="1">
        <v>219301.154069654</v>
      </c>
      <c r="G3" s="1">
        <v>53.343392699108101</v>
      </c>
      <c r="H3" s="1">
        <v>66.5936142396707</v>
      </c>
      <c r="I3" s="1">
        <v>56.537027761474</v>
      </c>
      <c r="J3" s="1">
        <v>60.996374208837103</v>
      </c>
      <c r="K3" s="1">
        <v>50.849528018184301</v>
      </c>
      <c r="L3" s="1">
        <v>62.439606572765499</v>
      </c>
      <c r="M3" s="1">
        <v>62.420816684232001</v>
      </c>
      <c r="N3" s="1">
        <v>17.102979100753199</v>
      </c>
      <c r="O3" s="1">
        <v>45.8857810389175</v>
      </c>
      <c r="P3" s="1">
        <v>52.085312849241198</v>
      </c>
      <c r="Q3" s="1">
        <v>69.923660315620296</v>
      </c>
      <c r="R3" s="1">
        <v>61.133995668299697</v>
      </c>
    </row>
    <row r="4" spans="1:18" x14ac:dyDescent="0.3">
      <c r="A4" t="s">
        <v>546</v>
      </c>
      <c r="B4" s="1">
        <v>153330.701427714</v>
      </c>
      <c r="C4" s="1">
        <v>62.280915935935397</v>
      </c>
      <c r="D4" s="1">
        <v>100.646757873881</v>
      </c>
      <c r="E4" s="1">
        <v>141612.15440653299</v>
      </c>
      <c r="F4" s="1">
        <v>217770.461514033</v>
      </c>
      <c r="G4" s="1">
        <v>49.740201474600099</v>
      </c>
      <c r="H4" s="1">
        <v>63.886610249208999</v>
      </c>
      <c r="I4" s="1">
        <v>52.067863653731401</v>
      </c>
      <c r="J4" s="1">
        <v>57.892094748446397</v>
      </c>
      <c r="K4" s="1">
        <v>57.738552300363999</v>
      </c>
      <c r="L4" s="1">
        <v>62.056671884537899</v>
      </c>
      <c r="M4" s="1">
        <v>59.768026303771599</v>
      </c>
      <c r="N4" s="1">
        <v>14.4508254515041</v>
      </c>
      <c r="O4" s="1">
        <v>64.000177951165199</v>
      </c>
      <c r="P4" s="1">
        <v>50.7436921989556</v>
      </c>
      <c r="Q4" s="1">
        <v>72.366699168409397</v>
      </c>
      <c r="R4" s="1">
        <v>64.137557969230599</v>
      </c>
    </row>
    <row r="5" spans="1:18" x14ac:dyDescent="0.3">
      <c r="A5" t="s">
        <v>547</v>
      </c>
      <c r="B5" s="1">
        <v>167722.73041968999</v>
      </c>
      <c r="C5" s="1">
        <v>60.578257338044203</v>
      </c>
      <c r="D5" s="1">
        <v>96.346500982016394</v>
      </c>
      <c r="E5" s="1">
        <v>137042.342765785</v>
      </c>
      <c r="F5" s="1">
        <v>210052.90124138299</v>
      </c>
      <c r="G5" s="1">
        <v>55.938529285426497</v>
      </c>
      <c r="H5" s="1">
        <v>69.983592485707504</v>
      </c>
      <c r="I5" s="1">
        <v>56.298772239207999</v>
      </c>
      <c r="J5" s="1">
        <v>60.1102493574843</v>
      </c>
      <c r="K5" s="1">
        <v>51.963250918967901</v>
      </c>
      <c r="L5" s="1">
        <v>59.423603501864598</v>
      </c>
      <c r="M5" s="1">
        <v>65.289986871372193</v>
      </c>
      <c r="N5" s="1">
        <v>18.096354128439501</v>
      </c>
      <c r="O5" s="1">
        <v>39.934192577375399</v>
      </c>
      <c r="P5" s="1">
        <v>53.150008800161999</v>
      </c>
      <c r="Q5" s="1">
        <v>65.357639296947497</v>
      </c>
      <c r="R5" s="1">
        <v>65.2435209305809</v>
      </c>
    </row>
    <row r="6" spans="1:18" x14ac:dyDescent="0.3">
      <c r="A6" t="s">
        <v>548</v>
      </c>
      <c r="B6" s="1">
        <v>141458.334783158</v>
      </c>
      <c r="C6" s="1">
        <v>61.596492111049898</v>
      </c>
      <c r="D6" s="1">
        <v>100.404391733308</v>
      </c>
      <c r="E6" s="1">
        <v>139857.46219207699</v>
      </c>
      <c r="F6" s="1">
        <v>205871.90339229899</v>
      </c>
      <c r="G6" s="1">
        <v>46.1284983606362</v>
      </c>
      <c r="H6" s="1">
        <v>66.126294760270198</v>
      </c>
      <c r="I6" s="1">
        <v>51.224207964741197</v>
      </c>
      <c r="J6" s="1">
        <v>63.342941078739699</v>
      </c>
      <c r="K6" s="1">
        <v>49.673130036227498</v>
      </c>
      <c r="L6" s="1">
        <v>62.711322599784701</v>
      </c>
      <c r="M6" s="1">
        <v>56.788889299949403</v>
      </c>
      <c r="N6" s="1">
        <v>16.432780114057699</v>
      </c>
      <c r="O6" s="1">
        <v>37.1269475496645</v>
      </c>
      <c r="P6" s="1">
        <v>52.032654454278898</v>
      </c>
      <c r="Q6" s="1">
        <v>67.721446870990604</v>
      </c>
      <c r="R6" s="1">
        <v>58.8480437789189</v>
      </c>
    </row>
    <row r="7" spans="1:18" x14ac:dyDescent="0.3">
      <c r="A7" t="s">
        <v>549</v>
      </c>
      <c r="B7" s="1">
        <v>152345.98686497699</v>
      </c>
      <c r="C7" s="1">
        <v>60.360333188409797</v>
      </c>
      <c r="D7" s="1">
        <v>96.688870882171003</v>
      </c>
      <c r="E7" s="1">
        <v>147438.045380294</v>
      </c>
      <c r="F7" s="1">
        <v>215475.788171227</v>
      </c>
      <c r="G7" s="1">
        <v>52.287380145206598</v>
      </c>
      <c r="H7" s="1">
        <v>61.422305049716897</v>
      </c>
      <c r="I7" s="1">
        <v>46.9904650166769</v>
      </c>
      <c r="J7" s="1">
        <v>56.278989927717703</v>
      </c>
      <c r="K7" s="1">
        <v>50.821326549550903</v>
      </c>
      <c r="L7" s="1">
        <v>65.940013733415299</v>
      </c>
      <c r="M7" s="1">
        <v>59.482519245555501</v>
      </c>
      <c r="N7" s="1">
        <v>13.8353905373492</v>
      </c>
      <c r="O7" s="1">
        <v>35.239320959460102</v>
      </c>
      <c r="P7" s="1">
        <v>47.238759476266601</v>
      </c>
      <c r="Q7" s="1">
        <v>68.781335569590496</v>
      </c>
      <c r="R7" s="1">
        <v>59.829052526297701</v>
      </c>
    </row>
    <row r="8" spans="1:18" x14ac:dyDescent="0.3">
      <c r="A8" t="s">
        <v>550</v>
      </c>
      <c r="B8" s="1">
        <v>154773.59492882999</v>
      </c>
      <c r="C8" s="1">
        <v>56.202837021387403</v>
      </c>
      <c r="D8" s="1">
        <v>93.657041027343794</v>
      </c>
      <c r="E8" s="1">
        <v>119875.24117084499</v>
      </c>
      <c r="F8" s="1">
        <v>206118.56178376701</v>
      </c>
      <c r="G8" s="1">
        <v>48.721876950971698</v>
      </c>
      <c r="H8" s="1">
        <v>63.653759884983899</v>
      </c>
      <c r="I8" s="1">
        <v>48.475602436006099</v>
      </c>
      <c r="J8" s="1">
        <v>58.503159751109202</v>
      </c>
      <c r="K8" s="1">
        <v>46.965887430321203</v>
      </c>
      <c r="L8" s="1">
        <v>55.2091748900365</v>
      </c>
      <c r="M8" s="1">
        <v>60.322249356353502</v>
      </c>
      <c r="N8" s="1">
        <v>13.6442557350772</v>
      </c>
      <c r="O8" s="1">
        <v>33.268761753068603</v>
      </c>
      <c r="P8" s="1">
        <v>47.254805613960102</v>
      </c>
      <c r="Q8" s="1">
        <v>70.811352126355402</v>
      </c>
      <c r="R8" s="1">
        <v>56.1438371948705</v>
      </c>
    </row>
    <row r="10" spans="1:18" s="4" customFormat="1" x14ac:dyDescent="0.3">
      <c r="A10" s="4" t="s">
        <v>563</v>
      </c>
      <c r="B10" s="4">
        <v>156000</v>
      </c>
      <c r="C10" s="4">
        <v>60</v>
      </c>
      <c r="D10" s="4">
        <v>97</v>
      </c>
      <c r="E10" s="4">
        <v>134000</v>
      </c>
      <c r="F10" s="4">
        <v>210000</v>
      </c>
      <c r="G10" s="4">
        <v>50</v>
      </c>
      <c r="H10" s="4">
        <v>65</v>
      </c>
      <c r="I10" s="4">
        <v>51</v>
      </c>
      <c r="J10" s="4">
        <v>59</v>
      </c>
      <c r="K10" s="4">
        <v>50</v>
      </c>
      <c r="L10" s="4">
        <v>60</v>
      </c>
      <c r="M10" s="4">
        <v>60</v>
      </c>
      <c r="N10" s="4">
        <v>15</v>
      </c>
      <c r="P10" s="4">
        <v>50</v>
      </c>
      <c r="Q10" s="4">
        <v>68</v>
      </c>
      <c r="R10" s="4">
        <v>60</v>
      </c>
    </row>
    <row r="11" spans="1:18" x14ac:dyDescent="0.3">
      <c r="A11" t="s">
        <v>524</v>
      </c>
      <c r="B11" s="1">
        <f>AVERAGE(B2:B8)</f>
        <v>153274.2077863763</v>
      </c>
      <c r="C11" s="1">
        <f t="shared" ref="C11:R11" si="0">AVERAGE(C2:C8)</f>
        <v>59.631493221060893</v>
      </c>
      <c r="D11" s="1">
        <f t="shared" si="0"/>
        <v>97.078270083446455</v>
      </c>
      <c r="E11" s="1">
        <f t="shared" si="0"/>
        <v>135978.32098122386</v>
      </c>
      <c r="F11" s="1">
        <f t="shared" si="0"/>
        <v>209716.46764992829</v>
      </c>
      <c r="G11" s="1">
        <f t="shared" si="0"/>
        <v>49.930631111858439</v>
      </c>
      <c r="H11" s="1">
        <f t="shared" si="0"/>
        <v>64.656840906565023</v>
      </c>
      <c r="I11" s="1">
        <f t="shared" si="0"/>
        <v>51.228953287078113</v>
      </c>
      <c r="J11" s="1">
        <f t="shared" si="0"/>
        <v>58.866793045798168</v>
      </c>
      <c r="K11" s="1">
        <f t="shared" si="0"/>
        <v>51.008182681793755</v>
      </c>
      <c r="L11" s="1">
        <f t="shared" si="0"/>
        <v>60.22174773827804</v>
      </c>
      <c r="M11" s="1">
        <f t="shared" si="0"/>
        <v>59.820118436273489</v>
      </c>
      <c r="N11" s="1">
        <f t="shared" si="0"/>
        <v>15.264741762127786</v>
      </c>
      <c r="O11" s="1"/>
      <c r="P11" s="1">
        <f t="shared" si="0"/>
        <v>49.375253159450168</v>
      </c>
      <c r="Q11" s="1">
        <f t="shared" si="0"/>
        <v>68.442953656023363</v>
      </c>
      <c r="R11" s="1">
        <f t="shared" si="0"/>
        <v>60.425876536308671</v>
      </c>
    </row>
    <row r="12" spans="1:18" x14ac:dyDescent="0.3">
      <c r="A12" t="s">
        <v>565</v>
      </c>
      <c r="B12" s="1">
        <f>(_xlfn.STDEV.P(B2:B8)/B11)*100</f>
        <v>5.5679144515394734</v>
      </c>
      <c r="C12" s="1">
        <f t="shared" ref="C12:R12" si="1">(_xlfn.STDEV.P(C2:C8)/C11)*100</f>
        <v>5.8755093105769607</v>
      </c>
      <c r="D12" s="1">
        <f t="shared" si="1"/>
        <v>3.5690280492130064</v>
      </c>
      <c r="E12" s="1">
        <f t="shared" si="1"/>
        <v>6.0025789946683776</v>
      </c>
      <c r="F12" s="1">
        <f t="shared" si="1"/>
        <v>3.9615787015237642</v>
      </c>
      <c r="G12" s="1">
        <f t="shared" si="1"/>
        <v>8.0287838137339786</v>
      </c>
      <c r="H12" s="1">
        <f t="shared" si="1"/>
        <v>4.5364633007733728</v>
      </c>
      <c r="I12" s="1">
        <f t="shared" si="1"/>
        <v>7.3015017378877545</v>
      </c>
      <c r="J12" s="1">
        <f t="shared" si="1"/>
        <v>4.5075928056678638</v>
      </c>
      <c r="K12" s="1">
        <f t="shared" si="1"/>
        <v>6.1213115178009723</v>
      </c>
      <c r="L12" s="1">
        <f t="shared" si="1"/>
        <v>6.7172072422918516</v>
      </c>
      <c r="M12" s="1">
        <f t="shared" si="1"/>
        <v>5.3902999899430277</v>
      </c>
      <c r="N12" s="1">
        <f t="shared" si="1"/>
        <v>11.611158896509544</v>
      </c>
      <c r="O12" s="1"/>
      <c r="P12" s="1">
        <f t="shared" si="1"/>
        <v>6.7908165263613141</v>
      </c>
      <c r="Q12" s="1">
        <f t="shared" si="1"/>
        <v>3.9776017272494628</v>
      </c>
      <c r="R12" s="1">
        <f t="shared" si="1"/>
        <v>5.0970423227888286</v>
      </c>
    </row>
    <row r="13" spans="1:18" x14ac:dyDescent="0.3">
      <c r="A13" t="s">
        <v>564</v>
      </c>
      <c r="B13" s="1">
        <f>100-(B11/B10)*100</f>
        <v>1.7473027010408373</v>
      </c>
      <c r="C13" s="1">
        <f t="shared" ref="C13:R13" si="2">100-(C11/C10)*100</f>
        <v>0.61417796489851639</v>
      </c>
      <c r="D13" s="1">
        <f t="shared" si="2"/>
        <v>-8.0690807676759846E-2</v>
      </c>
      <c r="E13" s="1">
        <f t="shared" si="2"/>
        <v>-1.4763589412118279</v>
      </c>
      <c r="F13" s="1">
        <f t="shared" si="2"/>
        <v>0.13501540479605012</v>
      </c>
      <c r="G13" s="1">
        <f t="shared" si="2"/>
        <v>0.13873777628312212</v>
      </c>
      <c r="H13" s="1">
        <f t="shared" si="2"/>
        <v>0.52793706682304276</v>
      </c>
      <c r="I13" s="1">
        <f t="shared" si="2"/>
        <v>-0.44892801387865688</v>
      </c>
      <c r="J13" s="1">
        <f t="shared" si="2"/>
        <v>0.22577449864716925</v>
      </c>
      <c r="K13" s="1">
        <f t="shared" si="2"/>
        <v>-2.0163653635875107</v>
      </c>
      <c r="L13" s="1">
        <f t="shared" si="2"/>
        <v>-0.36957956379673362</v>
      </c>
      <c r="M13" s="1">
        <f t="shared" si="2"/>
        <v>0.29980260621084653</v>
      </c>
      <c r="N13" s="1">
        <f t="shared" si="2"/>
        <v>-1.764945080851902</v>
      </c>
      <c r="O13" s="1"/>
      <c r="P13" s="1">
        <f t="shared" si="2"/>
        <v>1.2494936810996649</v>
      </c>
      <c r="Q13" s="1">
        <f t="shared" si="2"/>
        <v>-0.6514024353284924</v>
      </c>
      <c r="R13" s="1">
        <f t="shared" si="2"/>
        <v>-0.70979422718112062</v>
      </c>
    </row>
    <row r="16" spans="1:18" x14ac:dyDescent="0.3">
      <c r="A16" t="s">
        <v>551</v>
      </c>
      <c r="B16">
        <v>607436.96851945296</v>
      </c>
      <c r="O16">
        <v>47.097321558026799</v>
      </c>
    </row>
    <row r="17" spans="1:18" x14ac:dyDescent="0.3">
      <c r="A17" t="s">
        <v>552</v>
      </c>
      <c r="B17">
        <v>585853.33066529105</v>
      </c>
      <c r="O17">
        <v>45.9272666233446</v>
      </c>
    </row>
    <row r="18" spans="1:18" x14ac:dyDescent="0.3">
      <c r="A18" t="s">
        <v>553</v>
      </c>
      <c r="B18">
        <v>592519.13160860201</v>
      </c>
      <c r="O18">
        <v>52.029378199022197</v>
      </c>
    </row>
    <row r="19" spans="1:18" x14ac:dyDescent="0.3">
      <c r="A19" t="s">
        <v>554</v>
      </c>
      <c r="B19">
        <v>671318.95363314904</v>
      </c>
      <c r="O19">
        <v>46.177947441126697</v>
      </c>
    </row>
    <row r="20" spans="1:18" x14ac:dyDescent="0.3">
      <c r="A20" t="s">
        <v>555</v>
      </c>
      <c r="B20">
        <v>592060.57329283399</v>
      </c>
      <c r="O20">
        <v>47.329904499000499</v>
      </c>
    </row>
    <row r="21" spans="1:18" x14ac:dyDescent="0.3">
      <c r="A21" t="s">
        <v>556</v>
      </c>
      <c r="B21">
        <v>670697.96347054397</v>
      </c>
      <c r="O21">
        <v>47.195833329963797</v>
      </c>
    </row>
    <row r="23" spans="1:18" s="4" customFormat="1" x14ac:dyDescent="0.3">
      <c r="A23" s="4" t="s">
        <v>566</v>
      </c>
      <c r="B23" s="4">
        <v>608600</v>
      </c>
      <c r="C23" s="4" t="s">
        <v>543</v>
      </c>
      <c r="D23" s="4" t="s">
        <v>543</v>
      </c>
      <c r="E23" s="4" t="s">
        <v>543</v>
      </c>
      <c r="F23" s="4" t="s">
        <v>543</v>
      </c>
      <c r="G23" s="4" t="s">
        <v>543</v>
      </c>
      <c r="H23" s="4" t="s">
        <v>543</v>
      </c>
      <c r="I23" s="4" t="s">
        <v>543</v>
      </c>
      <c r="J23" s="4" t="s">
        <v>543</v>
      </c>
      <c r="K23" s="4" t="s">
        <v>543</v>
      </c>
      <c r="L23" s="4" t="s">
        <v>543</v>
      </c>
      <c r="M23" s="4" t="s">
        <v>543</v>
      </c>
      <c r="N23" s="4" t="s">
        <v>543</v>
      </c>
      <c r="O23" s="4">
        <v>47.3</v>
      </c>
      <c r="P23" s="4" t="s">
        <v>543</v>
      </c>
      <c r="Q23" s="4" t="s">
        <v>543</v>
      </c>
      <c r="R23" s="4" t="s">
        <v>543</v>
      </c>
    </row>
    <row r="24" spans="1:18" x14ac:dyDescent="0.3">
      <c r="A24" t="s">
        <v>524</v>
      </c>
      <c r="B24" s="1">
        <f>AVERAGE(B15:B21)</f>
        <v>619981.15353164542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f t="shared" ref="O24" si="3">AVERAGE(O15:O21)</f>
        <v>47.626275275080765</v>
      </c>
    </row>
    <row r="25" spans="1:18" x14ac:dyDescent="0.3">
      <c r="A25" t="s">
        <v>565</v>
      </c>
      <c r="B25" s="1">
        <f>(_xlfn.STDEV.P(B15:B21)/B24)*100</f>
        <v>5.9130159637912723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f t="shared" ref="O25" si="4">(_xlfn.STDEV.P(O15:O21)/O24)*100</f>
        <v>4.2794804552471346</v>
      </c>
    </row>
    <row r="26" spans="1:18" x14ac:dyDescent="0.3">
      <c r="A26" t="s">
        <v>564</v>
      </c>
      <c r="B26" s="1">
        <f>100-(B24/B23)*100</f>
        <v>-1.8700548030965223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f t="shared" ref="O26" si="5">100-(O24/O23)*100</f>
        <v>-0.6897997359001522</v>
      </c>
    </row>
    <row r="29" spans="1:18" x14ac:dyDescent="0.3">
      <c r="A29" t="s">
        <v>557</v>
      </c>
      <c r="B29" s="1">
        <v>465593.93172659201</v>
      </c>
      <c r="C29" s="1">
        <v>648.55604384936601</v>
      </c>
      <c r="D29" s="1">
        <v>31076.152744568699</v>
      </c>
      <c r="E29" s="1">
        <v>26106.787441415701</v>
      </c>
      <c r="F29" s="1">
        <v>276.90079197630303</v>
      </c>
      <c r="G29" s="1">
        <v>5.1238708088295404</v>
      </c>
      <c r="H29" s="1">
        <v>1314.6727028765399</v>
      </c>
      <c r="I29" s="1">
        <v>406.391568715169</v>
      </c>
      <c r="J29" s="1">
        <v>79.709172921700102</v>
      </c>
      <c r="K29" s="1">
        <v>129.303530113112</v>
      </c>
      <c r="L29" s="1">
        <v>1.8036544143317299</v>
      </c>
      <c r="M29" s="1">
        <v>61.766336382054803</v>
      </c>
      <c r="N29" s="1">
        <v>179.82315133680001</v>
      </c>
      <c r="O29" s="1">
        <v>60.686032556271698</v>
      </c>
      <c r="P29" s="1">
        <v>0.17682519865986401</v>
      </c>
      <c r="Q29" s="1">
        <v>81.513321049883302</v>
      </c>
      <c r="R29" s="1">
        <v>102.82598542633301</v>
      </c>
    </row>
    <row r="30" spans="1:18" x14ac:dyDescent="0.3">
      <c r="A30" t="s">
        <v>558</v>
      </c>
      <c r="B30" s="1">
        <v>428231.251828907</v>
      </c>
      <c r="C30" s="1">
        <v>617.98888764907394</v>
      </c>
      <c r="D30" s="1">
        <v>28190.619248737999</v>
      </c>
      <c r="E30" s="1">
        <v>23912.8747699163</v>
      </c>
      <c r="F30" s="1">
        <v>278.95785778355099</v>
      </c>
      <c r="G30" s="1">
        <v>5.1213265127863501</v>
      </c>
      <c r="H30" s="1">
        <v>1386.20471736697</v>
      </c>
      <c r="I30" s="1">
        <v>359.91799761569899</v>
      </c>
      <c r="J30" s="1">
        <v>69.511151020259504</v>
      </c>
      <c r="K30" s="1">
        <v>133.60247541728401</v>
      </c>
      <c r="L30" s="1" t="s">
        <v>544</v>
      </c>
      <c r="M30" s="1">
        <v>91.257877333419501</v>
      </c>
      <c r="N30" s="1">
        <v>181.608774191327</v>
      </c>
      <c r="O30" s="1">
        <v>72.313686012953198</v>
      </c>
      <c r="P30" s="1">
        <v>0.228555469800343</v>
      </c>
      <c r="Q30" s="1">
        <v>81.603619665045798</v>
      </c>
      <c r="R30" s="1">
        <v>113.992500549192</v>
      </c>
    </row>
    <row r="31" spans="1:18" x14ac:dyDescent="0.3">
      <c r="A31" t="s">
        <v>559</v>
      </c>
      <c r="B31" s="1">
        <v>383071.133634736</v>
      </c>
      <c r="C31" s="1">
        <v>557.60963338115596</v>
      </c>
      <c r="D31" s="1">
        <v>22013.915223534099</v>
      </c>
      <c r="E31" s="1">
        <v>20051.309677798799</v>
      </c>
      <c r="F31" s="1">
        <v>224.74922642182401</v>
      </c>
      <c r="G31" s="1">
        <v>4.99735910579746</v>
      </c>
      <c r="H31" s="1">
        <v>1383.21125033373</v>
      </c>
      <c r="I31" s="1">
        <v>380.41877441488799</v>
      </c>
      <c r="J31" s="1">
        <v>73.613531927138595</v>
      </c>
      <c r="K31" s="1">
        <v>101.416080519761</v>
      </c>
      <c r="L31" s="1">
        <v>2.3696626576489201</v>
      </c>
      <c r="M31" s="1">
        <v>56.412470186835598</v>
      </c>
      <c r="N31" s="1">
        <v>168.434289177811</v>
      </c>
      <c r="O31" s="1">
        <v>42.805549975953703</v>
      </c>
      <c r="P31" s="1">
        <v>0.35122516098963102</v>
      </c>
      <c r="Q31" s="1">
        <v>74.164013730287905</v>
      </c>
      <c r="R31" s="1">
        <v>103.497015215429</v>
      </c>
    </row>
    <row r="32" spans="1:18" x14ac:dyDescent="0.3">
      <c r="A32" t="s">
        <v>560</v>
      </c>
      <c r="B32" s="1">
        <v>447146.709957877</v>
      </c>
      <c r="C32" s="1">
        <v>645.45404017535498</v>
      </c>
      <c r="D32" s="1">
        <v>28138.079030048801</v>
      </c>
      <c r="E32" s="1">
        <v>24749.854963515601</v>
      </c>
      <c r="F32" s="1">
        <v>244.33247972834701</v>
      </c>
      <c r="G32" s="1">
        <v>5.3376383307719797</v>
      </c>
      <c r="H32" s="1">
        <v>1338.17696920053</v>
      </c>
      <c r="I32" s="1">
        <v>340.20700022252998</v>
      </c>
      <c r="J32" s="1">
        <v>71.023265593894493</v>
      </c>
      <c r="K32" s="1">
        <v>134.023053409168</v>
      </c>
      <c r="L32" s="1">
        <v>2.253657951418</v>
      </c>
      <c r="M32" s="1">
        <v>105.907410772804</v>
      </c>
      <c r="N32" s="1">
        <v>200.85329309562101</v>
      </c>
      <c r="O32" s="1">
        <v>67.098213811403596</v>
      </c>
      <c r="P32" s="1" t="s">
        <v>544</v>
      </c>
      <c r="Q32" s="1">
        <v>125.337351529294</v>
      </c>
      <c r="R32" s="1">
        <v>140.479774535703</v>
      </c>
    </row>
    <row r="33" spans="1:18" x14ac:dyDescent="0.3">
      <c r="A33" t="s">
        <v>561</v>
      </c>
      <c r="B33" s="1">
        <v>414587.69528216001</v>
      </c>
      <c r="C33" s="1">
        <v>613.57785316839295</v>
      </c>
      <c r="D33" s="1">
        <v>29351.088486392899</v>
      </c>
      <c r="E33" s="1">
        <v>21524.208560636202</v>
      </c>
      <c r="F33" s="1">
        <v>376.60062102442998</v>
      </c>
      <c r="G33" s="1">
        <v>4.6668355680911997</v>
      </c>
      <c r="H33" s="1">
        <v>1308.6917525634401</v>
      </c>
      <c r="I33" s="1">
        <v>328.60568607190203</v>
      </c>
      <c r="J33" s="1">
        <v>60.428955463207103</v>
      </c>
      <c r="K33" s="1">
        <v>118.91036293616</v>
      </c>
      <c r="L33" s="1">
        <v>2.79190964259291</v>
      </c>
      <c r="M33" s="1">
        <v>88.002216837734693</v>
      </c>
      <c r="N33" s="1">
        <v>187.792100714192</v>
      </c>
      <c r="O33" s="1">
        <v>41.654122965455898</v>
      </c>
      <c r="P33" s="1">
        <v>0.141037721937878</v>
      </c>
      <c r="Q33" s="1">
        <v>76.925898857268507</v>
      </c>
      <c r="R33" s="1">
        <v>104.222398226674</v>
      </c>
    </row>
    <row r="34" spans="1:18" x14ac:dyDescent="0.3">
      <c r="A34" t="s">
        <v>562</v>
      </c>
      <c r="B34" s="1">
        <v>438393.95183055999</v>
      </c>
      <c r="C34" s="1">
        <v>612.50298950515503</v>
      </c>
      <c r="D34" s="1">
        <v>26370.777245314101</v>
      </c>
      <c r="E34" s="1">
        <v>24462.665282959999</v>
      </c>
      <c r="F34" s="1">
        <v>273.15200838376501</v>
      </c>
      <c r="G34" s="1">
        <v>5.6208690612912404</v>
      </c>
      <c r="H34" s="1">
        <v>1318.1271774924201</v>
      </c>
      <c r="I34" s="1">
        <v>386.35995469737099</v>
      </c>
      <c r="J34" s="1">
        <v>75.960305556231603</v>
      </c>
      <c r="K34" s="1">
        <v>128.17743505484</v>
      </c>
      <c r="L34" s="1">
        <v>2.07188212595781</v>
      </c>
      <c r="M34" s="1">
        <v>106.28324136710999</v>
      </c>
      <c r="N34" s="1">
        <v>238.497494377061</v>
      </c>
      <c r="O34" s="1">
        <v>40.579621055210502</v>
      </c>
      <c r="P34" s="1">
        <v>0.19285218058789999</v>
      </c>
      <c r="Q34" s="1">
        <v>96.791975242680195</v>
      </c>
      <c r="R34" s="1">
        <v>128.22420656594599</v>
      </c>
    </row>
    <row r="36" spans="1:18" x14ac:dyDescent="0.3">
      <c r="A36" t="s">
        <v>567</v>
      </c>
      <c r="B36" s="4">
        <v>438971.9</v>
      </c>
      <c r="C36" s="4">
        <v>643</v>
      </c>
      <c r="D36" s="4">
        <v>25680.3</v>
      </c>
      <c r="E36" s="4">
        <v>22541.9</v>
      </c>
      <c r="F36" s="4">
        <v>259.7</v>
      </c>
      <c r="H36" s="4">
        <v>1055.5999999999999</v>
      </c>
      <c r="I36" s="4">
        <v>345.8</v>
      </c>
      <c r="J36" s="4">
        <v>65.5</v>
      </c>
      <c r="K36" s="4">
        <v>155</v>
      </c>
      <c r="M36" s="4">
        <v>88</v>
      </c>
      <c r="N36" s="4">
        <v>170</v>
      </c>
      <c r="O36" s="4">
        <v>65</v>
      </c>
      <c r="Q36" s="4">
        <v>91.1</v>
      </c>
      <c r="R36" s="4">
        <v>119.6</v>
      </c>
    </row>
    <row r="37" spans="1:18" x14ac:dyDescent="0.3">
      <c r="A37" t="s">
        <v>524</v>
      </c>
      <c r="B37" s="1">
        <f>AVERAGE(B28:B34)</f>
        <v>429504.11237680534</v>
      </c>
      <c r="C37" s="1">
        <f t="shared" ref="C37:R37" si="6">AVERAGE(C28:C34)</f>
        <v>615.94824128808307</v>
      </c>
      <c r="D37" s="1">
        <f t="shared" si="6"/>
        <v>27523.43866309943</v>
      </c>
      <c r="E37" s="1">
        <f t="shared" si="6"/>
        <v>23467.950116040432</v>
      </c>
      <c r="F37" s="1">
        <f t="shared" si="6"/>
        <v>279.11549755303662</v>
      </c>
      <c r="G37" s="1">
        <f t="shared" si="6"/>
        <v>5.1446498979279616</v>
      </c>
      <c r="H37" s="1">
        <f t="shared" si="6"/>
        <v>1341.5140949722716</v>
      </c>
      <c r="I37" s="1">
        <f t="shared" si="6"/>
        <v>366.98349695625984</v>
      </c>
      <c r="J37" s="1">
        <f t="shared" si="6"/>
        <v>71.707730413738574</v>
      </c>
      <c r="K37" s="1">
        <f t="shared" si="6"/>
        <v>124.23882290838749</v>
      </c>
      <c r="L37" s="1">
        <f t="shared" si="6"/>
        <v>2.2581533583898739</v>
      </c>
      <c r="M37" s="1">
        <f t="shared" si="6"/>
        <v>84.938258813326442</v>
      </c>
      <c r="N37" s="1">
        <f t="shared" si="6"/>
        <v>192.83485048213529</v>
      </c>
      <c r="O37" s="1">
        <f t="shared" si="6"/>
        <v>54.189537729541435</v>
      </c>
      <c r="P37" s="1">
        <f t="shared" si="6"/>
        <v>0.21809914639512323</v>
      </c>
      <c r="Q37" s="1">
        <f t="shared" si="6"/>
        <v>89.389363345743291</v>
      </c>
      <c r="R37" s="1">
        <f t="shared" si="6"/>
        <v>115.54031341987951</v>
      </c>
    </row>
    <row r="38" spans="1:18" x14ac:dyDescent="0.3">
      <c r="A38" t="s">
        <v>565</v>
      </c>
      <c r="B38" s="1">
        <f>(_xlfn.STDEV.P(B28:B34)/B37)*100</f>
        <v>6.0660960344898278</v>
      </c>
      <c r="C38" s="1">
        <f t="shared" ref="C38:R38" si="7">(_xlfn.STDEV.P(C28:C34)/C37)*100</f>
        <v>4.8519717095972386</v>
      </c>
      <c r="D38" s="1">
        <f t="shared" si="7"/>
        <v>10.326457021560453</v>
      </c>
      <c r="E38" s="1">
        <f t="shared" si="7"/>
        <v>8.7406376067448779</v>
      </c>
      <c r="F38" s="1">
        <f t="shared" si="7"/>
        <v>17.125746921830721</v>
      </c>
      <c r="G38" s="1">
        <f t="shared" si="7"/>
        <v>5.6947508882830382</v>
      </c>
      <c r="H38" s="1">
        <f t="shared" si="7"/>
        <v>2.3752009581924418</v>
      </c>
      <c r="I38" s="1">
        <f t="shared" si="7"/>
        <v>7.3359773337966949</v>
      </c>
      <c r="J38" s="1">
        <f t="shared" si="7"/>
        <v>8.4106455281634904</v>
      </c>
      <c r="K38" s="1">
        <f t="shared" si="7"/>
        <v>9.1409958956720718</v>
      </c>
      <c r="L38" s="1">
        <f t="shared" si="7"/>
        <v>14.534544238991892</v>
      </c>
      <c r="M38" s="1">
        <f t="shared" si="7"/>
        <v>23.027167797457224</v>
      </c>
      <c r="N38" s="1">
        <f t="shared" si="7"/>
        <v>11.721705482970282</v>
      </c>
      <c r="O38" s="1">
        <f t="shared" si="7"/>
        <v>23.934027377206117</v>
      </c>
      <c r="P38" s="1">
        <f t="shared" si="7"/>
        <v>33.134096032246426</v>
      </c>
      <c r="Q38" s="1">
        <f t="shared" si="7"/>
        <v>19.680113304913363</v>
      </c>
      <c r="R38" s="1">
        <f t="shared" si="7"/>
        <v>12.341801970001889</v>
      </c>
    </row>
    <row r="39" spans="1:18" x14ac:dyDescent="0.3">
      <c r="A39" t="s">
        <v>564</v>
      </c>
      <c r="B39" s="1">
        <f>100-(B37/B36)*100</f>
        <v>2.156809495823012</v>
      </c>
      <c r="C39" s="1">
        <f t="shared" ref="C39:R39" si="8">100-(C37/C36)*100</f>
        <v>4.2071164404225385</v>
      </c>
      <c r="D39" s="1">
        <f t="shared" si="8"/>
        <v>-7.177247396250948</v>
      </c>
      <c r="E39" s="1">
        <f t="shared" si="8"/>
        <v>-4.1081280461737038</v>
      </c>
      <c r="F39" s="1">
        <f t="shared" si="8"/>
        <v>-7.4761253573494884</v>
      </c>
      <c r="G39" s="1"/>
      <c r="H39" s="1">
        <f t="shared" si="8"/>
        <v>-27.085458030719181</v>
      </c>
      <c r="I39" s="1">
        <f t="shared" si="8"/>
        <v>-6.1259389694215685</v>
      </c>
      <c r="J39" s="1">
        <f t="shared" si="8"/>
        <v>-9.4774510133413372</v>
      </c>
      <c r="K39" s="1">
        <f t="shared" si="8"/>
        <v>19.845920704266135</v>
      </c>
      <c r="L39" s="1"/>
      <c r="M39" s="1">
        <f t="shared" si="8"/>
        <v>3.4792513484926815</v>
      </c>
      <c r="N39" s="1">
        <f t="shared" si="8"/>
        <v>-13.432264989491344</v>
      </c>
      <c r="O39" s="1">
        <f t="shared" si="8"/>
        <v>16.631480416090099</v>
      </c>
      <c r="P39" s="1"/>
      <c r="Q39" s="1">
        <f t="shared" si="8"/>
        <v>1.8777570299195503</v>
      </c>
      <c r="R39" s="1">
        <f t="shared" si="8"/>
        <v>3.3943867726760004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F85C-3404-4911-8375-7E2C083C715A}">
  <dimension ref="A1:P70"/>
  <sheetViews>
    <sheetView tabSelected="1" workbookViewId="0">
      <selection activeCell="M50" sqref="M50"/>
    </sheetView>
  </sheetViews>
  <sheetFormatPr baseColWidth="10" defaultRowHeight="14.4" x14ac:dyDescent="0.3"/>
  <cols>
    <col min="1" max="1" width="34.88671875" customWidth="1"/>
  </cols>
  <sheetData>
    <row r="1" spans="1:16" ht="15.6" x14ac:dyDescent="0.3">
      <c r="A1" s="5" t="s">
        <v>576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5.6" x14ac:dyDescent="0.3">
      <c r="A3" s="5" t="s">
        <v>577</v>
      </c>
      <c r="B3" s="5" t="s">
        <v>578</v>
      </c>
      <c r="C3" s="5" t="s">
        <v>579</v>
      </c>
      <c r="D3" s="5" t="s">
        <v>580</v>
      </c>
      <c r="E3" s="5" t="s">
        <v>581</v>
      </c>
      <c r="F3" s="5" t="s">
        <v>582</v>
      </c>
      <c r="G3" s="5" t="s">
        <v>583</v>
      </c>
      <c r="H3" s="5" t="s">
        <v>584</v>
      </c>
      <c r="I3" s="5" t="s">
        <v>585</v>
      </c>
      <c r="J3" s="5" t="s">
        <v>586</v>
      </c>
      <c r="K3" s="5" t="s">
        <v>587</v>
      </c>
      <c r="L3" s="5"/>
      <c r="M3" s="5" t="s">
        <v>588</v>
      </c>
      <c r="N3" s="5" t="s">
        <v>589</v>
      </c>
      <c r="O3" s="5" t="s">
        <v>590</v>
      </c>
      <c r="P3" s="5" t="s">
        <v>591</v>
      </c>
    </row>
    <row r="4" spans="1:16" ht="15.6" x14ac:dyDescent="0.3">
      <c r="A4" s="6" t="s">
        <v>592</v>
      </c>
      <c r="B4" s="6">
        <v>409416.95</v>
      </c>
      <c r="C4" s="6">
        <v>156000</v>
      </c>
      <c r="D4" s="6">
        <v>223539.87</v>
      </c>
      <c r="E4" s="6" t="s">
        <v>593</v>
      </c>
      <c r="F4" s="6">
        <v>72.27</v>
      </c>
      <c r="G4" s="6">
        <v>54.38</v>
      </c>
      <c r="H4" s="6">
        <v>61.29</v>
      </c>
      <c r="I4" s="6">
        <v>93.49</v>
      </c>
      <c r="J4" s="6">
        <v>21.78</v>
      </c>
      <c r="K4" s="6">
        <v>105.14</v>
      </c>
      <c r="L4" s="6"/>
      <c r="M4" s="6" t="s">
        <v>578</v>
      </c>
      <c r="N4" s="7">
        <v>18313.830000000002</v>
      </c>
      <c r="O4" s="7">
        <v>938.14</v>
      </c>
      <c r="P4" s="7">
        <v>278.19</v>
      </c>
    </row>
    <row r="5" spans="1:16" ht="15.6" x14ac:dyDescent="0.3">
      <c r="A5" s="6" t="s">
        <v>594</v>
      </c>
      <c r="B5" s="6">
        <v>407824.54</v>
      </c>
      <c r="C5" s="6">
        <v>156000</v>
      </c>
      <c r="D5" s="6">
        <v>222993.46</v>
      </c>
      <c r="E5" s="6"/>
      <c r="F5" s="6">
        <v>71.55</v>
      </c>
      <c r="G5" s="6">
        <v>58.46</v>
      </c>
      <c r="H5" s="6">
        <v>62.32</v>
      </c>
      <c r="I5" s="6">
        <v>95.74</v>
      </c>
      <c r="J5" s="6">
        <v>22.67</v>
      </c>
      <c r="K5" s="6">
        <v>104</v>
      </c>
      <c r="L5" s="6"/>
      <c r="M5" s="6" t="s">
        <v>579</v>
      </c>
      <c r="N5" s="7">
        <v>153.53</v>
      </c>
      <c r="O5" s="7">
        <v>7.86</v>
      </c>
      <c r="P5" s="7">
        <v>2.33</v>
      </c>
    </row>
    <row r="6" spans="1:16" ht="15.6" x14ac:dyDescent="0.3">
      <c r="A6" s="6" t="s">
        <v>595</v>
      </c>
      <c r="B6" s="6">
        <v>406749.14</v>
      </c>
      <c r="C6" s="6">
        <v>156000</v>
      </c>
      <c r="D6" s="6">
        <v>222982.78</v>
      </c>
      <c r="E6" s="6"/>
      <c r="F6" s="6">
        <v>72.45</v>
      </c>
      <c r="G6" s="6">
        <v>51.47</v>
      </c>
      <c r="H6" s="6">
        <v>60.58</v>
      </c>
      <c r="I6" s="6">
        <v>93.73</v>
      </c>
      <c r="J6" s="6">
        <v>20.53</v>
      </c>
      <c r="K6" s="6">
        <v>102.19</v>
      </c>
      <c r="L6" s="6"/>
      <c r="M6" s="6" t="s">
        <v>580</v>
      </c>
      <c r="N6" s="7">
        <v>23.69</v>
      </c>
      <c r="O6" s="7">
        <v>1.21</v>
      </c>
      <c r="P6" s="7">
        <v>0.36</v>
      </c>
    </row>
    <row r="7" spans="1:16" ht="15.6" x14ac:dyDescent="0.3">
      <c r="A7" s="6" t="s">
        <v>596</v>
      </c>
      <c r="B7" s="6">
        <v>410885.76</v>
      </c>
      <c r="C7" s="6">
        <v>156000</v>
      </c>
      <c r="D7" s="6">
        <v>224943.27</v>
      </c>
      <c r="E7" s="6"/>
      <c r="F7" s="6">
        <v>70.38</v>
      </c>
      <c r="G7" s="6">
        <v>61.38</v>
      </c>
      <c r="H7" s="6">
        <v>61.25</v>
      </c>
      <c r="I7" s="6">
        <v>93.33</v>
      </c>
      <c r="J7" s="6">
        <v>21.26</v>
      </c>
      <c r="K7" s="6">
        <v>102.66</v>
      </c>
      <c r="L7" s="6"/>
      <c r="M7" s="6" t="s">
        <v>581</v>
      </c>
      <c r="N7" s="7">
        <v>36.270000000000003</v>
      </c>
      <c r="O7" s="7">
        <v>1.86</v>
      </c>
      <c r="P7" s="7">
        <v>0.55000000000000004</v>
      </c>
    </row>
    <row r="8" spans="1:16" ht="15.6" x14ac:dyDescent="0.3">
      <c r="A8" s="6" t="s">
        <v>597</v>
      </c>
      <c r="B8" s="6">
        <v>355545.37</v>
      </c>
      <c r="C8" s="6">
        <v>156000</v>
      </c>
      <c r="D8" s="6">
        <v>216439.02</v>
      </c>
      <c r="E8" s="6"/>
      <c r="F8" s="6">
        <v>75.61</v>
      </c>
      <c r="G8" s="6">
        <v>62.16</v>
      </c>
      <c r="H8" s="6">
        <v>65.12</v>
      </c>
      <c r="I8" s="6">
        <v>96.47</v>
      </c>
      <c r="J8" s="6">
        <v>21.85</v>
      </c>
      <c r="K8" s="6">
        <v>93.46</v>
      </c>
      <c r="L8" s="6"/>
      <c r="M8" s="6" t="s">
        <v>582</v>
      </c>
      <c r="N8" s="7">
        <v>10.5</v>
      </c>
      <c r="O8" s="7">
        <v>0.54</v>
      </c>
      <c r="P8" s="7">
        <v>0.16</v>
      </c>
    </row>
    <row r="9" spans="1:16" ht="15.6" x14ac:dyDescent="0.3">
      <c r="A9" s="6" t="s">
        <v>598</v>
      </c>
      <c r="B9" s="6">
        <v>363353.91</v>
      </c>
      <c r="C9" s="6">
        <v>156000</v>
      </c>
      <c r="D9" s="6">
        <v>223987.1</v>
      </c>
      <c r="E9" s="6"/>
      <c r="F9" s="6">
        <v>78.819999999999993</v>
      </c>
      <c r="G9" s="6">
        <v>65.12</v>
      </c>
      <c r="H9" s="6">
        <v>64.36</v>
      </c>
      <c r="I9" s="6">
        <v>103.25</v>
      </c>
      <c r="J9" s="6">
        <v>23.66</v>
      </c>
      <c r="K9" s="6">
        <v>91.41</v>
      </c>
      <c r="L9" s="6"/>
      <c r="M9" s="6" t="s">
        <v>583</v>
      </c>
      <c r="N9" s="7">
        <v>11.69</v>
      </c>
      <c r="O9" s="7">
        <v>0.6</v>
      </c>
      <c r="P9" s="7">
        <v>0.18</v>
      </c>
    </row>
    <row r="10" spans="1:16" ht="15.6" x14ac:dyDescent="0.3">
      <c r="A10" s="6" t="s">
        <v>599</v>
      </c>
      <c r="B10" s="6">
        <v>355466.8</v>
      </c>
      <c r="C10" s="6">
        <v>156000</v>
      </c>
      <c r="D10" s="6">
        <v>219551.58</v>
      </c>
      <c r="E10" s="6"/>
      <c r="F10" s="6">
        <v>76.61</v>
      </c>
      <c r="G10" s="6">
        <v>61.09</v>
      </c>
      <c r="H10" s="6">
        <v>63.65</v>
      </c>
      <c r="I10" s="6">
        <v>99.44</v>
      </c>
      <c r="J10" s="6">
        <v>23.3</v>
      </c>
      <c r="K10" s="6">
        <v>94.11</v>
      </c>
      <c r="L10" s="6"/>
      <c r="M10" s="6" t="s">
        <v>584</v>
      </c>
      <c r="N10" s="7">
        <v>0.39</v>
      </c>
      <c r="O10" s="7">
        <v>0.02</v>
      </c>
      <c r="P10" s="7">
        <v>0.01</v>
      </c>
    </row>
    <row r="11" spans="1:16" ht="15.6" x14ac:dyDescent="0.3">
      <c r="A11" s="6" t="s">
        <v>600</v>
      </c>
      <c r="B11" s="6">
        <v>345764.34</v>
      </c>
      <c r="C11" s="6">
        <v>156000</v>
      </c>
      <c r="D11" s="6">
        <v>217317.45</v>
      </c>
      <c r="E11" s="6"/>
      <c r="F11" s="6">
        <v>74</v>
      </c>
      <c r="G11" s="6">
        <v>58.51</v>
      </c>
      <c r="H11" s="6">
        <v>61.76</v>
      </c>
      <c r="I11" s="6">
        <v>96.79</v>
      </c>
      <c r="J11" s="6">
        <v>22.91</v>
      </c>
      <c r="K11" s="6">
        <v>99.13</v>
      </c>
      <c r="L11" s="6"/>
      <c r="M11" s="6" t="s">
        <v>585</v>
      </c>
      <c r="N11" s="7">
        <v>2.2200000000000002</v>
      </c>
      <c r="O11" s="7">
        <v>0.11</v>
      </c>
      <c r="P11" s="7">
        <v>0.03</v>
      </c>
    </row>
    <row r="12" spans="1:16" ht="15.6" x14ac:dyDescent="0.3">
      <c r="A12" s="6" t="s">
        <v>601</v>
      </c>
      <c r="B12" s="6">
        <v>335321.59000000003</v>
      </c>
      <c r="C12" s="6">
        <v>156000</v>
      </c>
      <c r="D12" s="6">
        <v>210816.45</v>
      </c>
      <c r="E12" s="6"/>
      <c r="F12" s="6">
        <v>75</v>
      </c>
      <c r="G12" s="6">
        <v>61.38</v>
      </c>
      <c r="H12" s="6">
        <v>65.989999999999995</v>
      </c>
      <c r="I12" s="6">
        <v>93.51</v>
      </c>
      <c r="J12" s="6">
        <v>24.42</v>
      </c>
      <c r="K12" s="6">
        <v>88.74</v>
      </c>
      <c r="L12" s="6"/>
      <c r="M12" s="6" t="s">
        <v>586</v>
      </c>
      <c r="N12" s="7">
        <v>1.82</v>
      </c>
      <c r="O12" s="7">
        <v>0.09</v>
      </c>
      <c r="P12" s="7">
        <v>0.03</v>
      </c>
    </row>
    <row r="13" spans="1:16" ht="15.6" x14ac:dyDescent="0.3">
      <c r="A13" s="6" t="s">
        <v>602</v>
      </c>
      <c r="B13" s="6">
        <v>341644.31</v>
      </c>
      <c r="C13" s="6">
        <v>156000</v>
      </c>
      <c r="D13" s="6">
        <v>217382.04</v>
      </c>
      <c r="E13" s="6"/>
      <c r="F13" s="6">
        <v>77.459999999999994</v>
      </c>
      <c r="G13" s="6">
        <v>64.64</v>
      </c>
      <c r="H13" s="6">
        <v>66.510000000000005</v>
      </c>
      <c r="I13" s="6">
        <v>94.95</v>
      </c>
      <c r="J13" s="6">
        <v>24.66</v>
      </c>
      <c r="K13" s="6">
        <v>86.99</v>
      </c>
      <c r="L13" s="6"/>
      <c r="M13" s="6" t="s">
        <v>587</v>
      </c>
      <c r="N13" s="7">
        <v>1.42</v>
      </c>
      <c r="O13" s="7">
        <v>7.0000000000000007E-2</v>
      </c>
      <c r="P13" s="7">
        <v>0.02</v>
      </c>
    </row>
    <row r="14" spans="1:16" ht="15.6" x14ac:dyDescent="0.3">
      <c r="A14" s="6" t="s">
        <v>603</v>
      </c>
      <c r="B14" s="6">
        <v>337050.2</v>
      </c>
      <c r="C14" s="6">
        <v>156000</v>
      </c>
      <c r="D14" s="6">
        <v>210975.88</v>
      </c>
      <c r="E14" s="6"/>
      <c r="F14" s="6">
        <v>75.63</v>
      </c>
      <c r="G14" s="6">
        <v>58.35</v>
      </c>
      <c r="H14" s="6">
        <v>66.52</v>
      </c>
      <c r="I14" s="6">
        <v>93.67</v>
      </c>
      <c r="J14" s="6">
        <v>23.69</v>
      </c>
      <c r="K14" s="6">
        <v>89.76</v>
      </c>
      <c r="L14" s="6"/>
      <c r="M14" s="6"/>
      <c r="N14" s="6"/>
      <c r="O14" s="6"/>
      <c r="P14" s="6"/>
    </row>
    <row r="15" spans="1:16" ht="15.6" x14ac:dyDescent="0.3">
      <c r="A15" s="6" t="s">
        <v>604</v>
      </c>
      <c r="B15" s="6">
        <v>330657.34999999998</v>
      </c>
      <c r="C15" s="6">
        <v>156000</v>
      </c>
      <c r="D15" s="6">
        <v>213531.31</v>
      </c>
      <c r="E15" s="6"/>
      <c r="F15" s="6">
        <v>76.849999999999994</v>
      </c>
      <c r="G15" s="6">
        <v>60.82</v>
      </c>
      <c r="H15" s="6">
        <v>68.150000000000006</v>
      </c>
      <c r="I15" s="6">
        <v>96.11</v>
      </c>
      <c r="J15" s="6">
        <v>21.47</v>
      </c>
      <c r="K15" s="6">
        <v>111.93</v>
      </c>
      <c r="L15" s="6"/>
      <c r="M15" s="6"/>
      <c r="N15" s="6"/>
      <c r="O15" s="6"/>
      <c r="P15" s="6"/>
    </row>
    <row r="16" spans="1:16" ht="15.6" x14ac:dyDescent="0.3">
      <c r="A16" s="5" t="s">
        <v>605</v>
      </c>
      <c r="B16" s="5">
        <v>366651.13</v>
      </c>
      <c r="C16" s="5">
        <v>156000</v>
      </c>
      <c r="D16" s="5">
        <v>218706.45</v>
      </c>
      <c r="E16" s="5"/>
      <c r="F16" s="5">
        <v>74.72</v>
      </c>
      <c r="G16" s="5">
        <v>59.81</v>
      </c>
      <c r="H16" s="5">
        <v>63.96</v>
      </c>
      <c r="I16" s="5">
        <v>95.87</v>
      </c>
      <c r="J16" s="5">
        <v>22.68</v>
      </c>
      <c r="K16" s="5">
        <v>104.1</v>
      </c>
      <c r="L16" s="5"/>
      <c r="M16" s="5"/>
      <c r="N16" s="5"/>
      <c r="O16" s="5"/>
      <c r="P16" s="5"/>
    </row>
    <row r="17" spans="1:16" ht="15.6" x14ac:dyDescent="0.3">
      <c r="A17" s="6" t="s">
        <v>606</v>
      </c>
      <c r="B17" s="7">
        <v>18718.75</v>
      </c>
      <c r="C17" s="7"/>
      <c r="D17" s="7">
        <v>2939.52</v>
      </c>
      <c r="E17" s="6"/>
      <c r="F17" s="7">
        <v>1.5</v>
      </c>
      <c r="G17" s="7">
        <v>2.27</v>
      </c>
      <c r="H17" s="7">
        <v>1.45</v>
      </c>
      <c r="I17" s="7">
        <v>1.71</v>
      </c>
      <c r="J17" s="7">
        <v>0.76</v>
      </c>
      <c r="K17" s="7">
        <v>4.51</v>
      </c>
      <c r="L17" s="6"/>
      <c r="M17" s="6"/>
      <c r="N17" s="6"/>
      <c r="O17" s="6"/>
      <c r="P17" s="6"/>
    </row>
    <row r="18" spans="1:16" ht="15.6" x14ac:dyDescent="0.3">
      <c r="A18" s="6" t="s">
        <v>607</v>
      </c>
      <c r="B18" s="8">
        <v>5.11E-2</v>
      </c>
      <c r="C18" s="8"/>
      <c r="D18" s="8">
        <v>1.34E-2</v>
      </c>
      <c r="E18" s="6"/>
      <c r="F18" s="8">
        <v>2.01E-2</v>
      </c>
      <c r="G18" s="8">
        <v>3.7900000000000003E-2</v>
      </c>
      <c r="H18" s="8">
        <v>2.2700000000000001E-2</v>
      </c>
      <c r="I18" s="8">
        <v>1.78E-2</v>
      </c>
      <c r="J18" s="8">
        <v>3.3399999999999999E-2</v>
      </c>
      <c r="K18" s="8">
        <v>4.3400000000000001E-2</v>
      </c>
      <c r="L18" s="6"/>
      <c r="M18" s="6"/>
      <c r="N18" s="6"/>
      <c r="O18" s="6"/>
      <c r="P18" s="6"/>
    </row>
    <row r="19" spans="1:16" ht="15.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5.6" x14ac:dyDescent="0.3">
      <c r="A20" s="9" t="s">
        <v>608</v>
      </c>
      <c r="B20" s="10" t="s">
        <v>609</v>
      </c>
      <c r="C20" s="10" t="s">
        <v>610</v>
      </c>
      <c r="D20" s="10" t="s">
        <v>611</v>
      </c>
      <c r="E20" s="6"/>
      <c r="F20" s="10" t="s">
        <v>612</v>
      </c>
      <c r="G20" s="10">
        <v>51.27</v>
      </c>
      <c r="H20" s="10" t="s">
        <v>613</v>
      </c>
      <c r="I20" s="10" t="s">
        <v>614</v>
      </c>
      <c r="J20" s="10">
        <v>15.1</v>
      </c>
      <c r="K20" s="10" t="s">
        <v>615</v>
      </c>
      <c r="L20" s="6"/>
      <c r="M20" s="6"/>
      <c r="N20" s="6"/>
      <c r="O20" s="6"/>
      <c r="P20" s="6"/>
    </row>
    <row r="21" spans="1:16" ht="15.6" x14ac:dyDescent="0.3">
      <c r="A21" s="9" t="s">
        <v>616</v>
      </c>
      <c r="B21" s="10">
        <v>276000</v>
      </c>
      <c r="C21" s="10"/>
      <c r="D21" s="10">
        <v>210000</v>
      </c>
      <c r="E21" s="6"/>
      <c r="F21" s="10">
        <v>65</v>
      </c>
      <c r="G21" s="10">
        <v>53</v>
      </c>
      <c r="H21" s="10">
        <v>61</v>
      </c>
      <c r="I21" s="10">
        <v>55</v>
      </c>
      <c r="J21" s="10"/>
      <c r="K21" s="10"/>
      <c r="L21" s="6"/>
      <c r="M21" s="6"/>
      <c r="N21" s="6"/>
      <c r="O21" s="6"/>
      <c r="P21" s="6"/>
    </row>
    <row r="22" spans="1:16" ht="15.6" x14ac:dyDescent="0.3">
      <c r="A22" s="6" t="s">
        <v>617</v>
      </c>
      <c r="B22" s="11"/>
      <c r="C22" s="11"/>
      <c r="D22" s="11">
        <v>195011</v>
      </c>
      <c r="E22" s="11"/>
      <c r="F22" s="11">
        <v>68.8</v>
      </c>
      <c r="G22" s="11">
        <v>55.8</v>
      </c>
      <c r="H22" s="11">
        <v>56.8</v>
      </c>
      <c r="I22" s="11">
        <v>74.7</v>
      </c>
      <c r="J22" s="11">
        <v>20.2</v>
      </c>
      <c r="K22" s="11">
        <v>82.1</v>
      </c>
      <c r="L22" s="6"/>
      <c r="M22" s="6"/>
      <c r="N22" s="6"/>
      <c r="O22" s="6"/>
      <c r="P22" s="6"/>
    </row>
    <row r="23" spans="1:16" ht="15.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6" x14ac:dyDescent="0.3">
      <c r="A24" s="6" t="s">
        <v>618</v>
      </c>
      <c r="B24" s="11"/>
      <c r="C24" s="11"/>
      <c r="D24" s="11">
        <f t="shared" ref="D24:K24" si="0">100-(D16/D22)*100</f>
        <v>-12.15082738922419</v>
      </c>
      <c r="E24" s="11"/>
      <c r="F24" s="11">
        <f t="shared" si="0"/>
        <v>-8.6046511627907023</v>
      </c>
      <c r="G24" s="11">
        <f t="shared" si="0"/>
        <v>-7.1863799283154179</v>
      </c>
      <c r="H24" s="11">
        <f t="shared" si="0"/>
        <v>-12.605633802816925</v>
      </c>
      <c r="I24" s="11">
        <f t="shared" si="0"/>
        <v>-28.340026773761707</v>
      </c>
      <c r="J24" s="11">
        <f t="shared" si="0"/>
        <v>-12.277227722772295</v>
      </c>
      <c r="K24" s="11">
        <f t="shared" si="0"/>
        <v>-26.796589524969548</v>
      </c>
      <c r="L24" s="6"/>
      <c r="M24" s="6"/>
      <c r="N24" s="6"/>
      <c r="O24" s="6"/>
      <c r="P24" s="6"/>
    </row>
    <row r="25" spans="1:16" ht="15.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6" x14ac:dyDescent="0.3">
      <c r="A26" s="5" t="s">
        <v>619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5.6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6" x14ac:dyDescent="0.3">
      <c r="A28" s="5" t="s">
        <v>577</v>
      </c>
      <c r="B28" s="5" t="s">
        <v>578</v>
      </c>
      <c r="C28" s="5" t="s">
        <v>579</v>
      </c>
      <c r="D28" s="5" t="s">
        <v>580</v>
      </c>
      <c r="E28" s="5" t="s">
        <v>581</v>
      </c>
      <c r="F28" s="5" t="s">
        <v>582</v>
      </c>
      <c r="G28" s="5" t="s">
        <v>583</v>
      </c>
      <c r="H28" s="5" t="s">
        <v>584</v>
      </c>
      <c r="I28" s="5" t="s">
        <v>585</v>
      </c>
      <c r="J28" s="5" t="s">
        <v>586</v>
      </c>
      <c r="K28" s="5" t="s">
        <v>587</v>
      </c>
      <c r="L28" s="5"/>
      <c r="M28" s="6"/>
      <c r="N28" s="6"/>
      <c r="O28" s="6"/>
      <c r="P28" s="6"/>
    </row>
    <row r="29" spans="1:16" ht="15.6" x14ac:dyDescent="0.3">
      <c r="A29" s="6" t="s">
        <v>592</v>
      </c>
      <c r="B29" s="6">
        <v>259891.91</v>
      </c>
      <c r="C29" s="6">
        <v>156000</v>
      </c>
      <c r="D29" s="6">
        <v>218820.67</v>
      </c>
      <c r="E29" s="6">
        <v>72.83</v>
      </c>
      <c r="F29" s="6">
        <v>68.55</v>
      </c>
      <c r="G29" s="6">
        <v>57.49</v>
      </c>
      <c r="H29" s="6">
        <v>61.44</v>
      </c>
      <c r="I29" s="6">
        <v>93.93</v>
      </c>
      <c r="J29" s="6">
        <v>20.32</v>
      </c>
      <c r="K29" s="6">
        <v>86.78</v>
      </c>
      <c r="L29" s="6"/>
      <c r="M29" s="6"/>
      <c r="N29" s="6"/>
      <c r="O29" s="6"/>
      <c r="P29" s="6"/>
    </row>
    <row r="30" spans="1:16" ht="15.6" x14ac:dyDescent="0.3">
      <c r="A30" s="6" t="s">
        <v>594</v>
      </c>
      <c r="B30" s="6">
        <v>257306.71</v>
      </c>
      <c r="C30" s="6">
        <v>156000</v>
      </c>
      <c r="D30" s="6">
        <v>221331.5</v>
      </c>
      <c r="E30" s="6">
        <v>63.59</v>
      </c>
      <c r="F30" s="6">
        <v>67.88</v>
      </c>
      <c r="G30" s="6">
        <v>60.38</v>
      </c>
      <c r="H30" s="6">
        <v>60.46</v>
      </c>
      <c r="I30" s="6">
        <v>94.89</v>
      </c>
      <c r="J30" s="6">
        <v>21.1</v>
      </c>
      <c r="K30" s="6">
        <v>88.59</v>
      </c>
      <c r="L30" s="6"/>
      <c r="M30" s="6"/>
      <c r="N30" s="6"/>
      <c r="O30" s="6"/>
      <c r="P30" s="6"/>
    </row>
    <row r="31" spans="1:16" ht="15.6" x14ac:dyDescent="0.3">
      <c r="A31" s="6" t="s">
        <v>595</v>
      </c>
      <c r="B31" s="6">
        <v>258439.09</v>
      </c>
      <c r="C31" s="6">
        <v>156000</v>
      </c>
      <c r="D31" s="6">
        <v>223758.89</v>
      </c>
      <c r="E31" s="6">
        <v>63.15</v>
      </c>
      <c r="F31" s="6">
        <v>66.86</v>
      </c>
      <c r="G31" s="6">
        <v>62.26</v>
      </c>
      <c r="H31" s="6">
        <v>61.35</v>
      </c>
      <c r="I31" s="6">
        <v>95.25</v>
      </c>
      <c r="J31" s="6">
        <v>20.49</v>
      </c>
      <c r="K31" s="6">
        <v>86.97</v>
      </c>
      <c r="L31" s="6"/>
      <c r="M31" s="6"/>
      <c r="N31" s="6"/>
      <c r="O31" s="6"/>
      <c r="P31" s="6"/>
    </row>
    <row r="32" spans="1:16" ht="15.6" x14ac:dyDescent="0.3">
      <c r="A32" s="6" t="s">
        <v>596</v>
      </c>
      <c r="B32" s="6">
        <v>263460.15999999997</v>
      </c>
      <c r="C32" s="6">
        <v>156000</v>
      </c>
      <c r="D32" s="6">
        <v>224922.19</v>
      </c>
      <c r="E32" s="6">
        <v>61.8</v>
      </c>
      <c r="F32" s="6">
        <v>69.34</v>
      </c>
      <c r="G32" s="6">
        <v>56.43</v>
      </c>
      <c r="H32" s="6">
        <v>62.1</v>
      </c>
      <c r="I32" s="6">
        <v>96.47</v>
      </c>
      <c r="J32" s="6">
        <v>20.94</v>
      </c>
      <c r="K32" s="6">
        <v>84.86</v>
      </c>
      <c r="L32" s="6"/>
      <c r="M32" s="6"/>
      <c r="N32" s="6"/>
      <c r="O32" s="6"/>
      <c r="P32" s="6"/>
    </row>
    <row r="33" spans="1:16" ht="15.6" x14ac:dyDescent="0.3">
      <c r="A33" s="6" t="s">
        <v>597</v>
      </c>
      <c r="B33" s="6">
        <v>257519.81</v>
      </c>
      <c r="C33" s="6">
        <v>156000</v>
      </c>
      <c r="D33" s="6">
        <v>217448.16</v>
      </c>
      <c r="E33" s="6">
        <v>69.19</v>
      </c>
      <c r="F33" s="6">
        <v>68.400000000000006</v>
      </c>
      <c r="G33" s="6">
        <v>57.11</v>
      </c>
      <c r="H33" s="6">
        <v>59.89</v>
      </c>
      <c r="I33" s="6">
        <v>93.08</v>
      </c>
      <c r="J33" s="6">
        <v>20.63</v>
      </c>
      <c r="K33" s="6">
        <v>87.59</v>
      </c>
      <c r="L33" s="6"/>
      <c r="M33" s="6"/>
      <c r="N33" s="6"/>
      <c r="O33" s="6"/>
      <c r="P33" s="6"/>
    </row>
    <row r="34" spans="1:16" ht="15.6" x14ac:dyDescent="0.3">
      <c r="A34" s="6" t="s">
        <v>598</v>
      </c>
      <c r="B34" s="6">
        <v>256483.57</v>
      </c>
      <c r="C34" s="6">
        <v>156000</v>
      </c>
      <c r="D34" s="6">
        <v>208868.72</v>
      </c>
      <c r="E34" s="6">
        <v>62.94</v>
      </c>
      <c r="F34" s="6">
        <v>68.239999999999995</v>
      </c>
      <c r="G34" s="6">
        <v>57.97</v>
      </c>
      <c r="H34" s="6">
        <v>59.36</v>
      </c>
      <c r="I34" s="6">
        <v>92.22</v>
      </c>
      <c r="J34" s="6">
        <v>20.51</v>
      </c>
      <c r="K34" s="6">
        <v>89.85</v>
      </c>
      <c r="L34" s="6"/>
      <c r="M34" s="6"/>
      <c r="N34" s="6"/>
      <c r="O34" s="6"/>
      <c r="P34" s="6"/>
    </row>
    <row r="35" spans="1:16" ht="15.6" x14ac:dyDescent="0.3">
      <c r="A35" s="6" t="s">
        <v>599</v>
      </c>
      <c r="B35" s="6">
        <v>252772.82</v>
      </c>
      <c r="C35" s="6">
        <v>156000</v>
      </c>
      <c r="D35" s="6">
        <v>214813.65</v>
      </c>
      <c r="E35" s="6">
        <v>61.29</v>
      </c>
      <c r="F35" s="6">
        <v>69.16</v>
      </c>
      <c r="G35" s="6">
        <v>55.96</v>
      </c>
      <c r="H35" s="6">
        <v>58.92</v>
      </c>
      <c r="I35" s="6">
        <v>91.21</v>
      </c>
      <c r="J35" s="6">
        <v>20.27</v>
      </c>
      <c r="K35" s="6">
        <v>87.14</v>
      </c>
      <c r="L35" s="6"/>
      <c r="M35" s="6"/>
      <c r="N35" s="6"/>
      <c r="O35" s="6"/>
      <c r="P35" s="6"/>
    </row>
    <row r="36" spans="1:16" ht="15.6" x14ac:dyDescent="0.3">
      <c r="A36" s="6" t="s">
        <v>600</v>
      </c>
      <c r="B36" s="6">
        <v>249414.22</v>
      </c>
      <c r="C36" s="6">
        <v>156000</v>
      </c>
      <c r="D36" s="6">
        <v>213044.19</v>
      </c>
      <c r="E36" s="6">
        <v>57.85</v>
      </c>
      <c r="F36" s="6">
        <v>68.680000000000007</v>
      </c>
      <c r="G36" s="6">
        <v>54.41</v>
      </c>
      <c r="H36" s="6">
        <v>58.44</v>
      </c>
      <c r="I36" s="6">
        <v>90.27</v>
      </c>
      <c r="J36" s="6">
        <v>19.420000000000002</v>
      </c>
      <c r="K36" s="6">
        <v>88.04</v>
      </c>
      <c r="L36" s="6"/>
      <c r="M36" s="6"/>
      <c r="N36" s="6"/>
      <c r="O36" s="6"/>
      <c r="P36" s="6"/>
    </row>
    <row r="37" spans="1:16" ht="15.6" x14ac:dyDescent="0.3">
      <c r="A37" s="6" t="s">
        <v>601</v>
      </c>
      <c r="B37" s="6">
        <v>247343.55</v>
      </c>
      <c r="C37" s="6">
        <v>156000</v>
      </c>
      <c r="D37" s="6">
        <v>211385.9</v>
      </c>
      <c r="E37" s="6">
        <v>60.34</v>
      </c>
      <c r="F37" s="6">
        <v>65.53</v>
      </c>
      <c r="G37" s="6">
        <v>57.74</v>
      </c>
      <c r="H37" s="6">
        <v>60.39</v>
      </c>
      <c r="I37" s="6">
        <v>89.49</v>
      </c>
      <c r="J37" s="6">
        <v>19.559999999999999</v>
      </c>
      <c r="K37" s="6">
        <v>82.31</v>
      </c>
      <c r="L37" s="6"/>
      <c r="M37" s="6"/>
      <c r="N37" s="6"/>
      <c r="O37" s="6"/>
      <c r="P37" s="6"/>
    </row>
    <row r="38" spans="1:16" ht="15.6" x14ac:dyDescent="0.3">
      <c r="A38" s="6" t="s">
        <v>602</v>
      </c>
      <c r="B38" s="6">
        <v>254886.11</v>
      </c>
      <c r="C38" s="6">
        <v>156000</v>
      </c>
      <c r="D38" s="6">
        <v>220753.46</v>
      </c>
      <c r="E38" s="6">
        <v>58.44</v>
      </c>
      <c r="F38" s="6">
        <v>68.069999999999993</v>
      </c>
      <c r="G38" s="6">
        <v>56.61</v>
      </c>
      <c r="H38" s="6">
        <v>61.17</v>
      </c>
      <c r="I38" s="6">
        <v>92.94</v>
      </c>
      <c r="J38" s="6">
        <v>19.96</v>
      </c>
      <c r="K38" s="6">
        <v>83.48</v>
      </c>
      <c r="L38" s="6"/>
      <c r="M38" s="6"/>
      <c r="N38" s="6"/>
      <c r="O38" s="6"/>
      <c r="P38" s="6"/>
    </row>
    <row r="39" spans="1:16" ht="15.6" x14ac:dyDescent="0.3">
      <c r="A39" s="6" t="s">
        <v>603</v>
      </c>
      <c r="B39" s="6">
        <v>256307.33</v>
      </c>
      <c r="C39" s="6">
        <v>156000</v>
      </c>
      <c r="D39" s="6">
        <v>217309.54</v>
      </c>
      <c r="E39" s="6">
        <v>54.18</v>
      </c>
      <c r="F39" s="6">
        <v>66.52</v>
      </c>
      <c r="G39" s="6">
        <v>54.66</v>
      </c>
      <c r="H39" s="6">
        <v>60.7</v>
      </c>
      <c r="I39" s="6">
        <v>92.25</v>
      </c>
      <c r="J39" s="6">
        <v>19.88</v>
      </c>
      <c r="K39" s="6">
        <v>85.79</v>
      </c>
      <c r="L39" s="6"/>
      <c r="M39" s="6"/>
      <c r="N39" s="6"/>
      <c r="O39" s="6"/>
      <c r="P39" s="6"/>
    </row>
    <row r="40" spans="1:16" ht="15.6" x14ac:dyDescent="0.3">
      <c r="A40" s="6" t="s">
        <v>604</v>
      </c>
      <c r="B40" s="6">
        <v>259991.1</v>
      </c>
      <c r="C40" s="6">
        <v>156000</v>
      </c>
      <c r="D40" s="6">
        <v>218944.62</v>
      </c>
      <c r="E40" s="6">
        <v>54.05</v>
      </c>
      <c r="F40" s="6">
        <v>67.040000000000006</v>
      </c>
      <c r="G40" s="6">
        <v>56.73</v>
      </c>
      <c r="H40" s="6">
        <v>60.01</v>
      </c>
      <c r="I40" s="6">
        <v>93.14</v>
      </c>
      <c r="J40" s="6">
        <v>20.059999999999999</v>
      </c>
      <c r="K40" s="6">
        <v>84.11</v>
      </c>
      <c r="L40" s="5"/>
      <c r="M40" s="5"/>
      <c r="N40" s="5"/>
      <c r="O40" s="5"/>
      <c r="P40" s="5"/>
    </row>
    <row r="41" spans="1:16" ht="15.6" x14ac:dyDescent="0.3">
      <c r="A41" s="5" t="s">
        <v>605</v>
      </c>
      <c r="B41" s="5">
        <v>256149.34</v>
      </c>
      <c r="C41" s="5">
        <v>156000</v>
      </c>
      <c r="D41" s="5">
        <v>217615.61</v>
      </c>
      <c r="E41" s="5">
        <v>61.64</v>
      </c>
      <c r="F41" s="5">
        <v>67.86</v>
      </c>
      <c r="G41" s="5">
        <v>57.31</v>
      </c>
      <c r="H41" s="5">
        <v>60.35</v>
      </c>
      <c r="I41" s="5">
        <v>92.93</v>
      </c>
      <c r="J41" s="5">
        <v>20.260000000000002</v>
      </c>
      <c r="K41" s="5">
        <v>86.29</v>
      </c>
      <c r="L41" s="6"/>
      <c r="M41" s="6"/>
      <c r="N41" s="6"/>
      <c r="O41" s="6"/>
      <c r="P41" s="6"/>
    </row>
    <row r="42" spans="1:16" ht="15.6" x14ac:dyDescent="0.3">
      <c r="A42" s="6" t="s">
        <v>606</v>
      </c>
      <c r="B42" s="7">
        <v>2621.08</v>
      </c>
      <c r="C42" s="7"/>
      <c r="D42" s="7">
        <v>2818.69</v>
      </c>
      <c r="E42" s="7">
        <v>3.16</v>
      </c>
      <c r="F42" s="7">
        <v>0.66</v>
      </c>
      <c r="G42" s="7">
        <v>1.27</v>
      </c>
      <c r="H42" s="7">
        <v>0.63</v>
      </c>
      <c r="I42" s="7">
        <v>1.18</v>
      </c>
      <c r="J42" s="7">
        <v>0.3</v>
      </c>
      <c r="K42" s="7">
        <v>1.29</v>
      </c>
      <c r="L42" s="6"/>
      <c r="M42" s="6"/>
      <c r="N42" s="6"/>
      <c r="O42" s="6"/>
      <c r="P42" s="6"/>
    </row>
    <row r="43" spans="1:16" ht="15.6" x14ac:dyDescent="0.3">
      <c r="A43" s="6" t="s">
        <v>620</v>
      </c>
      <c r="B43" s="8">
        <v>1.0200000000000001E-2</v>
      </c>
      <c r="C43" s="8"/>
      <c r="D43" s="8">
        <v>1.2999999999999999E-2</v>
      </c>
      <c r="E43" s="8">
        <v>5.1299999999999998E-2</v>
      </c>
      <c r="F43" s="8">
        <v>9.7000000000000003E-3</v>
      </c>
      <c r="G43" s="8">
        <v>2.2200000000000001E-2</v>
      </c>
      <c r="H43" s="8">
        <v>1.04E-2</v>
      </c>
      <c r="I43" s="8">
        <v>1.2699999999999999E-2</v>
      </c>
      <c r="J43" s="8">
        <v>1.46E-2</v>
      </c>
      <c r="K43" s="8">
        <v>1.4999999999999999E-2</v>
      </c>
      <c r="L43" s="6"/>
      <c r="M43" s="6"/>
      <c r="N43" s="6"/>
      <c r="O43" s="6"/>
      <c r="P43" s="6"/>
    </row>
    <row r="44" spans="1:16" ht="15.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5.6" x14ac:dyDescent="0.3">
      <c r="A45" s="9" t="s">
        <v>608</v>
      </c>
      <c r="B45" s="10" t="s">
        <v>609</v>
      </c>
      <c r="C45" s="10" t="s">
        <v>621</v>
      </c>
      <c r="D45" s="10" t="s">
        <v>611</v>
      </c>
      <c r="E45" s="10" t="s">
        <v>622</v>
      </c>
      <c r="F45" s="10" t="s">
        <v>612</v>
      </c>
      <c r="G45" s="10">
        <v>51.27</v>
      </c>
      <c r="H45" s="10" t="s">
        <v>613</v>
      </c>
      <c r="I45" s="10" t="s">
        <v>614</v>
      </c>
      <c r="J45" s="10">
        <v>15.1</v>
      </c>
      <c r="K45" s="10" t="s">
        <v>615</v>
      </c>
      <c r="L45" s="6"/>
      <c r="M45" s="6"/>
      <c r="N45" s="6"/>
      <c r="O45" s="6"/>
      <c r="P45" s="6"/>
    </row>
    <row r="46" spans="1:16" ht="15.6" x14ac:dyDescent="0.3">
      <c r="A46" s="9" t="s">
        <v>616</v>
      </c>
      <c r="B46" s="10">
        <v>276000</v>
      </c>
      <c r="C46" s="10"/>
      <c r="D46" s="10">
        <v>210000</v>
      </c>
      <c r="E46" s="10">
        <v>50</v>
      </c>
      <c r="F46" s="10">
        <v>65</v>
      </c>
      <c r="G46" s="10">
        <v>53</v>
      </c>
      <c r="H46" s="10">
        <v>61</v>
      </c>
      <c r="I46" s="10">
        <v>55</v>
      </c>
      <c r="J46" s="10"/>
      <c r="K46" s="10"/>
      <c r="L46" s="6"/>
      <c r="M46" s="6"/>
      <c r="N46" s="6"/>
      <c r="O46" s="6"/>
      <c r="P46" s="6"/>
    </row>
    <row r="47" spans="1:16" ht="15.6" x14ac:dyDescent="0.3">
      <c r="A47" s="6" t="s">
        <v>617</v>
      </c>
      <c r="B47" s="11"/>
      <c r="C47" s="11"/>
      <c r="D47" s="11">
        <v>195011</v>
      </c>
      <c r="E47" s="11"/>
      <c r="F47" s="11">
        <v>68.8</v>
      </c>
      <c r="G47" s="11">
        <v>55.8</v>
      </c>
      <c r="H47" s="11">
        <v>56.8</v>
      </c>
      <c r="I47" s="11">
        <v>74.7</v>
      </c>
      <c r="J47" s="11">
        <v>20.2</v>
      </c>
      <c r="K47" s="11">
        <v>82.1</v>
      </c>
      <c r="L47" s="6"/>
      <c r="M47" s="6"/>
      <c r="N47" s="6"/>
      <c r="O47" s="6"/>
      <c r="P47" s="6"/>
    </row>
    <row r="48" spans="1:16" ht="15.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5.6" x14ac:dyDescent="0.3">
      <c r="A49" s="6" t="s">
        <v>618</v>
      </c>
      <c r="B49" s="11"/>
      <c r="C49" s="11"/>
      <c r="D49" s="11">
        <f t="shared" ref="D49:K49" si="1">100-(D41/D47)*100</f>
        <v>-11.591453815425794</v>
      </c>
      <c r="E49" s="11"/>
      <c r="F49" s="11">
        <f t="shared" si="1"/>
        <v>1.3662790697674438</v>
      </c>
      <c r="G49" s="11">
        <f t="shared" si="1"/>
        <v>-2.7060931899641787</v>
      </c>
      <c r="H49" s="11">
        <f t="shared" si="1"/>
        <v>-6.25</v>
      </c>
      <c r="I49" s="11">
        <f t="shared" si="1"/>
        <v>-24.404283801874158</v>
      </c>
      <c r="J49" s="11">
        <f t="shared" si="1"/>
        <v>-0.29702970297029196</v>
      </c>
      <c r="K49" s="11">
        <f t="shared" si="1"/>
        <v>-5.1035322777101157</v>
      </c>
      <c r="L49" s="6"/>
      <c r="M49" s="6"/>
      <c r="N49" s="6"/>
      <c r="O49" s="6"/>
      <c r="P49" s="6"/>
    </row>
    <row r="50" spans="1:16" ht="15.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5.6" x14ac:dyDescent="0.3">
      <c r="A51" s="5" t="s">
        <v>623</v>
      </c>
      <c r="B51" s="5" t="s">
        <v>578</v>
      </c>
      <c r="C51" s="5" t="s">
        <v>579</v>
      </c>
      <c r="D51" s="5" t="s">
        <v>580</v>
      </c>
      <c r="E51" s="5" t="s">
        <v>581</v>
      </c>
      <c r="F51" s="5" t="s">
        <v>582</v>
      </c>
      <c r="G51" s="5" t="s">
        <v>583</v>
      </c>
      <c r="H51" s="5" t="s">
        <v>584</v>
      </c>
      <c r="I51" s="5" t="s">
        <v>585</v>
      </c>
      <c r="J51" s="5" t="s">
        <v>586</v>
      </c>
      <c r="K51" s="5" t="s">
        <v>587</v>
      </c>
      <c r="L51" s="5"/>
      <c r="M51" s="6"/>
      <c r="N51" s="6"/>
      <c r="O51" s="6"/>
      <c r="P51" s="6"/>
    </row>
    <row r="52" spans="1:16" ht="15.6" x14ac:dyDescent="0.3">
      <c r="A52" s="6" t="s">
        <v>592</v>
      </c>
      <c r="B52" s="6">
        <v>356754.82</v>
      </c>
      <c r="C52" s="6"/>
      <c r="D52" s="6"/>
      <c r="E52" s="6">
        <v>394800</v>
      </c>
      <c r="F52" s="6">
        <v>30.81</v>
      </c>
      <c r="G52" s="6">
        <v>33.6</v>
      </c>
      <c r="H52" s="6"/>
      <c r="I52" s="6"/>
      <c r="J52" s="6">
        <v>38.909999999999997</v>
      </c>
      <c r="K52" s="6">
        <v>33.71</v>
      </c>
      <c r="L52" s="6"/>
      <c r="M52" s="6"/>
      <c r="N52" s="6"/>
      <c r="O52" s="6"/>
      <c r="P52" s="6"/>
    </row>
    <row r="53" spans="1:16" ht="15.6" x14ac:dyDescent="0.3">
      <c r="A53" s="6" t="s">
        <v>594</v>
      </c>
      <c r="B53" s="6">
        <v>355694.29</v>
      </c>
      <c r="C53" s="6"/>
      <c r="D53" s="6"/>
      <c r="E53" s="6">
        <v>394800</v>
      </c>
      <c r="F53" s="6">
        <v>31.65</v>
      </c>
      <c r="G53" s="6">
        <v>33.19</v>
      </c>
      <c r="H53" s="6"/>
      <c r="I53" s="6"/>
      <c r="J53" s="6">
        <v>38.770000000000003</v>
      </c>
      <c r="K53" s="6">
        <v>33.880000000000003</v>
      </c>
      <c r="L53" s="6"/>
      <c r="M53" s="6"/>
      <c r="N53" s="6"/>
      <c r="O53" s="6"/>
      <c r="P53" s="6"/>
    </row>
    <row r="54" spans="1:16" ht="15.6" x14ac:dyDescent="0.3">
      <c r="A54" s="6" t="s">
        <v>595</v>
      </c>
      <c r="B54" s="6">
        <v>354734.22</v>
      </c>
      <c r="C54" s="6"/>
      <c r="D54" s="6"/>
      <c r="E54" s="6">
        <v>394800</v>
      </c>
      <c r="F54" s="6">
        <v>30.4</v>
      </c>
      <c r="G54" s="6">
        <v>32.08</v>
      </c>
      <c r="H54" s="6"/>
      <c r="I54" s="6"/>
      <c r="J54" s="6">
        <v>38.32</v>
      </c>
      <c r="K54" s="6">
        <v>33.72</v>
      </c>
      <c r="L54" s="6"/>
      <c r="M54" s="6"/>
      <c r="N54" s="6"/>
      <c r="O54" s="6"/>
      <c r="P54" s="6"/>
    </row>
    <row r="55" spans="1:16" ht="15.6" x14ac:dyDescent="0.3">
      <c r="A55" s="6" t="s">
        <v>596</v>
      </c>
      <c r="B55" s="6">
        <v>354137.7</v>
      </c>
      <c r="C55" s="6"/>
      <c r="D55" s="6"/>
      <c r="E55" s="6">
        <v>394800</v>
      </c>
      <c r="F55" s="6">
        <v>30.84</v>
      </c>
      <c r="G55" s="6">
        <v>33.03</v>
      </c>
      <c r="H55" s="6"/>
      <c r="I55" s="6"/>
      <c r="J55" s="6">
        <v>38.92</v>
      </c>
      <c r="K55" s="6">
        <v>34.07</v>
      </c>
      <c r="L55" s="6"/>
      <c r="M55" s="6"/>
      <c r="N55" s="6"/>
      <c r="O55" s="6"/>
      <c r="P55" s="6"/>
    </row>
    <row r="56" spans="1:16" ht="15.6" x14ac:dyDescent="0.3">
      <c r="A56" s="6" t="s">
        <v>597</v>
      </c>
      <c r="B56" s="6">
        <v>367198.44</v>
      </c>
      <c r="C56" s="6"/>
      <c r="D56" s="6"/>
      <c r="E56" s="6">
        <v>394800</v>
      </c>
      <c r="F56" s="6">
        <v>32.6</v>
      </c>
      <c r="G56" s="6">
        <v>31.82</v>
      </c>
      <c r="H56" s="6"/>
      <c r="I56" s="6"/>
      <c r="J56" s="6">
        <v>40.04</v>
      </c>
      <c r="K56" s="6">
        <v>37.06</v>
      </c>
      <c r="L56" s="6"/>
      <c r="M56" s="6"/>
      <c r="N56" s="6"/>
      <c r="O56" s="6"/>
      <c r="P56" s="6"/>
    </row>
    <row r="57" spans="1:16" ht="15.6" x14ac:dyDescent="0.3">
      <c r="A57" s="6" t="s">
        <v>598</v>
      </c>
      <c r="B57" s="6">
        <v>368054.21</v>
      </c>
      <c r="C57" s="6"/>
      <c r="D57" s="6"/>
      <c r="E57" s="6">
        <v>394800</v>
      </c>
      <c r="F57" s="6">
        <v>32.93</v>
      </c>
      <c r="G57" s="6">
        <v>30.66</v>
      </c>
      <c r="H57" s="6"/>
      <c r="I57" s="6"/>
      <c r="J57" s="6">
        <v>39.94</v>
      </c>
      <c r="K57" s="6">
        <v>36.729999999999997</v>
      </c>
      <c r="L57" s="6"/>
      <c r="M57" s="6"/>
      <c r="N57" s="6"/>
      <c r="O57" s="6"/>
      <c r="P57" s="6"/>
    </row>
    <row r="58" spans="1:16" ht="15.6" x14ac:dyDescent="0.3">
      <c r="A58" s="6" t="s">
        <v>599</v>
      </c>
      <c r="B58" s="6">
        <v>368272.21</v>
      </c>
      <c r="C58" s="6"/>
      <c r="D58" s="6"/>
      <c r="E58" s="6">
        <v>394800</v>
      </c>
      <c r="F58" s="6">
        <v>32.69</v>
      </c>
      <c r="G58" s="6">
        <v>30.93</v>
      </c>
      <c r="H58" s="6"/>
      <c r="I58" s="6"/>
      <c r="J58" s="6">
        <v>40.25</v>
      </c>
      <c r="K58" s="6">
        <v>36.61</v>
      </c>
      <c r="L58" s="6"/>
      <c r="M58" s="6"/>
      <c r="N58" s="6"/>
      <c r="O58" s="6"/>
      <c r="P58" s="6"/>
    </row>
    <row r="59" spans="1:16" ht="15.6" x14ac:dyDescent="0.3">
      <c r="A59" s="6" t="s">
        <v>600</v>
      </c>
      <c r="B59" s="6">
        <v>368104.98</v>
      </c>
      <c r="C59" s="6"/>
      <c r="D59" s="6"/>
      <c r="E59" s="6">
        <v>394800</v>
      </c>
      <c r="F59" s="6">
        <v>32.89</v>
      </c>
      <c r="G59" s="6">
        <v>31.16</v>
      </c>
      <c r="H59" s="6"/>
      <c r="I59" s="6"/>
      <c r="J59" s="6">
        <v>39.92</v>
      </c>
      <c r="K59" s="6">
        <v>36.729999999999997</v>
      </c>
      <c r="L59" s="6"/>
      <c r="M59" s="6"/>
      <c r="N59" s="6"/>
      <c r="O59" s="6"/>
      <c r="P59" s="6"/>
    </row>
    <row r="60" spans="1:16" ht="15.6" x14ac:dyDescent="0.3">
      <c r="A60" s="6" t="s">
        <v>601</v>
      </c>
      <c r="B60" s="6">
        <v>401340.67</v>
      </c>
      <c r="C60" s="6"/>
      <c r="D60" s="6"/>
      <c r="E60" s="6">
        <v>394800</v>
      </c>
      <c r="F60" s="6">
        <v>34.25</v>
      </c>
      <c r="G60" s="6">
        <v>34.01</v>
      </c>
      <c r="H60" s="6"/>
      <c r="I60" s="6"/>
      <c r="J60" s="6">
        <v>43.11</v>
      </c>
      <c r="K60" s="6">
        <v>37.01</v>
      </c>
      <c r="L60" s="6"/>
      <c r="M60" s="6"/>
      <c r="N60" s="6"/>
      <c r="O60" s="6"/>
      <c r="P60" s="6"/>
    </row>
    <row r="61" spans="1:16" ht="15.6" x14ac:dyDescent="0.3">
      <c r="A61" s="6" t="s">
        <v>602</v>
      </c>
      <c r="B61" s="6">
        <v>401752.11</v>
      </c>
      <c r="C61" s="6"/>
      <c r="D61" s="6"/>
      <c r="E61" s="6">
        <v>394800</v>
      </c>
      <c r="F61" s="6">
        <v>34.93</v>
      </c>
      <c r="G61" s="6">
        <v>32.65</v>
      </c>
      <c r="H61" s="6"/>
      <c r="I61" s="6"/>
      <c r="J61" s="6">
        <v>42.54</v>
      </c>
      <c r="K61" s="6">
        <v>37.65</v>
      </c>
      <c r="L61" s="6"/>
      <c r="M61" s="6"/>
      <c r="N61" s="6"/>
      <c r="O61" s="6"/>
      <c r="P61" s="6"/>
    </row>
    <row r="62" spans="1:16" ht="15.6" x14ac:dyDescent="0.3">
      <c r="A62" s="6" t="s">
        <v>603</v>
      </c>
      <c r="B62" s="6">
        <v>400516.72</v>
      </c>
      <c r="C62" s="6"/>
      <c r="D62" s="6"/>
      <c r="E62" s="6">
        <v>394800</v>
      </c>
      <c r="F62" s="6">
        <v>34.200000000000003</v>
      </c>
      <c r="G62" s="6">
        <v>33.71</v>
      </c>
      <c r="H62" s="6"/>
      <c r="I62" s="6"/>
      <c r="J62" s="6">
        <v>43.1</v>
      </c>
      <c r="K62" s="6">
        <v>37.14</v>
      </c>
      <c r="L62" s="6"/>
      <c r="M62" s="6"/>
      <c r="N62" s="6"/>
      <c r="O62" s="6"/>
      <c r="P62" s="6"/>
    </row>
    <row r="63" spans="1:16" ht="15.6" x14ac:dyDescent="0.3">
      <c r="A63" s="6" t="s">
        <v>604</v>
      </c>
      <c r="B63" s="6">
        <v>401967.12</v>
      </c>
      <c r="C63" s="6"/>
      <c r="D63" s="6"/>
      <c r="E63" s="6">
        <v>394800</v>
      </c>
      <c r="F63" s="6">
        <v>33.86</v>
      </c>
      <c r="G63" s="6">
        <v>32.64</v>
      </c>
      <c r="H63" s="6"/>
      <c r="I63" s="6"/>
      <c r="J63" s="6">
        <v>42.69</v>
      </c>
      <c r="K63" s="6">
        <v>36.880000000000003</v>
      </c>
      <c r="L63" s="6"/>
      <c r="M63" s="6"/>
      <c r="N63" s="6"/>
      <c r="O63" s="6"/>
      <c r="P63" s="6"/>
    </row>
    <row r="64" spans="1:16" ht="15.6" x14ac:dyDescent="0.3">
      <c r="A64" s="5" t="s">
        <v>605</v>
      </c>
      <c r="B64" s="5">
        <v>374835.54</v>
      </c>
      <c r="C64" s="5"/>
      <c r="D64" s="5"/>
      <c r="E64" s="5">
        <v>394800</v>
      </c>
      <c r="F64" s="5">
        <v>32.67</v>
      </c>
      <c r="G64" s="5">
        <v>32.46</v>
      </c>
      <c r="H64" s="5"/>
      <c r="I64" s="5"/>
      <c r="J64" s="5">
        <v>40.54</v>
      </c>
      <c r="K64" s="5">
        <v>35.93</v>
      </c>
      <c r="L64" s="6"/>
      <c r="M64" s="6"/>
      <c r="N64" s="6"/>
      <c r="O64" s="6"/>
      <c r="P64" s="6"/>
    </row>
    <row r="65" spans="1:16" ht="15.6" x14ac:dyDescent="0.3">
      <c r="A65" s="6" t="s">
        <v>606</v>
      </c>
      <c r="B65" s="7">
        <v>11730.69</v>
      </c>
      <c r="C65" s="7"/>
      <c r="D65" s="7"/>
      <c r="E65" s="7"/>
      <c r="F65" s="7">
        <v>0.86</v>
      </c>
      <c r="G65" s="7">
        <v>0.65</v>
      </c>
      <c r="H65" s="7"/>
      <c r="I65" s="7"/>
      <c r="J65" s="7">
        <v>1.05</v>
      </c>
      <c r="K65" s="7">
        <v>0.9</v>
      </c>
      <c r="L65" s="6"/>
      <c r="M65" s="6"/>
      <c r="N65" s="6"/>
      <c r="O65" s="6"/>
      <c r="P65" s="6"/>
    </row>
    <row r="66" spans="1:16" ht="15.6" x14ac:dyDescent="0.3">
      <c r="A66" s="6" t="s">
        <v>607</v>
      </c>
      <c r="B66" s="8">
        <v>3.1300000000000001E-2</v>
      </c>
      <c r="C66" s="8"/>
      <c r="D66" s="8"/>
      <c r="E66" s="8"/>
      <c r="F66" s="8">
        <v>2.64E-2</v>
      </c>
      <c r="G66" s="8">
        <v>2.01E-2</v>
      </c>
      <c r="H66" s="8"/>
      <c r="I66" s="8"/>
      <c r="J66" s="8">
        <v>2.58E-2</v>
      </c>
      <c r="K66" s="8">
        <v>2.52E-2</v>
      </c>
      <c r="L66" s="6"/>
      <c r="M66" s="6"/>
      <c r="N66" s="6"/>
      <c r="O66" s="6"/>
      <c r="P66" s="6"/>
    </row>
    <row r="67" spans="1:16" ht="15.6" x14ac:dyDescent="0.3">
      <c r="A67" s="6"/>
      <c r="B67" s="8"/>
      <c r="C67" s="8"/>
      <c r="D67" s="8"/>
      <c r="E67" s="8"/>
      <c r="F67" s="8"/>
      <c r="G67" s="8"/>
      <c r="H67" s="8"/>
      <c r="I67" s="8"/>
      <c r="J67" s="8"/>
      <c r="K67" s="8"/>
      <c r="L67" s="6"/>
      <c r="M67" s="6"/>
      <c r="N67" s="6"/>
      <c r="O67" s="6"/>
      <c r="P67" s="6"/>
    </row>
    <row r="68" spans="1:16" ht="15.6" x14ac:dyDescent="0.3">
      <c r="A68" s="7" t="s">
        <v>624</v>
      </c>
      <c r="B68" s="12">
        <v>453300</v>
      </c>
      <c r="C68" s="12"/>
      <c r="D68" s="12"/>
      <c r="E68" s="10" t="s">
        <v>621</v>
      </c>
      <c r="F68" s="12">
        <v>25.41</v>
      </c>
      <c r="G68" s="12">
        <v>25.41</v>
      </c>
      <c r="H68" s="12"/>
      <c r="I68" s="12"/>
      <c r="J68" s="12">
        <v>32.53</v>
      </c>
      <c r="K68" s="12">
        <v>24.99</v>
      </c>
      <c r="L68" s="6"/>
      <c r="M68" s="6"/>
      <c r="N68" s="6"/>
      <c r="O68" s="6"/>
      <c r="P68" s="6"/>
    </row>
    <row r="69" spans="1:16" ht="15.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5.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C86A-EB5B-418E-AE95-E00633C9729F}">
  <dimension ref="A1:W187"/>
  <sheetViews>
    <sheetView workbookViewId="0">
      <selection sqref="A1:XFD1048576"/>
    </sheetView>
  </sheetViews>
  <sheetFormatPr baseColWidth="10" defaultColWidth="12" defaultRowHeight="18" x14ac:dyDescent="0.35"/>
  <cols>
    <col min="1" max="1" width="18.33203125" style="16" bestFit="1" customWidth="1"/>
    <col min="2" max="2" width="23" style="16" bestFit="1" customWidth="1"/>
    <col min="3" max="3" width="35" style="16" customWidth="1"/>
    <col min="4" max="4" width="11.44140625" style="16" bestFit="1" customWidth="1"/>
    <col min="5" max="5" width="13.6640625" style="16" bestFit="1" customWidth="1"/>
    <col min="6" max="6" width="20" style="16" bestFit="1" customWidth="1"/>
    <col min="7" max="7" width="22.5546875" style="16" bestFit="1" customWidth="1"/>
    <col min="8" max="8" width="25.33203125" style="16" bestFit="1" customWidth="1"/>
    <col min="9" max="9" width="22.77734375" style="16" bestFit="1" customWidth="1"/>
    <col min="10" max="10" width="24.109375" style="16" bestFit="1" customWidth="1"/>
    <col min="11" max="11" width="19.77734375" style="16" bestFit="1" customWidth="1"/>
    <col min="12" max="12" width="25.21875" style="16" bestFit="1" customWidth="1"/>
    <col min="13" max="14" width="13.109375" style="16" bestFit="1" customWidth="1"/>
    <col min="15" max="15" width="19.109375" style="16" bestFit="1" customWidth="1"/>
    <col min="16" max="16" width="16.44140625" style="16" customWidth="1"/>
    <col min="17" max="17" width="11.6640625" style="16" bestFit="1" customWidth="1"/>
    <col min="18" max="18" width="21.88671875" style="16" bestFit="1" customWidth="1"/>
    <col min="19" max="19" width="25" style="16" bestFit="1" customWidth="1"/>
    <col min="20" max="16384" width="12" style="16"/>
  </cols>
  <sheetData>
    <row r="1" spans="1:22" s="21" customFormat="1" x14ac:dyDescent="0.35">
      <c r="A1" s="64"/>
      <c r="B1" s="65" t="s">
        <v>811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4"/>
      <c r="V1" s="64"/>
    </row>
    <row r="2" spans="1:22" s="69" customFormat="1" x14ac:dyDescent="0.3">
      <c r="A2" s="67"/>
      <c r="B2" s="68" t="s">
        <v>812</v>
      </c>
      <c r="C2" s="66" t="s">
        <v>813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7"/>
      <c r="V2" s="67"/>
    </row>
    <row r="3" spans="1:22" s="69" customFormat="1" ht="20.399999999999999" x14ac:dyDescent="0.3">
      <c r="A3" s="67"/>
      <c r="B3" s="68" t="s">
        <v>950</v>
      </c>
      <c r="C3" s="68" t="s">
        <v>951</v>
      </c>
      <c r="D3" s="68" t="s">
        <v>814</v>
      </c>
      <c r="E3" s="70" t="s">
        <v>815</v>
      </c>
      <c r="F3" s="68" t="s">
        <v>816</v>
      </c>
      <c r="G3" s="70" t="s">
        <v>817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7"/>
      <c r="V3" s="67"/>
    </row>
    <row r="4" spans="1:22" s="69" customFormat="1" x14ac:dyDescent="0.3">
      <c r="A4" s="67"/>
      <c r="B4" s="68" t="s">
        <v>818</v>
      </c>
      <c r="C4" s="68" t="s">
        <v>819</v>
      </c>
      <c r="D4" s="70">
        <v>5000</v>
      </c>
      <c r="E4" s="68" t="s">
        <v>820</v>
      </c>
      <c r="F4" s="70">
        <v>400</v>
      </c>
      <c r="G4" s="68" t="s">
        <v>821</v>
      </c>
      <c r="H4" s="70">
        <v>50</v>
      </c>
      <c r="I4" s="68" t="s">
        <v>822</v>
      </c>
      <c r="J4" s="70" t="s">
        <v>823</v>
      </c>
      <c r="K4" s="68" t="s">
        <v>824</v>
      </c>
      <c r="L4" s="70" t="s">
        <v>825</v>
      </c>
      <c r="M4" s="66"/>
      <c r="N4" s="68" t="s">
        <v>826</v>
      </c>
      <c r="O4" s="70">
        <v>750</v>
      </c>
      <c r="P4" s="66"/>
      <c r="Q4" s="68" t="s">
        <v>827</v>
      </c>
      <c r="R4" s="70">
        <v>4000</v>
      </c>
      <c r="S4" s="66"/>
      <c r="T4" s="66"/>
      <c r="U4" s="67"/>
      <c r="V4" s="67"/>
    </row>
    <row r="5" spans="1:22" s="69" customFormat="1" x14ac:dyDescent="0.3">
      <c r="A5" s="71"/>
      <c r="B5" s="68" t="s">
        <v>828</v>
      </c>
      <c r="C5" s="68" t="s">
        <v>829</v>
      </c>
      <c r="D5" s="66" t="s">
        <v>830</v>
      </c>
      <c r="E5" s="68" t="s">
        <v>831</v>
      </c>
      <c r="F5" s="70">
        <v>70</v>
      </c>
      <c r="G5" s="68" t="s">
        <v>832</v>
      </c>
      <c r="H5" s="70" t="s">
        <v>833</v>
      </c>
      <c r="I5" s="68" t="s">
        <v>834</v>
      </c>
      <c r="J5" s="70">
        <v>15</v>
      </c>
      <c r="K5" s="68" t="s">
        <v>835</v>
      </c>
      <c r="L5" s="70" t="s">
        <v>836</v>
      </c>
      <c r="M5" s="66"/>
      <c r="N5" s="68" t="s">
        <v>837</v>
      </c>
      <c r="O5" s="70" t="s">
        <v>838</v>
      </c>
      <c r="P5" s="66"/>
      <c r="Q5" s="68" t="s">
        <v>839</v>
      </c>
      <c r="R5" s="70" t="s">
        <v>569</v>
      </c>
      <c r="S5" s="68" t="s">
        <v>840</v>
      </c>
      <c r="T5" s="70">
        <f>D4*80/8000</f>
        <v>50</v>
      </c>
    </row>
    <row r="6" spans="1:22" s="69" customFormat="1" ht="20.399999999999999" x14ac:dyDescent="0.3">
      <c r="A6" s="71"/>
      <c r="B6" s="68" t="s">
        <v>841</v>
      </c>
      <c r="C6" s="70" t="s">
        <v>952</v>
      </c>
      <c r="D6" s="66"/>
      <c r="E6" s="68" t="s">
        <v>842</v>
      </c>
      <c r="F6" s="70" t="s">
        <v>843</v>
      </c>
      <c r="G6" s="68" t="s">
        <v>844</v>
      </c>
      <c r="H6" s="70" t="s">
        <v>569</v>
      </c>
      <c r="I6" s="68" t="s">
        <v>845</v>
      </c>
      <c r="J6" s="70" t="s">
        <v>843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7"/>
      <c r="V6" s="67"/>
    </row>
    <row r="7" spans="1:22" s="69" customFormat="1" x14ac:dyDescent="0.3">
      <c r="A7" s="67"/>
      <c r="B7" s="68" t="s">
        <v>846</v>
      </c>
      <c r="C7" s="70" t="s">
        <v>847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7"/>
      <c r="V7" s="67"/>
    </row>
    <row r="8" spans="1:22" s="21" customFormat="1" x14ac:dyDescent="0.35"/>
    <row r="9" spans="1:22" s="21" customFormat="1" ht="20.399999999999999" x14ac:dyDescent="0.35">
      <c r="A9" s="102" t="s">
        <v>848</v>
      </c>
      <c r="B9" s="104" t="s">
        <v>849</v>
      </c>
      <c r="C9" s="104" t="s">
        <v>850</v>
      </c>
      <c r="D9" s="34" t="s">
        <v>851</v>
      </c>
      <c r="E9" s="34" t="s">
        <v>852</v>
      </c>
      <c r="F9" s="34" t="s">
        <v>853</v>
      </c>
      <c r="G9" s="34" t="s">
        <v>854</v>
      </c>
      <c r="H9" s="35" t="s">
        <v>855</v>
      </c>
      <c r="I9" s="34" t="s">
        <v>934</v>
      </c>
      <c r="J9" s="35" t="s">
        <v>856</v>
      </c>
      <c r="K9" s="34" t="s">
        <v>935</v>
      </c>
      <c r="L9" s="35" t="s">
        <v>856</v>
      </c>
      <c r="M9" s="35" t="s">
        <v>936</v>
      </c>
      <c r="N9" s="35" t="s">
        <v>856</v>
      </c>
      <c r="O9" s="34" t="s">
        <v>857</v>
      </c>
      <c r="P9" s="34" t="s">
        <v>858</v>
      </c>
      <c r="Q9" s="34" t="s">
        <v>859</v>
      </c>
      <c r="R9" s="34" t="s">
        <v>860</v>
      </c>
      <c r="S9" s="34" t="s">
        <v>861</v>
      </c>
    </row>
    <row r="10" spans="1:22" s="21" customFormat="1" x14ac:dyDescent="0.35">
      <c r="A10" s="103"/>
      <c r="B10" s="105"/>
      <c r="C10" s="105"/>
      <c r="D10" s="40" t="s">
        <v>862</v>
      </c>
      <c r="E10" s="40" t="s">
        <v>863</v>
      </c>
      <c r="F10" s="40" t="s">
        <v>864</v>
      </c>
      <c r="G10" s="40" t="s">
        <v>864</v>
      </c>
      <c r="H10" s="41" t="s">
        <v>865</v>
      </c>
      <c r="I10" s="40" t="s">
        <v>866</v>
      </c>
      <c r="J10" s="41" t="s">
        <v>867</v>
      </c>
      <c r="K10" s="40" t="s">
        <v>868</v>
      </c>
      <c r="L10" s="41" t="s">
        <v>867</v>
      </c>
      <c r="M10" s="41" t="s">
        <v>869</v>
      </c>
      <c r="N10" s="41" t="s">
        <v>870</v>
      </c>
      <c r="O10" s="40" t="s">
        <v>871</v>
      </c>
      <c r="P10" s="40" t="s">
        <v>871</v>
      </c>
      <c r="Q10" s="40" t="s">
        <v>872</v>
      </c>
      <c r="R10" s="40" t="s">
        <v>873</v>
      </c>
      <c r="S10" s="40" t="s">
        <v>874</v>
      </c>
    </row>
    <row r="11" spans="1:22" x14ac:dyDescent="0.35">
      <c r="A11" s="72" t="s">
        <v>875</v>
      </c>
      <c r="B11" s="73">
        <v>44852</v>
      </c>
      <c r="C11" s="74">
        <v>20</v>
      </c>
      <c r="D11" s="75">
        <v>44852.661111111112</v>
      </c>
      <c r="E11" s="76">
        <v>0.71666666673263535</v>
      </c>
      <c r="F11" s="77">
        <v>1973</v>
      </c>
      <c r="G11" s="77">
        <v>-3304</v>
      </c>
      <c r="H11" s="78">
        <v>0.58084369999999996</v>
      </c>
      <c r="I11" s="79">
        <v>522592000</v>
      </c>
      <c r="J11" s="76">
        <v>0.1010857</v>
      </c>
      <c r="K11" s="79">
        <v>23530300</v>
      </c>
      <c r="L11" s="76">
        <v>0.1008431</v>
      </c>
      <c r="M11" s="80">
        <v>4.5026129999999998E-2</v>
      </c>
      <c r="N11" s="80">
        <v>2.3751950000000001E-2</v>
      </c>
      <c r="O11" s="74">
        <v>7</v>
      </c>
      <c r="P11" s="74">
        <v>-4</v>
      </c>
      <c r="Q11" s="74">
        <v>17</v>
      </c>
      <c r="R11" s="79">
        <v>1E-8</v>
      </c>
      <c r="S11" s="79">
        <f>I11/H11</f>
        <v>899711919.05843174</v>
      </c>
    </row>
    <row r="12" spans="1:22" x14ac:dyDescent="0.35">
      <c r="A12" s="72" t="s">
        <v>876</v>
      </c>
      <c r="B12" s="73">
        <v>44852</v>
      </c>
      <c r="C12" s="74">
        <v>20</v>
      </c>
      <c r="D12" s="75">
        <v>44852.663888888892</v>
      </c>
      <c r="E12" s="76">
        <v>0.78333333344198763</v>
      </c>
      <c r="F12" s="77">
        <v>1923</v>
      </c>
      <c r="G12" s="77">
        <v>-3304</v>
      </c>
      <c r="H12" s="78">
        <v>0.58751050000000005</v>
      </c>
      <c r="I12" s="79">
        <v>522855500</v>
      </c>
      <c r="J12" s="76">
        <v>0.1021155</v>
      </c>
      <c r="K12" s="79">
        <v>23543660</v>
      </c>
      <c r="L12" s="76">
        <v>0.10188990000000001</v>
      </c>
      <c r="M12" s="80">
        <v>4.5029010000000001E-2</v>
      </c>
      <c r="N12" s="80">
        <v>2.740571E-2</v>
      </c>
      <c r="O12" s="74">
        <v>6</v>
      </c>
      <c r="P12" s="74">
        <v>-4</v>
      </c>
      <c r="Q12" s="74">
        <v>17</v>
      </c>
      <c r="R12" s="79">
        <v>1E-8</v>
      </c>
      <c r="S12" s="79">
        <f t="shared" ref="S12:S75" si="0">I12/H12</f>
        <v>889950903.00513768</v>
      </c>
    </row>
    <row r="13" spans="1:22" x14ac:dyDescent="0.35">
      <c r="A13" s="72" t="s">
        <v>877</v>
      </c>
      <c r="B13" s="73">
        <v>44852</v>
      </c>
      <c r="C13" s="74">
        <v>20</v>
      </c>
      <c r="D13" s="75">
        <v>44852.666666666664</v>
      </c>
      <c r="E13" s="76">
        <v>0.84999999997671694</v>
      </c>
      <c r="F13" s="77">
        <v>1873</v>
      </c>
      <c r="G13" s="77">
        <v>-3304</v>
      </c>
      <c r="H13" s="78">
        <v>0.583484</v>
      </c>
      <c r="I13" s="79">
        <v>522526300</v>
      </c>
      <c r="J13" s="76">
        <v>0.10375570000000001</v>
      </c>
      <c r="K13" s="79">
        <v>23530390</v>
      </c>
      <c r="L13" s="76">
        <v>0.1041097</v>
      </c>
      <c r="M13" s="80">
        <v>4.5031969999999998E-2</v>
      </c>
      <c r="N13" s="80">
        <v>2.7755599999999998E-2</v>
      </c>
      <c r="O13" s="74">
        <v>6</v>
      </c>
      <c r="P13" s="74">
        <v>-4</v>
      </c>
      <c r="Q13" s="74">
        <v>17</v>
      </c>
      <c r="R13" s="79">
        <v>1E-8</v>
      </c>
      <c r="S13" s="79">
        <f t="shared" si="0"/>
        <v>895528069.32152379</v>
      </c>
    </row>
    <row r="14" spans="1:22" x14ac:dyDescent="0.35">
      <c r="A14" s="72" t="s">
        <v>878</v>
      </c>
      <c r="B14" s="73">
        <v>44852</v>
      </c>
      <c r="C14" s="74">
        <v>20</v>
      </c>
      <c r="D14" s="75">
        <v>44852.669444444444</v>
      </c>
      <c r="E14" s="76">
        <v>0.91666666668606922</v>
      </c>
      <c r="F14" s="77">
        <v>1823</v>
      </c>
      <c r="G14" s="77">
        <v>-3304</v>
      </c>
      <c r="H14" s="78">
        <v>0.58783279999999993</v>
      </c>
      <c r="I14" s="79">
        <v>522616800</v>
      </c>
      <c r="J14" s="76">
        <v>0.1026846</v>
      </c>
      <c r="K14" s="79">
        <v>23533380</v>
      </c>
      <c r="L14" s="76">
        <v>0.1029197</v>
      </c>
      <c r="M14" s="80">
        <v>4.5029880000000001E-2</v>
      </c>
      <c r="N14" s="80">
        <v>2.3750300000000002E-2</v>
      </c>
      <c r="O14" s="74">
        <v>6</v>
      </c>
      <c r="P14" s="74">
        <v>-4</v>
      </c>
      <c r="Q14" s="74">
        <v>18</v>
      </c>
      <c r="R14" s="79">
        <v>1E-8</v>
      </c>
      <c r="S14" s="79">
        <f t="shared" si="0"/>
        <v>889056888.28524041</v>
      </c>
    </row>
    <row r="15" spans="1:22" x14ac:dyDescent="0.35">
      <c r="A15" s="72" t="s">
        <v>879</v>
      </c>
      <c r="B15" s="73">
        <v>44852</v>
      </c>
      <c r="C15" s="74">
        <v>20</v>
      </c>
      <c r="D15" s="75">
        <v>44852.672222222223</v>
      </c>
      <c r="E15" s="76">
        <v>0.9833333333954215</v>
      </c>
      <c r="F15" s="77">
        <v>1773</v>
      </c>
      <c r="G15" s="77">
        <v>-3304</v>
      </c>
      <c r="H15" s="78">
        <v>0.58280489999999996</v>
      </c>
      <c r="I15" s="79">
        <v>524011200</v>
      </c>
      <c r="J15" s="76">
        <v>9.6026860000000006E-2</v>
      </c>
      <c r="K15" s="79">
        <v>23597100</v>
      </c>
      <c r="L15" s="76">
        <v>9.6794610000000003E-2</v>
      </c>
      <c r="M15" s="80">
        <v>4.5031670000000003E-2</v>
      </c>
      <c r="N15" s="80">
        <v>3.370339E-2</v>
      </c>
      <c r="O15" s="74">
        <v>6</v>
      </c>
      <c r="P15" s="74">
        <v>-5</v>
      </c>
      <c r="Q15" s="74">
        <v>17</v>
      </c>
      <c r="R15" s="79">
        <v>9.8999999999999993E-9</v>
      </c>
      <c r="S15" s="79">
        <f t="shared" si="0"/>
        <v>899119413.71803844</v>
      </c>
    </row>
    <row r="16" spans="1:22" x14ac:dyDescent="0.35">
      <c r="A16" s="16" t="s">
        <v>379</v>
      </c>
      <c r="B16" s="44">
        <v>44852</v>
      </c>
      <c r="C16" s="45">
        <v>20</v>
      </c>
      <c r="D16" s="46">
        <v>44852.6875</v>
      </c>
      <c r="E16" s="47">
        <v>1.3500000000349246</v>
      </c>
      <c r="F16" s="45">
        <v>1041</v>
      </c>
      <c r="G16" s="45">
        <v>-2692</v>
      </c>
      <c r="H16" s="47">
        <v>0.535277</v>
      </c>
      <c r="I16" s="48">
        <v>515965900</v>
      </c>
      <c r="J16" s="47">
        <v>0.1035402</v>
      </c>
      <c r="K16" s="48">
        <v>22877250</v>
      </c>
      <c r="L16" s="47">
        <v>0.1042471</v>
      </c>
      <c r="M16" s="49">
        <v>4.4338679999999998E-2</v>
      </c>
      <c r="N16" s="49">
        <v>3.0428249999999997E-2</v>
      </c>
      <c r="O16" s="45">
        <v>10</v>
      </c>
      <c r="P16" s="45">
        <v>-14</v>
      </c>
      <c r="Q16" s="45">
        <v>31</v>
      </c>
      <c r="R16" s="48">
        <v>9.1000000000000004E-9</v>
      </c>
      <c r="S16" s="48">
        <f t="shared" si="0"/>
        <v>963923165.01549661</v>
      </c>
    </row>
    <row r="17" spans="1:19" x14ac:dyDescent="0.35">
      <c r="A17" s="16" t="s">
        <v>381</v>
      </c>
      <c r="B17" s="44">
        <v>44852</v>
      </c>
      <c r="C17" s="45">
        <v>20</v>
      </c>
      <c r="D17" s="46">
        <v>44852.690972222219</v>
      </c>
      <c r="E17" s="47">
        <v>1.4333333332906477</v>
      </c>
      <c r="F17" s="45">
        <v>1131</v>
      </c>
      <c r="G17" s="45">
        <v>-2634</v>
      </c>
      <c r="H17" s="47">
        <v>0.54876329999999995</v>
      </c>
      <c r="I17" s="48">
        <v>515123600</v>
      </c>
      <c r="J17" s="47">
        <v>0.10635989999999999</v>
      </c>
      <c r="K17" s="48">
        <v>22830920</v>
      </c>
      <c r="L17" s="47">
        <v>0.10629329999999999</v>
      </c>
      <c r="M17" s="49">
        <v>4.432125E-2</v>
      </c>
      <c r="N17" s="49">
        <v>2.8175840000000001E-2</v>
      </c>
      <c r="O17" s="45">
        <v>9</v>
      </c>
      <c r="P17" s="45">
        <v>-9</v>
      </c>
      <c r="Q17" s="45">
        <v>36</v>
      </c>
      <c r="R17" s="48">
        <v>9.1999999999999997E-9</v>
      </c>
      <c r="S17" s="48">
        <f t="shared" si="0"/>
        <v>938699071.16602015</v>
      </c>
    </row>
    <row r="18" spans="1:19" x14ac:dyDescent="0.35">
      <c r="A18" s="16" t="s">
        <v>383</v>
      </c>
      <c r="B18" s="44">
        <v>44852</v>
      </c>
      <c r="C18" s="45">
        <v>20</v>
      </c>
      <c r="D18" s="46">
        <v>44852.695833333331</v>
      </c>
      <c r="E18" s="47">
        <v>1.5499999999883585</v>
      </c>
      <c r="F18" s="45">
        <v>690</v>
      </c>
      <c r="G18" s="45">
        <v>-2573</v>
      </c>
      <c r="H18" s="47">
        <v>0.52375510000000003</v>
      </c>
      <c r="I18" s="48">
        <v>524083200</v>
      </c>
      <c r="J18" s="47">
        <v>9.565651E-2</v>
      </c>
      <c r="K18" s="48">
        <v>23240300</v>
      </c>
      <c r="L18" s="47">
        <v>9.6661300000000006E-2</v>
      </c>
      <c r="M18" s="49">
        <v>4.4344679999999997E-2</v>
      </c>
      <c r="N18" s="49">
        <v>2.6422930000000001E-2</v>
      </c>
      <c r="O18" s="45">
        <v>15</v>
      </c>
      <c r="P18" s="45">
        <v>-11</v>
      </c>
      <c r="Q18" s="45">
        <v>12</v>
      </c>
      <c r="R18" s="48">
        <v>9.1000000000000004E-9</v>
      </c>
      <c r="S18" s="48">
        <f t="shared" si="0"/>
        <v>1000626437.8141615</v>
      </c>
    </row>
    <row r="19" spans="1:19" x14ac:dyDescent="0.35">
      <c r="A19" s="16" t="s">
        <v>384</v>
      </c>
      <c r="B19" s="44">
        <v>44852</v>
      </c>
      <c r="C19" s="45">
        <v>20</v>
      </c>
      <c r="D19" s="46">
        <v>44852.699305555558</v>
      </c>
      <c r="E19" s="47">
        <v>1.6333333334187046</v>
      </c>
      <c r="F19" s="45">
        <v>721</v>
      </c>
      <c r="G19" s="45">
        <v>-2782</v>
      </c>
      <c r="H19" s="47">
        <v>0.55057829999999996</v>
      </c>
      <c r="I19" s="48">
        <v>549656000</v>
      </c>
      <c r="J19" s="47">
        <v>0.1042223</v>
      </c>
      <c r="K19" s="48">
        <v>24369460</v>
      </c>
      <c r="L19" s="47">
        <v>0.1045243</v>
      </c>
      <c r="M19" s="49">
        <v>4.4335840000000001E-2</v>
      </c>
      <c r="N19" s="49">
        <v>2.513526E-2</v>
      </c>
      <c r="O19" s="45">
        <v>6</v>
      </c>
      <c r="P19" s="45">
        <v>-21</v>
      </c>
      <c r="Q19" s="45">
        <v>-4</v>
      </c>
      <c r="R19" s="48">
        <v>9.1000000000000004E-9</v>
      </c>
      <c r="S19" s="48">
        <f t="shared" si="0"/>
        <v>998324852.25080621</v>
      </c>
    </row>
    <row r="20" spans="1:19" x14ac:dyDescent="0.35">
      <c r="A20" s="16" t="s">
        <v>385</v>
      </c>
      <c r="B20" s="44">
        <v>44852</v>
      </c>
      <c r="C20" s="45">
        <v>20</v>
      </c>
      <c r="D20" s="46">
        <v>44852.703472222223</v>
      </c>
      <c r="E20" s="47">
        <v>1.7333333333954215</v>
      </c>
      <c r="F20" s="45">
        <v>381</v>
      </c>
      <c r="G20" s="45">
        <v>-2493</v>
      </c>
      <c r="H20" s="47">
        <v>0.41341359999999999</v>
      </c>
      <c r="I20" s="48">
        <v>514546900</v>
      </c>
      <c r="J20" s="47">
        <v>0.10084700000000001</v>
      </c>
      <c r="K20" s="48">
        <v>22812700</v>
      </c>
      <c r="L20" s="47">
        <v>0.1014789</v>
      </c>
      <c r="M20" s="49">
        <v>4.43355E-2</v>
      </c>
      <c r="N20" s="49">
        <v>2.4115019999999997E-2</v>
      </c>
      <c r="O20" s="45">
        <v>24</v>
      </c>
      <c r="P20" s="45">
        <v>-4</v>
      </c>
      <c r="Q20" s="45">
        <v>-13</v>
      </c>
      <c r="R20" s="48">
        <v>8.9999999999999995E-9</v>
      </c>
      <c r="S20" s="48">
        <f t="shared" si="0"/>
        <v>1244629833.1743319</v>
      </c>
    </row>
    <row r="21" spans="1:19" x14ac:dyDescent="0.35">
      <c r="A21" s="16" t="s">
        <v>386</v>
      </c>
      <c r="B21" s="44">
        <v>44852</v>
      </c>
      <c r="C21" s="45">
        <v>20</v>
      </c>
      <c r="D21" s="46">
        <v>44852.706944444442</v>
      </c>
      <c r="E21" s="47">
        <v>1.8166666666511446</v>
      </c>
      <c r="F21" s="45">
        <v>560</v>
      </c>
      <c r="G21" s="45">
        <v>-2391</v>
      </c>
      <c r="H21" s="47">
        <v>0.43005500000000002</v>
      </c>
      <c r="I21" s="48">
        <v>507839700</v>
      </c>
      <c r="J21" s="47">
        <v>9.7050020000000001E-2</v>
      </c>
      <c r="K21" s="48">
        <v>22516110</v>
      </c>
      <c r="L21" s="47">
        <v>9.8122459999999995E-2</v>
      </c>
      <c r="M21" s="49">
        <v>4.4337040000000001E-2</v>
      </c>
      <c r="N21" s="49">
        <v>2.8873200000000002E-2</v>
      </c>
      <c r="O21" s="45">
        <v>21</v>
      </c>
      <c r="P21" s="45">
        <v>8</v>
      </c>
      <c r="Q21" s="45">
        <v>-3</v>
      </c>
      <c r="R21" s="48">
        <v>8.9000000000000003E-9</v>
      </c>
      <c r="S21" s="48">
        <f t="shared" si="0"/>
        <v>1180871516.4339445</v>
      </c>
    </row>
    <row r="22" spans="1:19" x14ac:dyDescent="0.35">
      <c r="A22" s="16" t="s">
        <v>387</v>
      </c>
      <c r="B22" s="44">
        <v>44852</v>
      </c>
      <c r="C22" s="45">
        <v>20</v>
      </c>
      <c r="D22" s="46">
        <v>44852.710416666669</v>
      </c>
      <c r="E22" s="47">
        <v>1.9000000000814907</v>
      </c>
      <c r="F22" s="45">
        <v>1136</v>
      </c>
      <c r="G22" s="45">
        <v>-3531</v>
      </c>
      <c r="H22" s="47">
        <v>0.49780419999999997</v>
      </c>
      <c r="I22" s="48">
        <v>516958800</v>
      </c>
      <c r="J22" s="47">
        <v>0.1036352</v>
      </c>
      <c r="K22" s="48">
        <v>22904190</v>
      </c>
      <c r="L22" s="47">
        <v>0.1042908</v>
      </c>
      <c r="M22" s="49">
        <v>4.4305629999999999E-2</v>
      </c>
      <c r="N22" s="49">
        <v>2.4066709999999998E-2</v>
      </c>
      <c r="O22" s="45">
        <v>12</v>
      </c>
      <c r="P22" s="45">
        <v>-21</v>
      </c>
      <c r="Q22" s="45">
        <v>27</v>
      </c>
      <c r="R22" s="48">
        <v>8.9000000000000003E-9</v>
      </c>
      <c r="S22" s="48">
        <f t="shared" si="0"/>
        <v>1038478180.7787079</v>
      </c>
    </row>
    <row r="23" spans="1:19" x14ac:dyDescent="0.35">
      <c r="A23" s="16" t="s">
        <v>388</v>
      </c>
      <c r="B23" s="44">
        <v>44852</v>
      </c>
      <c r="C23" s="45">
        <v>20</v>
      </c>
      <c r="D23" s="46">
        <v>44852.714583333334</v>
      </c>
      <c r="E23" s="47">
        <v>2.0000000000582077</v>
      </c>
      <c r="F23" s="45">
        <v>-436</v>
      </c>
      <c r="G23" s="45">
        <v>-1768</v>
      </c>
      <c r="H23" s="47">
        <v>0.3873414</v>
      </c>
      <c r="I23" s="48">
        <v>416666500</v>
      </c>
      <c r="J23" s="47">
        <v>0.2192607</v>
      </c>
      <c r="K23" s="48">
        <v>18494200</v>
      </c>
      <c r="L23" s="47">
        <v>0.2200165</v>
      </c>
      <c r="M23" s="49">
        <v>4.4386080000000001E-2</v>
      </c>
      <c r="N23" s="49">
        <v>3.6062669999999998E-2</v>
      </c>
      <c r="O23" s="45">
        <v>2</v>
      </c>
      <c r="P23" s="45">
        <v>3</v>
      </c>
      <c r="Q23" s="45">
        <v>-28</v>
      </c>
      <c r="R23" s="48">
        <v>8.7999999999999994E-9</v>
      </c>
      <c r="S23" s="48">
        <f t="shared" si="0"/>
        <v>1075708664.242965</v>
      </c>
    </row>
    <row r="24" spans="1:19" x14ac:dyDescent="0.35">
      <c r="A24" s="16" t="s">
        <v>389</v>
      </c>
      <c r="B24" s="44">
        <v>44852</v>
      </c>
      <c r="C24" s="45">
        <v>20</v>
      </c>
      <c r="D24" s="46">
        <v>44852.720138888886</v>
      </c>
      <c r="E24" s="47">
        <v>2.1333333333022892</v>
      </c>
      <c r="F24" s="45">
        <v>-1646</v>
      </c>
      <c r="G24" s="45">
        <v>-3912</v>
      </c>
      <c r="H24" s="47">
        <v>0.51224720000000001</v>
      </c>
      <c r="I24" s="48">
        <v>521889500</v>
      </c>
      <c r="J24" s="47">
        <v>9.8600999999999994E-2</v>
      </c>
      <c r="K24" s="48">
        <v>23118960</v>
      </c>
      <c r="L24" s="47">
        <v>9.9596030000000002E-2</v>
      </c>
      <c r="M24" s="49">
        <v>4.4298560000000001E-2</v>
      </c>
      <c r="N24" s="49">
        <v>2.9669629999999999E-2</v>
      </c>
      <c r="O24" s="45">
        <v>-26</v>
      </c>
      <c r="P24" s="45">
        <v>7</v>
      </c>
      <c r="Q24" s="45">
        <v>24</v>
      </c>
      <c r="R24" s="48">
        <v>8.5999999999999993E-9</v>
      </c>
      <c r="S24" s="48">
        <f t="shared" si="0"/>
        <v>1018823528.9524276</v>
      </c>
    </row>
    <row r="25" spans="1:19" x14ac:dyDescent="0.35">
      <c r="A25" s="16" t="s">
        <v>390</v>
      </c>
      <c r="B25" s="44">
        <v>44852</v>
      </c>
      <c r="C25" s="45">
        <v>20</v>
      </c>
      <c r="D25" s="46">
        <v>44852.723611111112</v>
      </c>
      <c r="E25" s="47">
        <v>2.2166666667326353</v>
      </c>
      <c r="F25" s="45">
        <v>-1637</v>
      </c>
      <c r="G25" s="45">
        <v>-3935</v>
      </c>
      <c r="H25" s="47">
        <v>0.53120899999999993</v>
      </c>
      <c r="I25" s="48">
        <v>527654600</v>
      </c>
      <c r="J25" s="47">
        <v>0.1217298</v>
      </c>
      <c r="K25" s="48">
        <v>23404260</v>
      </c>
      <c r="L25" s="47">
        <v>0.12212480000000001</v>
      </c>
      <c r="M25" s="49">
        <v>4.4355260000000001E-2</v>
      </c>
      <c r="N25" s="49">
        <v>2.6453169999999998E-2</v>
      </c>
      <c r="O25" s="45">
        <v>-26</v>
      </c>
      <c r="P25" s="45">
        <v>4</v>
      </c>
      <c r="Q25" s="45">
        <v>26</v>
      </c>
      <c r="R25" s="48">
        <v>8.7000000000000001E-9</v>
      </c>
      <c r="S25" s="48">
        <f t="shared" si="0"/>
        <v>993308848.30641055</v>
      </c>
    </row>
    <row r="26" spans="1:19" x14ac:dyDescent="0.35">
      <c r="A26" s="16" t="s">
        <v>392</v>
      </c>
      <c r="B26" s="44">
        <v>44852</v>
      </c>
      <c r="C26" s="45">
        <v>20</v>
      </c>
      <c r="D26" s="46">
        <v>44852.727777777778</v>
      </c>
      <c r="E26" s="47">
        <v>2.3166666667093523</v>
      </c>
      <c r="F26" s="45">
        <v>-1928</v>
      </c>
      <c r="G26" s="45">
        <v>-3707</v>
      </c>
      <c r="H26" s="47">
        <v>0.43062840000000002</v>
      </c>
      <c r="I26" s="48">
        <v>493109700</v>
      </c>
      <c r="J26" s="47">
        <v>0.1131504</v>
      </c>
      <c r="K26" s="48">
        <v>21846250</v>
      </c>
      <c r="L26" s="47">
        <v>0.1143721</v>
      </c>
      <c r="M26" s="49">
        <v>4.4303009999999997E-2</v>
      </c>
      <c r="N26" s="49">
        <v>3.0775379999999998E-2</v>
      </c>
      <c r="O26" s="45">
        <v>-25</v>
      </c>
      <c r="P26" s="45">
        <v>24</v>
      </c>
      <c r="Q26" s="45">
        <v>56</v>
      </c>
      <c r="R26" s="48">
        <v>8.7000000000000001E-9</v>
      </c>
      <c r="S26" s="48">
        <f t="shared" si="0"/>
        <v>1145093310.1486106</v>
      </c>
    </row>
    <row r="27" spans="1:19" x14ac:dyDescent="0.35">
      <c r="A27" s="16" t="s">
        <v>393</v>
      </c>
      <c r="B27" s="44">
        <v>44852</v>
      </c>
      <c r="C27" s="45">
        <v>20</v>
      </c>
      <c r="D27" s="46">
        <v>44852.731249999997</v>
      </c>
      <c r="E27" s="47">
        <v>2.3999999999650754</v>
      </c>
      <c r="F27" s="45">
        <v>-2201</v>
      </c>
      <c r="G27" s="45">
        <v>-3767</v>
      </c>
      <c r="H27" s="47">
        <v>0.49934689999999998</v>
      </c>
      <c r="I27" s="48">
        <v>531189700</v>
      </c>
      <c r="J27" s="47">
        <v>0.10280739999999999</v>
      </c>
      <c r="K27" s="48">
        <v>23562690</v>
      </c>
      <c r="L27" s="47">
        <v>0.102968</v>
      </c>
      <c r="M27" s="49">
        <v>4.4358340000000003E-2</v>
      </c>
      <c r="N27" s="49">
        <v>3.5606909999999999E-2</v>
      </c>
      <c r="O27" s="45">
        <v>-14</v>
      </c>
      <c r="P27" s="45">
        <v>9</v>
      </c>
      <c r="Q27" s="45">
        <v>13</v>
      </c>
      <c r="R27" s="48">
        <v>8.5E-9</v>
      </c>
      <c r="S27" s="48">
        <f t="shared" si="0"/>
        <v>1063768894.9305583</v>
      </c>
    </row>
    <row r="28" spans="1:19" x14ac:dyDescent="0.35">
      <c r="A28" s="16" t="s">
        <v>394</v>
      </c>
      <c r="B28" s="44">
        <v>44852</v>
      </c>
      <c r="C28" s="45">
        <v>20</v>
      </c>
      <c r="D28" s="46">
        <v>44852.734722222223</v>
      </c>
      <c r="E28" s="47">
        <v>2.4833333333954215</v>
      </c>
      <c r="F28" s="45">
        <v>-2247</v>
      </c>
      <c r="G28" s="45">
        <v>-3675</v>
      </c>
      <c r="H28" s="47">
        <v>0.47329900000000003</v>
      </c>
      <c r="I28" s="48">
        <v>514058200</v>
      </c>
      <c r="J28" s="47">
        <v>0.1155858</v>
      </c>
      <c r="K28" s="48">
        <v>22790780</v>
      </c>
      <c r="L28" s="47">
        <v>0.1160122</v>
      </c>
      <c r="M28" s="49">
        <v>4.4335020000000003E-2</v>
      </c>
      <c r="N28" s="49">
        <v>3.1479970000000003E-2</v>
      </c>
      <c r="O28" s="45">
        <v>-14</v>
      </c>
      <c r="P28" s="45">
        <v>12</v>
      </c>
      <c r="Q28" s="45">
        <v>19</v>
      </c>
      <c r="R28" s="48">
        <v>8.4000000000000008E-9</v>
      </c>
      <c r="S28" s="48">
        <f t="shared" si="0"/>
        <v>1086117232.4471421</v>
      </c>
    </row>
    <row r="29" spans="1:19" x14ac:dyDescent="0.35">
      <c r="A29" s="16" t="s">
        <v>395</v>
      </c>
      <c r="B29" s="44">
        <v>44852</v>
      </c>
      <c r="C29" s="45">
        <v>20</v>
      </c>
      <c r="D29" s="46">
        <v>44852.738194444442</v>
      </c>
      <c r="E29" s="47">
        <v>2.5666666666511446</v>
      </c>
      <c r="F29" s="45">
        <v>-2295</v>
      </c>
      <c r="G29" s="45">
        <v>-3590</v>
      </c>
      <c r="H29" s="47">
        <v>0.37987349999999998</v>
      </c>
      <c r="I29" s="48">
        <v>497738500</v>
      </c>
      <c r="J29" s="47">
        <v>9.9401989999999996E-2</v>
      </c>
      <c r="K29" s="48">
        <v>22037720</v>
      </c>
      <c r="L29" s="47">
        <v>0.1002487</v>
      </c>
      <c r="M29" s="49">
        <v>4.4275700000000001E-2</v>
      </c>
      <c r="N29" s="49">
        <v>3.2437930000000004E-2</v>
      </c>
      <c r="O29" s="45">
        <v>-12</v>
      </c>
      <c r="P29" s="45">
        <v>22</v>
      </c>
      <c r="Q29" s="45">
        <v>15</v>
      </c>
      <c r="R29" s="48">
        <v>8.2999999999999999E-9</v>
      </c>
      <c r="S29" s="48">
        <f t="shared" si="0"/>
        <v>1310274341.3267839</v>
      </c>
    </row>
    <row r="30" spans="1:19" x14ac:dyDescent="0.35">
      <c r="A30" s="16" t="s">
        <v>396</v>
      </c>
      <c r="B30" s="44">
        <v>44852</v>
      </c>
      <c r="C30" s="45">
        <v>20</v>
      </c>
      <c r="D30" s="46">
        <v>44852.742361111108</v>
      </c>
      <c r="E30" s="47">
        <v>2.6666666666278616</v>
      </c>
      <c r="F30" s="45">
        <v>-1706</v>
      </c>
      <c r="G30" s="45">
        <v>-4033</v>
      </c>
      <c r="H30" s="47">
        <v>0.61198600000000003</v>
      </c>
      <c r="I30" s="48">
        <v>552031200</v>
      </c>
      <c r="J30" s="47">
        <v>0.1077577</v>
      </c>
      <c r="K30" s="48">
        <v>24451680</v>
      </c>
      <c r="L30" s="47">
        <v>0.1086753</v>
      </c>
      <c r="M30" s="49">
        <v>4.4294010000000002E-2</v>
      </c>
      <c r="N30" s="49">
        <v>2.6598650000000001E-2</v>
      </c>
      <c r="O30" s="45">
        <v>-24</v>
      </c>
      <c r="P30" s="45">
        <v>9</v>
      </c>
      <c r="Q30" s="45">
        <v>1</v>
      </c>
      <c r="R30" s="48">
        <v>8.2999999999999999E-9</v>
      </c>
      <c r="S30" s="48">
        <f t="shared" si="0"/>
        <v>902032399.43397391</v>
      </c>
    </row>
    <row r="31" spans="1:19" x14ac:dyDescent="0.35">
      <c r="A31" s="72" t="s">
        <v>880</v>
      </c>
      <c r="B31" s="73">
        <v>44852</v>
      </c>
      <c r="C31" s="74">
        <v>20</v>
      </c>
      <c r="D31" s="75">
        <v>44852.750694444447</v>
      </c>
      <c r="E31" s="76">
        <v>2.8666666667559184</v>
      </c>
      <c r="F31" s="77">
        <v>2844</v>
      </c>
      <c r="G31" s="77">
        <v>-3350</v>
      </c>
      <c r="H31" s="78">
        <v>0.63136000000000003</v>
      </c>
      <c r="I31" s="79">
        <v>530538700</v>
      </c>
      <c r="J31" s="76">
        <v>9.6340049999999997E-2</v>
      </c>
      <c r="K31" s="79">
        <v>23890770</v>
      </c>
      <c r="L31" s="76">
        <v>9.7975519999999997E-2</v>
      </c>
      <c r="M31" s="80">
        <v>4.5031139999999997E-2</v>
      </c>
      <c r="N31" s="80">
        <v>3.3650989999999999E-2</v>
      </c>
      <c r="O31" s="74">
        <v>13</v>
      </c>
      <c r="P31" s="74">
        <v>-3</v>
      </c>
      <c r="Q31" s="74">
        <v>20</v>
      </c>
      <c r="R31" s="79">
        <v>9.1999999999999997E-9</v>
      </c>
      <c r="S31" s="79">
        <f t="shared" si="0"/>
        <v>840310916.11758733</v>
      </c>
    </row>
    <row r="32" spans="1:19" x14ac:dyDescent="0.35">
      <c r="A32" s="72" t="s">
        <v>881</v>
      </c>
      <c r="B32" s="73">
        <v>44852</v>
      </c>
      <c r="C32" s="74">
        <v>20</v>
      </c>
      <c r="D32" s="75">
        <v>44852.753472222219</v>
      </c>
      <c r="E32" s="76">
        <v>2.9333333332906477</v>
      </c>
      <c r="F32" s="77">
        <v>2794</v>
      </c>
      <c r="G32" s="77">
        <v>-3350</v>
      </c>
      <c r="H32" s="78">
        <v>0.59660809999999997</v>
      </c>
      <c r="I32" s="79">
        <v>529917300</v>
      </c>
      <c r="J32" s="76">
        <v>9.9325620000000003E-2</v>
      </c>
      <c r="K32" s="79">
        <v>23861320</v>
      </c>
      <c r="L32" s="76">
        <v>9.9855899999999997E-2</v>
      </c>
      <c r="M32" s="80">
        <v>4.502838E-2</v>
      </c>
      <c r="N32" s="80">
        <v>3.2289739999999997E-2</v>
      </c>
      <c r="O32" s="74">
        <v>12</v>
      </c>
      <c r="P32" s="74">
        <v>-3</v>
      </c>
      <c r="Q32" s="74">
        <v>21</v>
      </c>
      <c r="R32" s="79">
        <v>9.3000000000000006E-9</v>
      </c>
      <c r="S32" s="79">
        <f t="shared" si="0"/>
        <v>888216737.25180733</v>
      </c>
    </row>
    <row r="33" spans="1:23" x14ac:dyDescent="0.35">
      <c r="A33" s="72" t="s">
        <v>882</v>
      </c>
      <c r="B33" s="73">
        <v>44852</v>
      </c>
      <c r="C33" s="74">
        <v>20</v>
      </c>
      <c r="D33" s="75">
        <v>44852.756249999999</v>
      </c>
      <c r="E33" s="76">
        <v>3</v>
      </c>
      <c r="F33" s="77">
        <v>2744</v>
      </c>
      <c r="G33" s="77">
        <v>-3350</v>
      </c>
      <c r="H33" s="78">
        <v>0.59317759999999997</v>
      </c>
      <c r="I33" s="79">
        <v>530715200</v>
      </c>
      <c r="J33" s="76">
        <v>0.10240109999999999</v>
      </c>
      <c r="K33" s="79">
        <v>23898990</v>
      </c>
      <c r="L33" s="76">
        <v>0.1025783</v>
      </c>
      <c r="M33" s="80">
        <v>4.5031660000000001E-2</v>
      </c>
      <c r="N33" s="80">
        <v>2.3567420000000002E-2</v>
      </c>
      <c r="O33" s="74">
        <v>12</v>
      </c>
      <c r="P33" s="74">
        <v>-3</v>
      </c>
      <c r="Q33" s="74">
        <v>20</v>
      </c>
      <c r="R33" s="79">
        <v>9.1999999999999997E-9</v>
      </c>
      <c r="S33" s="79">
        <f t="shared" si="0"/>
        <v>894698653.48927546</v>
      </c>
    </row>
    <row r="34" spans="1:23" x14ac:dyDescent="0.35">
      <c r="A34" s="72" t="s">
        <v>883</v>
      </c>
      <c r="B34" s="73">
        <v>44852</v>
      </c>
      <c r="C34" s="74">
        <v>20</v>
      </c>
      <c r="D34" s="75">
        <v>44852.759027777778</v>
      </c>
      <c r="E34" s="76">
        <v>3.0666666667093523</v>
      </c>
      <c r="F34" s="77">
        <v>2694</v>
      </c>
      <c r="G34" s="77">
        <v>-3350</v>
      </c>
      <c r="H34" s="78">
        <v>0.59732700000000005</v>
      </c>
      <c r="I34" s="79">
        <v>529658100</v>
      </c>
      <c r="J34" s="76">
        <v>0.1006367</v>
      </c>
      <c r="K34" s="79">
        <v>23848660</v>
      </c>
      <c r="L34" s="76">
        <v>0.1007894</v>
      </c>
      <c r="M34" s="80">
        <v>4.502652E-2</v>
      </c>
      <c r="N34" s="80">
        <v>2.3591749999999998E-2</v>
      </c>
      <c r="O34" s="74">
        <v>11</v>
      </c>
      <c r="P34" s="74">
        <v>-3</v>
      </c>
      <c r="Q34" s="74">
        <v>20</v>
      </c>
      <c r="R34" s="79">
        <v>9.3000000000000006E-9</v>
      </c>
      <c r="S34" s="79">
        <f t="shared" si="0"/>
        <v>886713810.0236553</v>
      </c>
    </row>
    <row r="35" spans="1:23" x14ac:dyDescent="0.35">
      <c r="A35" s="72" t="s">
        <v>884</v>
      </c>
      <c r="B35" s="73">
        <v>44852</v>
      </c>
      <c r="C35" s="74">
        <v>20</v>
      </c>
      <c r="D35" s="75">
        <v>44852.761805555558</v>
      </c>
      <c r="E35" s="76">
        <v>3.1333333334187046</v>
      </c>
      <c r="F35" s="77">
        <v>2644</v>
      </c>
      <c r="G35" s="77">
        <v>-3350</v>
      </c>
      <c r="H35" s="78">
        <v>0.59638279999999999</v>
      </c>
      <c r="I35" s="79">
        <v>530033400</v>
      </c>
      <c r="J35" s="76">
        <v>0.102366</v>
      </c>
      <c r="K35" s="79">
        <v>23868720</v>
      </c>
      <c r="L35" s="76">
        <v>0.10276979999999999</v>
      </c>
      <c r="M35" s="80">
        <v>4.5032490000000001E-2</v>
      </c>
      <c r="N35" s="80">
        <v>2.7417810000000001E-2</v>
      </c>
      <c r="O35" s="74">
        <v>11</v>
      </c>
      <c r="P35" s="74">
        <v>-3</v>
      </c>
      <c r="Q35" s="74">
        <v>20</v>
      </c>
      <c r="R35" s="79">
        <v>9.1999999999999997E-9</v>
      </c>
      <c r="S35" s="79">
        <f t="shared" si="0"/>
        <v>888746959.16783655</v>
      </c>
    </row>
    <row r="36" spans="1:23" x14ac:dyDescent="0.35">
      <c r="A36" s="72" t="s">
        <v>885</v>
      </c>
      <c r="B36" s="73">
        <v>44853</v>
      </c>
      <c r="C36" s="74">
        <v>20</v>
      </c>
      <c r="D36" s="75">
        <v>44853.37222222222</v>
      </c>
      <c r="E36" s="76">
        <v>17.783333333325572</v>
      </c>
      <c r="F36" s="77">
        <v>2490</v>
      </c>
      <c r="G36" s="77">
        <v>-3239</v>
      </c>
      <c r="H36" s="78">
        <v>0.56959789999999999</v>
      </c>
      <c r="I36" s="79">
        <v>536833500</v>
      </c>
      <c r="J36" s="76">
        <v>0.10175430000000001</v>
      </c>
      <c r="K36" s="79">
        <v>24174890</v>
      </c>
      <c r="L36" s="76">
        <v>0.10255209999999999</v>
      </c>
      <c r="M36" s="80">
        <v>4.5032379999999997E-2</v>
      </c>
      <c r="N36" s="80">
        <v>2.343164E-2</v>
      </c>
      <c r="O36" s="74">
        <v>11</v>
      </c>
      <c r="P36" s="74">
        <v>-4</v>
      </c>
      <c r="Q36" s="74">
        <v>19</v>
      </c>
      <c r="R36" s="79">
        <v>7.4000000000000001E-9</v>
      </c>
      <c r="S36" s="79">
        <f t="shared" si="0"/>
        <v>942478018.26516569</v>
      </c>
      <c r="W36" s="16" t="s">
        <v>886</v>
      </c>
    </row>
    <row r="37" spans="1:23" x14ac:dyDescent="0.35">
      <c r="A37" s="72" t="s">
        <v>887</v>
      </c>
      <c r="B37" s="73">
        <v>44853</v>
      </c>
      <c r="C37" s="74">
        <v>20</v>
      </c>
      <c r="D37" s="75">
        <v>44853.375</v>
      </c>
      <c r="E37" s="76">
        <v>17.850000000034925</v>
      </c>
      <c r="F37" s="77">
        <v>2440</v>
      </c>
      <c r="G37" s="77">
        <v>-3239</v>
      </c>
      <c r="H37" s="78">
        <v>0.56506200000000006</v>
      </c>
      <c r="I37" s="79">
        <v>535784600</v>
      </c>
      <c r="J37" s="76">
        <v>9.6804580000000001E-2</v>
      </c>
      <c r="K37" s="79">
        <v>24125820</v>
      </c>
      <c r="L37" s="76">
        <v>9.6036960000000005E-2</v>
      </c>
      <c r="M37" s="80">
        <v>4.5028970000000001E-2</v>
      </c>
      <c r="N37" s="80">
        <v>3.0249019999999998E-2</v>
      </c>
      <c r="O37" s="74">
        <v>11</v>
      </c>
      <c r="P37" s="74">
        <v>-4</v>
      </c>
      <c r="Q37" s="74">
        <v>19</v>
      </c>
      <c r="R37" s="79">
        <v>7.3E-9</v>
      </c>
      <c r="S37" s="79">
        <f t="shared" si="0"/>
        <v>948187278.56412208</v>
      </c>
    </row>
    <row r="38" spans="1:23" x14ac:dyDescent="0.35">
      <c r="A38" s="72" t="s">
        <v>888</v>
      </c>
      <c r="B38" s="73">
        <v>44853</v>
      </c>
      <c r="C38" s="74">
        <v>20</v>
      </c>
      <c r="D38" s="75">
        <v>44853.37777777778</v>
      </c>
      <c r="E38" s="76">
        <v>17.916666666744277</v>
      </c>
      <c r="F38" s="77">
        <v>2340</v>
      </c>
      <c r="G38" s="77">
        <v>-3239</v>
      </c>
      <c r="H38" s="78">
        <v>0.56365929999999997</v>
      </c>
      <c r="I38" s="79">
        <v>536374700</v>
      </c>
      <c r="J38" s="76">
        <v>0.1015315</v>
      </c>
      <c r="K38" s="79">
        <v>24151010</v>
      </c>
      <c r="L38" s="76">
        <v>0.10180169999999999</v>
      </c>
      <c r="M38" s="80">
        <v>4.5026370000000003E-2</v>
      </c>
      <c r="N38" s="80">
        <v>2.7697529999999998E-2</v>
      </c>
      <c r="O38" s="74">
        <v>11</v>
      </c>
      <c r="P38" s="74">
        <v>-4</v>
      </c>
      <c r="Q38" s="74">
        <v>17</v>
      </c>
      <c r="R38" s="79">
        <v>7.3E-9</v>
      </c>
      <c r="S38" s="79">
        <f t="shared" si="0"/>
        <v>951593808.52937233</v>
      </c>
    </row>
    <row r="39" spans="1:23" x14ac:dyDescent="0.35">
      <c r="A39" s="72" t="s">
        <v>889</v>
      </c>
      <c r="B39" s="73">
        <v>44853</v>
      </c>
      <c r="C39" s="74">
        <v>20</v>
      </c>
      <c r="D39" s="75">
        <v>44853.380555555559</v>
      </c>
      <c r="E39" s="76">
        <v>17.983333333453629</v>
      </c>
      <c r="F39" s="77">
        <v>2290</v>
      </c>
      <c r="G39" s="77">
        <v>-3239</v>
      </c>
      <c r="H39" s="78">
        <v>0.56914100000000001</v>
      </c>
      <c r="I39" s="79">
        <v>534810900</v>
      </c>
      <c r="J39" s="76">
        <v>0.1030534</v>
      </c>
      <c r="K39" s="79">
        <v>24081560</v>
      </c>
      <c r="L39" s="76">
        <v>0.1039707</v>
      </c>
      <c r="M39" s="80">
        <v>4.5028180000000001E-2</v>
      </c>
      <c r="N39" s="80">
        <v>2.7739949999999999E-2</v>
      </c>
      <c r="O39" s="74">
        <v>10</v>
      </c>
      <c r="P39" s="74">
        <v>-4</v>
      </c>
      <c r="Q39" s="74">
        <v>18</v>
      </c>
      <c r="R39" s="79">
        <v>7.3E-9</v>
      </c>
      <c r="S39" s="79">
        <f t="shared" si="0"/>
        <v>939680852.37225926</v>
      </c>
    </row>
    <row r="40" spans="1:23" x14ac:dyDescent="0.35">
      <c r="A40" s="72" t="s">
        <v>890</v>
      </c>
      <c r="B40" s="73">
        <v>44853</v>
      </c>
      <c r="C40" s="74">
        <v>20</v>
      </c>
      <c r="D40" s="75">
        <v>44853.383333333331</v>
      </c>
      <c r="E40" s="76">
        <v>18.049999999988358</v>
      </c>
      <c r="F40" s="77">
        <v>2240</v>
      </c>
      <c r="G40" s="77">
        <v>-3239</v>
      </c>
      <c r="H40" s="78">
        <v>0.5661581</v>
      </c>
      <c r="I40" s="79">
        <v>534928000</v>
      </c>
      <c r="J40" s="76">
        <v>0.1050171</v>
      </c>
      <c r="K40" s="79">
        <v>24085040</v>
      </c>
      <c r="L40" s="76">
        <v>0.10524940000000001</v>
      </c>
      <c r="M40" s="80">
        <v>4.5024830000000002E-2</v>
      </c>
      <c r="N40" s="80">
        <v>2.3475319999999997E-2</v>
      </c>
      <c r="O40" s="74">
        <v>10</v>
      </c>
      <c r="P40" s="74">
        <v>-4</v>
      </c>
      <c r="Q40" s="74">
        <v>18</v>
      </c>
      <c r="R40" s="79">
        <v>7.3E-9</v>
      </c>
      <c r="S40" s="79">
        <f t="shared" si="0"/>
        <v>944838553.04728484</v>
      </c>
    </row>
    <row r="41" spans="1:23" x14ac:dyDescent="0.35">
      <c r="A41" s="16" t="s">
        <v>400</v>
      </c>
      <c r="B41" s="44">
        <v>44853</v>
      </c>
      <c r="C41" s="45">
        <v>20</v>
      </c>
      <c r="D41" s="46">
        <v>44853.40625</v>
      </c>
      <c r="E41" s="47">
        <v>18.600000000034925</v>
      </c>
      <c r="F41" s="45">
        <v>-272</v>
      </c>
      <c r="G41" s="45">
        <v>2412</v>
      </c>
      <c r="H41" s="47">
        <v>0.57498260000000001</v>
      </c>
      <c r="I41" s="48">
        <v>531065000</v>
      </c>
      <c r="J41" s="47">
        <v>0.1028288</v>
      </c>
      <c r="K41" s="48">
        <v>23309180</v>
      </c>
      <c r="L41" s="47">
        <v>0.1039925</v>
      </c>
      <c r="M41" s="49">
        <v>4.3891390000000002E-2</v>
      </c>
      <c r="N41" s="49">
        <v>2.7405840000000001E-2</v>
      </c>
      <c r="O41" s="45">
        <v>-2</v>
      </c>
      <c r="P41" s="45">
        <v>-3</v>
      </c>
      <c r="Q41" s="45">
        <v>-8</v>
      </c>
      <c r="R41" s="48">
        <v>6.1E-9</v>
      </c>
      <c r="S41" s="48">
        <f t="shared" si="0"/>
        <v>923619253.86959529</v>
      </c>
    </row>
    <row r="42" spans="1:23" x14ac:dyDescent="0.35">
      <c r="A42" s="16" t="s">
        <v>401</v>
      </c>
      <c r="B42" s="44">
        <v>44853</v>
      </c>
      <c r="C42" s="45">
        <v>20</v>
      </c>
      <c r="D42" s="46">
        <v>44853.40902777778</v>
      </c>
      <c r="E42" s="47">
        <v>18.666666666744277</v>
      </c>
      <c r="F42" s="45">
        <v>-248</v>
      </c>
      <c r="G42" s="45">
        <v>2433</v>
      </c>
      <c r="H42" s="47">
        <v>0.49014060000000004</v>
      </c>
      <c r="I42" s="48">
        <v>523897000</v>
      </c>
      <c r="J42" s="47">
        <v>0.1124889</v>
      </c>
      <c r="K42" s="48">
        <v>23021780</v>
      </c>
      <c r="L42" s="47">
        <v>0.1127623</v>
      </c>
      <c r="M42" s="49">
        <v>4.3943320000000001E-2</v>
      </c>
      <c r="N42" s="49">
        <v>2.4342489999999998E-2</v>
      </c>
      <c r="O42" s="45">
        <v>-3</v>
      </c>
      <c r="P42" s="45">
        <v>-2</v>
      </c>
      <c r="Q42" s="45">
        <v>-5</v>
      </c>
      <c r="R42" s="48">
        <v>6.1E-9</v>
      </c>
      <c r="S42" s="48">
        <f t="shared" si="0"/>
        <v>1068870850.5273792</v>
      </c>
    </row>
    <row r="43" spans="1:23" x14ac:dyDescent="0.35">
      <c r="A43" s="16" t="s">
        <v>402</v>
      </c>
      <c r="B43" s="44">
        <v>44853</v>
      </c>
      <c r="C43" s="45">
        <v>20</v>
      </c>
      <c r="D43" s="46">
        <v>44853.411805555559</v>
      </c>
      <c r="E43" s="47">
        <v>18.733333333453629</v>
      </c>
      <c r="F43" s="45">
        <v>-204</v>
      </c>
      <c r="G43" s="45">
        <v>2449</v>
      </c>
      <c r="H43" s="47">
        <v>0.49073049999999996</v>
      </c>
      <c r="I43" s="48">
        <v>516884700</v>
      </c>
      <c r="J43" s="47">
        <v>8.3032449999999994E-2</v>
      </c>
      <c r="K43" s="48">
        <v>22721400</v>
      </c>
      <c r="L43" s="47">
        <v>8.2824529999999993E-2</v>
      </c>
      <c r="M43" s="49">
        <v>4.3958360000000002E-2</v>
      </c>
      <c r="N43" s="49">
        <v>2.4159030000000001E-2</v>
      </c>
      <c r="O43" s="45">
        <v>-2</v>
      </c>
      <c r="P43" s="45">
        <v>-1</v>
      </c>
      <c r="Q43" s="45">
        <v>-1</v>
      </c>
      <c r="R43" s="48">
        <v>6.1E-9</v>
      </c>
      <c r="S43" s="48">
        <f t="shared" si="0"/>
        <v>1053296463.1299665</v>
      </c>
    </row>
    <row r="44" spans="1:23" x14ac:dyDescent="0.35">
      <c r="A44" s="16" t="s">
        <v>403</v>
      </c>
      <c r="B44" s="44">
        <v>44853</v>
      </c>
      <c r="C44" s="45">
        <v>20</v>
      </c>
      <c r="D44" s="46">
        <v>44853.414583333331</v>
      </c>
      <c r="E44" s="47">
        <v>18.799999999988358</v>
      </c>
      <c r="F44" s="45">
        <v>-125</v>
      </c>
      <c r="G44" s="45">
        <v>2451</v>
      </c>
      <c r="H44" s="47">
        <v>0.49691860000000004</v>
      </c>
      <c r="I44" s="48">
        <v>527512300</v>
      </c>
      <c r="J44" s="47">
        <v>0.1066515</v>
      </c>
      <c r="K44" s="48">
        <v>23143280</v>
      </c>
      <c r="L44" s="47">
        <v>0.1069042</v>
      </c>
      <c r="M44" s="49">
        <v>4.3871510000000002E-2</v>
      </c>
      <c r="N44" s="49">
        <v>2.3936780000000001E-2</v>
      </c>
      <c r="O44" s="45">
        <v>-2</v>
      </c>
      <c r="P44" s="45">
        <v>-1</v>
      </c>
      <c r="Q44" s="45">
        <v>4</v>
      </c>
      <c r="R44" s="48">
        <v>6E-9</v>
      </c>
      <c r="S44" s="48">
        <f t="shared" si="0"/>
        <v>1061566824.0230894</v>
      </c>
    </row>
    <row r="45" spans="1:23" x14ac:dyDescent="0.35">
      <c r="A45" s="16" t="s">
        <v>404</v>
      </c>
      <c r="B45" s="44">
        <v>44853</v>
      </c>
      <c r="C45" s="45">
        <v>20</v>
      </c>
      <c r="D45" s="46">
        <v>44853.417361111111</v>
      </c>
      <c r="E45" s="47">
        <v>18.866666666697711</v>
      </c>
      <c r="F45" s="45">
        <v>-61</v>
      </c>
      <c r="G45" s="45">
        <v>2422</v>
      </c>
      <c r="H45" s="47">
        <v>0.50628830000000002</v>
      </c>
      <c r="I45" s="48">
        <v>517080500</v>
      </c>
      <c r="J45" s="47">
        <v>0.1156237</v>
      </c>
      <c r="K45" s="48">
        <v>22727300</v>
      </c>
      <c r="L45" s="47">
        <v>0.1152857</v>
      </c>
      <c r="M45" s="49">
        <v>4.3953119999999998E-2</v>
      </c>
      <c r="N45" s="49">
        <v>2.9586019999999998E-2</v>
      </c>
      <c r="O45" s="45">
        <v>-2</v>
      </c>
      <c r="P45" s="45">
        <v>0</v>
      </c>
      <c r="Q45" s="45">
        <v>9</v>
      </c>
      <c r="R45" s="48">
        <v>6E-9</v>
      </c>
      <c r="S45" s="48">
        <f t="shared" si="0"/>
        <v>1021316313.2547207</v>
      </c>
    </row>
    <row r="46" spans="1:23" x14ac:dyDescent="0.35">
      <c r="A46" s="16" t="s">
        <v>405</v>
      </c>
      <c r="B46" s="44">
        <v>44853</v>
      </c>
      <c r="C46" s="45">
        <v>20</v>
      </c>
      <c r="D46" s="46">
        <v>44853.420138888891</v>
      </c>
      <c r="E46" s="47">
        <v>18.933333333407063</v>
      </c>
      <c r="F46" s="45">
        <v>0</v>
      </c>
      <c r="G46" s="45">
        <v>2430</v>
      </c>
      <c r="H46" s="47">
        <v>0.49808739999999996</v>
      </c>
      <c r="I46" s="48">
        <v>535868500</v>
      </c>
      <c r="J46" s="47">
        <v>0.1250259</v>
      </c>
      <c r="K46" s="48">
        <v>23591620</v>
      </c>
      <c r="L46" s="47">
        <v>0.12541479999999999</v>
      </c>
      <c r="M46" s="49">
        <v>4.4025019999999998E-2</v>
      </c>
      <c r="N46" s="49">
        <v>2.3709170000000002E-2</v>
      </c>
      <c r="O46" s="45">
        <v>-2</v>
      </c>
      <c r="P46" s="45">
        <v>-1</v>
      </c>
      <c r="Q46" s="45">
        <v>12</v>
      </c>
      <c r="R46" s="48">
        <v>5.8999999999999999E-9</v>
      </c>
      <c r="S46" s="48">
        <f t="shared" si="0"/>
        <v>1075852350.4107914</v>
      </c>
    </row>
    <row r="47" spans="1:23" x14ac:dyDescent="0.35">
      <c r="A47" s="16" t="s">
        <v>406</v>
      </c>
      <c r="B47" s="44">
        <v>44853</v>
      </c>
      <c r="C47" s="45">
        <v>20</v>
      </c>
      <c r="D47" s="46">
        <v>44853.423611111109</v>
      </c>
      <c r="E47" s="47">
        <v>19.016666666662786</v>
      </c>
      <c r="F47" s="45">
        <v>-880</v>
      </c>
      <c r="G47" s="45">
        <v>3023</v>
      </c>
      <c r="H47" s="47">
        <v>0.52455379999999996</v>
      </c>
      <c r="I47" s="48">
        <v>529970700</v>
      </c>
      <c r="J47" s="47">
        <v>0.1028873</v>
      </c>
      <c r="K47" s="48">
        <v>23274220</v>
      </c>
      <c r="L47" s="47">
        <v>0.1040282</v>
      </c>
      <c r="M47" s="49">
        <v>4.3916040000000003E-2</v>
      </c>
      <c r="N47" s="49">
        <v>2.7592620000000002E-2</v>
      </c>
      <c r="O47" s="45">
        <v>0</v>
      </c>
      <c r="P47" s="45">
        <v>-4</v>
      </c>
      <c r="Q47" s="45">
        <v>1</v>
      </c>
      <c r="R47" s="48">
        <v>5.8999999999999999E-9</v>
      </c>
      <c r="S47" s="48">
        <f t="shared" si="0"/>
        <v>1010326681.4576504</v>
      </c>
    </row>
    <row r="48" spans="1:23" x14ac:dyDescent="0.35">
      <c r="A48" s="16" t="s">
        <v>407</v>
      </c>
      <c r="B48" s="44">
        <v>44853</v>
      </c>
      <c r="C48" s="45">
        <v>20</v>
      </c>
      <c r="D48" s="46">
        <v>44853.426388888889</v>
      </c>
      <c r="E48" s="47">
        <v>19.083333333372138</v>
      </c>
      <c r="F48" s="45">
        <v>-754</v>
      </c>
      <c r="G48" s="45">
        <v>3102</v>
      </c>
      <c r="H48" s="47">
        <v>0.52285309999999996</v>
      </c>
      <c r="I48" s="48">
        <v>526322900</v>
      </c>
      <c r="J48" s="47">
        <v>0.1055798</v>
      </c>
      <c r="K48" s="48">
        <v>23062140</v>
      </c>
      <c r="L48" s="47">
        <v>0.1054208</v>
      </c>
      <c r="M48" s="49">
        <v>4.3817479999999999E-2</v>
      </c>
      <c r="N48" s="49">
        <v>2.3977760000000001E-2</v>
      </c>
      <c r="O48" s="45">
        <v>-2</v>
      </c>
      <c r="P48" s="45">
        <v>-4</v>
      </c>
      <c r="Q48" s="45">
        <v>7</v>
      </c>
      <c r="R48" s="48">
        <v>5.7999999999999998E-9</v>
      </c>
      <c r="S48" s="48">
        <f t="shared" si="0"/>
        <v>1006636280.8215157</v>
      </c>
    </row>
    <row r="49" spans="1:19" x14ac:dyDescent="0.35">
      <c r="A49" s="16" t="s">
        <v>408</v>
      </c>
      <c r="B49" s="44">
        <v>44853</v>
      </c>
      <c r="C49" s="45">
        <v>20</v>
      </c>
      <c r="D49" s="46">
        <v>44853.429166666669</v>
      </c>
      <c r="E49" s="47">
        <v>19.150000000081491</v>
      </c>
      <c r="F49" s="45">
        <v>-846</v>
      </c>
      <c r="G49" s="45">
        <v>3135</v>
      </c>
      <c r="H49" s="47">
        <v>0.52260119999999999</v>
      </c>
      <c r="I49" s="48">
        <v>524188800</v>
      </c>
      <c r="J49" s="47">
        <v>0.10854999999999999</v>
      </c>
      <c r="K49" s="48">
        <v>22968360</v>
      </c>
      <c r="L49" s="47">
        <v>0.109509</v>
      </c>
      <c r="M49" s="49">
        <v>4.3816960000000002E-2</v>
      </c>
      <c r="N49" s="49">
        <v>2.5410889999999998E-2</v>
      </c>
      <c r="O49" s="45">
        <v>0</v>
      </c>
      <c r="P49" s="45">
        <v>-4</v>
      </c>
      <c r="Q49" s="45">
        <v>1</v>
      </c>
      <c r="R49" s="48">
        <v>5.7999999999999998E-9</v>
      </c>
      <c r="S49" s="48">
        <f t="shared" si="0"/>
        <v>1003037880.5100332</v>
      </c>
    </row>
    <row r="50" spans="1:19" x14ac:dyDescent="0.35">
      <c r="A50" s="16" t="s">
        <v>409</v>
      </c>
      <c r="B50" s="44">
        <v>44853</v>
      </c>
      <c r="C50" s="45">
        <v>20</v>
      </c>
      <c r="D50" s="46">
        <v>44853.431944444441</v>
      </c>
      <c r="E50" s="47">
        <v>19.21666666661622</v>
      </c>
      <c r="F50" s="45">
        <v>-671</v>
      </c>
      <c r="G50" s="45">
        <v>3934</v>
      </c>
      <c r="H50" s="47">
        <v>0.50445849999999992</v>
      </c>
      <c r="I50" s="48">
        <v>520719600</v>
      </c>
      <c r="J50" s="47">
        <v>0.10561470000000001</v>
      </c>
      <c r="K50" s="48">
        <v>22830860</v>
      </c>
      <c r="L50" s="47">
        <v>0.10496750000000001</v>
      </c>
      <c r="M50" s="49">
        <v>4.3844840000000003E-2</v>
      </c>
      <c r="N50" s="49">
        <v>2.409973E-2</v>
      </c>
      <c r="O50" s="45">
        <v>2</v>
      </c>
      <c r="P50" s="45">
        <v>-4</v>
      </c>
      <c r="Q50" s="45">
        <v>1</v>
      </c>
      <c r="R50" s="48">
        <v>5.7999999999999998E-9</v>
      </c>
      <c r="S50" s="48">
        <f t="shared" si="0"/>
        <v>1032234762.6217024</v>
      </c>
    </row>
    <row r="51" spans="1:19" x14ac:dyDescent="0.35">
      <c r="A51" s="16" t="s">
        <v>410</v>
      </c>
      <c r="B51" s="44">
        <v>44853</v>
      </c>
      <c r="C51" s="45">
        <v>20</v>
      </c>
      <c r="D51" s="46">
        <v>44853.43472222222</v>
      </c>
      <c r="E51" s="47">
        <v>19.283333333325572</v>
      </c>
      <c r="F51" s="45">
        <v>-661</v>
      </c>
      <c r="G51" s="45">
        <v>3856</v>
      </c>
      <c r="H51" s="47">
        <v>0.51184830000000003</v>
      </c>
      <c r="I51" s="48">
        <v>525075500</v>
      </c>
      <c r="J51" s="47">
        <v>0.1123658</v>
      </c>
      <c r="K51" s="48">
        <v>23093360</v>
      </c>
      <c r="L51" s="47">
        <v>0.1114834</v>
      </c>
      <c r="M51" s="49">
        <v>4.3981039999999999E-2</v>
      </c>
      <c r="N51" s="49">
        <v>2.3963289999999998E-2</v>
      </c>
      <c r="O51" s="45">
        <v>2</v>
      </c>
      <c r="P51" s="45">
        <v>-4</v>
      </c>
      <c r="Q51" s="45">
        <v>3</v>
      </c>
      <c r="R51" s="48">
        <v>5.7999999999999998E-9</v>
      </c>
      <c r="S51" s="48">
        <f t="shared" si="0"/>
        <v>1025842031.7113488</v>
      </c>
    </row>
    <row r="52" spans="1:19" x14ac:dyDescent="0.35">
      <c r="A52" s="16" t="s">
        <v>411</v>
      </c>
      <c r="B52" s="44">
        <v>44853</v>
      </c>
      <c r="C52" s="45">
        <v>20</v>
      </c>
      <c r="D52" s="46">
        <v>44853.4375</v>
      </c>
      <c r="E52" s="47">
        <v>19.350000000034925</v>
      </c>
      <c r="F52" s="45">
        <v>-674</v>
      </c>
      <c r="G52" s="45">
        <v>3820</v>
      </c>
      <c r="H52" s="47">
        <v>0.52190020000000004</v>
      </c>
      <c r="I52" s="48">
        <v>523729100</v>
      </c>
      <c r="J52" s="47">
        <v>0.1156129</v>
      </c>
      <c r="K52" s="48">
        <v>22942450</v>
      </c>
      <c r="L52" s="47">
        <v>0.1151499</v>
      </c>
      <c r="M52" s="49">
        <v>4.3805950000000003E-2</v>
      </c>
      <c r="N52" s="49">
        <v>2.4040079999999998E-2</v>
      </c>
      <c r="O52" s="45">
        <v>2</v>
      </c>
      <c r="P52" s="45">
        <v>-4</v>
      </c>
      <c r="Q52" s="45">
        <v>3</v>
      </c>
      <c r="R52" s="48">
        <v>5.6999999999999998E-9</v>
      </c>
      <c r="S52" s="48">
        <f t="shared" si="0"/>
        <v>1003504309.8278176</v>
      </c>
    </row>
    <row r="53" spans="1:19" x14ac:dyDescent="0.35">
      <c r="A53" s="16" t="s">
        <v>412</v>
      </c>
      <c r="B53" s="44">
        <v>44853</v>
      </c>
      <c r="C53" s="45">
        <v>20</v>
      </c>
      <c r="D53" s="46">
        <v>44853.44027777778</v>
      </c>
      <c r="E53" s="47">
        <v>19.416666666744277</v>
      </c>
      <c r="F53" s="45">
        <v>-553</v>
      </c>
      <c r="G53" s="45">
        <v>3928</v>
      </c>
      <c r="H53" s="47">
        <v>0.52092860000000007</v>
      </c>
      <c r="I53" s="48">
        <v>514024200</v>
      </c>
      <c r="J53" s="47">
        <v>0.1118012</v>
      </c>
      <c r="K53" s="48">
        <v>22528210</v>
      </c>
      <c r="L53" s="47">
        <v>0.1134201</v>
      </c>
      <c r="M53" s="49">
        <v>4.3827119999999997E-2</v>
      </c>
      <c r="N53" s="49">
        <v>3.2941950000000005E-2</v>
      </c>
      <c r="O53" s="45">
        <v>2</v>
      </c>
      <c r="P53" s="45">
        <v>-4</v>
      </c>
      <c r="Q53" s="45">
        <v>8</v>
      </c>
      <c r="R53" s="48">
        <v>5.6999999999999998E-9</v>
      </c>
      <c r="S53" s="48">
        <f t="shared" si="0"/>
        <v>986745976.31997919</v>
      </c>
    </row>
    <row r="54" spans="1:19" x14ac:dyDescent="0.35">
      <c r="A54" s="16" t="s">
        <v>413</v>
      </c>
      <c r="B54" s="44">
        <v>44853</v>
      </c>
      <c r="C54" s="45">
        <v>20</v>
      </c>
      <c r="D54" s="46">
        <v>44853.443055555559</v>
      </c>
      <c r="E54" s="47">
        <v>19.483333333453629</v>
      </c>
      <c r="F54" s="45">
        <v>-560</v>
      </c>
      <c r="G54" s="45">
        <v>4006</v>
      </c>
      <c r="H54" s="47">
        <v>0.5169028</v>
      </c>
      <c r="I54" s="48">
        <v>523660300</v>
      </c>
      <c r="J54" s="47">
        <v>0.10624169999999999</v>
      </c>
      <c r="K54" s="48">
        <v>23036810</v>
      </c>
      <c r="L54" s="47">
        <v>0.1070719</v>
      </c>
      <c r="M54" s="49">
        <v>4.3991879999999997E-2</v>
      </c>
      <c r="N54" s="49">
        <v>2.4330730000000002E-2</v>
      </c>
      <c r="O54" s="45">
        <v>4</v>
      </c>
      <c r="P54" s="45">
        <v>-2</v>
      </c>
      <c r="Q54" s="45">
        <v>3</v>
      </c>
      <c r="R54" s="48">
        <v>5.6999999999999998E-9</v>
      </c>
      <c r="S54" s="48">
        <f t="shared" si="0"/>
        <v>1013073057.4490987</v>
      </c>
    </row>
    <row r="55" spans="1:19" x14ac:dyDescent="0.35">
      <c r="A55" s="72" t="s">
        <v>891</v>
      </c>
      <c r="B55" s="73">
        <v>44853</v>
      </c>
      <c r="C55" s="74">
        <v>20</v>
      </c>
      <c r="D55" s="75">
        <v>44853.451388888891</v>
      </c>
      <c r="E55" s="76">
        <v>19.683333333407063</v>
      </c>
      <c r="F55" s="77">
        <v>2366</v>
      </c>
      <c r="G55" s="77">
        <v>-3298</v>
      </c>
      <c r="H55" s="78">
        <v>0.561145</v>
      </c>
      <c r="I55" s="79">
        <v>528469800</v>
      </c>
      <c r="J55" s="76">
        <v>9.5858470000000001E-2</v>
      </c>
      <c r="K55" s="79">
        <v>23799370</v>
      </c>
      <c r="L55" s="76">
        <v>9.5826819999999993E-2</v>
      </c>
      <c r="M55" s="80">
        <v>4.5034499999999998E-2</v>
      </c>
      <c r="N55" s="80">
        <v>2.3616769999999999E-2</v>
      </c>
      <c r="O55" s="74">
        <v>-5</v>
      </c>
      <c r="P55" s="74">
        <v>-4</v>
      </c>
      <c r="Q55" s="74">
        <v>16</v>
      </c>
      <c r="R55" s="79">
        <v>6.6999999999999996E-9</v>
      </c>
      <c r="S55" s="79">
        <f t="shared" si="0"/>
        <v>941770487.12899518</v>
      </c>
    </row>
    <row r="56" spans="1:19" x14ac:dyDescent="0.35">
      <c r="A56" s="72" t="s">
        <v>892</v>
      </c>
      <c r="B56" s="73">
        <v>44853</v>
      </c>
      <c r="C56" s="74">
        <v>20</v>
      </c>
      <c r="D56" s="75">
        <v>44853.45416666667</v>
      </c>
      <c r="E56" s="76">
        <v>19.750000000116415</v>
      </c>
      <c r="F56" s="77">
        <v>2316</v>
      </c>
      <c r="G56" s="77">
        <v>-3298</v>
      </c>
      <c r="H56" s="78">
        <v>0.56382359999999998</v>
      </c>
      <c r="I56" s="79">
        <v>528968300</v>
      </c>
      <c r="J56" s="76">
        <v>0.10342709999999999</v>
      </c>
      <c r="K56" s="79">
        <v>23820410</v>
      </c>
      <c r="L56" s="76">
        <v>0.10400239999999999</v>
      </c>
      <c r="M56" s="80">
        <v>4.5031830000000002E-2</v>
      </c>
      <c r="N56" s="80">
        <v>2.6620070000000003E-2</v>
      </c>
      <c r="O56" s="74">
        <v>-4</v>
      </c>
      <c r="P56" s="74">
        <v>-4</v>
      </c>
      <c r="Q56" s="74">
        <v>15</v>
      </c>
      <c r="R56" s="79">
        <v>6.7999999999999997E-9</v>
      </c>
      <c r="S56" s="79">
        <f t="shared" si="0"/>
        <v>938180487.65606833</v>
      </c>
    </row>
    <row r="57" spans="1:19" x14ac:dyDescent="0.35">
      <c r="A57" s="72" t="s">
        <v>893</v>
      </c>
      <c r="B57" s="73">
        <v>44853</v>
      </c>
      <c r="C57" s="74">
        <v>20</v>
      </c>
      <c r="D57" s="75">
        <v>44853.456944444442</v>
      </c>
      <c r="E57" s="76">
        <v>19.816666666651145</v>
      </c>
      <c r="F57" s="77">
        <v>2266</v>
      </c>
      <c r="G57" s="77">
        <v>-3298</v>
      </c>
      <c r="H57" s="78">
        <v>0.57154120000000008</v>
      </c>
      <c r="I57" s="79">
        <v>526727200</v>
      </c>
      <c r="J57" s="76">
        <v>9.8777009999999998E-2</v>
      </c>
      <c r="K57" s="79">
        <v>23717940</v>
      </c>
      <c r="L57" s="76">
        <v>9.925291E-2</v>
      </c>
      <c r="M57" s="80">
        <v>4.5028890000000002E-2</v>
      </c>
      <c r="N57" s="80">
        <v>3.1564840000000004E-2</v>
      </c>
      <c r="O57" s="74">
        <v>-6</v>
      </c>
      <c r="P57" s="74">
        <v>-4</v>
      </c>
      <c r="Q57" s="74">
        <v>16</v>
      </c>
      <c r="R57" s="79">
        <v>6.7999999999999997E-9</v>
      </c>
      <c r="S57" s="79">
        <f t="shared" si="0"/>
        <v>921590954.42288315</v>
      </c>
    </row>
    <row r="58" spans="1:19" x14ac:dyDescent="0.35">
      <c r="A58" s="16" t="s">
        <v>416</v>
      </c>
      <c r="B58" s="44">
        <v>44853</v>
      </c>
      <c r="C58" s="45">
        <v>20</v>
      </c>
      <c r="D58" s="46">
        <v>44853.476388888892</v>
      </c>
      <c r="E58" s="47">
        <v>20.283333333441988</v>
      </c>
      <c r="F58" s="45">
        <v>1234</v>
      </c>
      <c r="G58" s="45">
        <v>194</v>
      </c>
      <c r="H58" s="47">
        <v>0.52313549999999998</v>
      </c>
      <c r="I58" s="48">
        <v>511203200</v>
      </c>
      <c r="J58" s="47">
        <v>0.13744999999999999</v>
      </c>
      <c r="K58" s="48">
        <v>22633240</v>
      </c>
      <c r="L58" s="47">
        <v>0.13840839999999999</v>
      </c>
      <c r="M58" s="49">
        <v>4.4274439999999998E-2</v>
      </c>
      <c r="N58" s="49">
        <v>2.7872950000000001E-2</v>
      </c>
      <c r="O58" s="45">
        <v>-7</v>
      </c>
      <c r="P58" s="45">
        <v>9</v>
      </c>
      <c r="Q58" s="45">
        <v>22</v>
      </c>
      <c r="R58" s="48">
        <v>5.6999999999999998E-9</v>
      </c>
      <c r="S58" s="48">
        <f t="shared" si="0"/>
        <v>977190804.29448974</v>
      </c>
    </row>
    <row r="59" spans="1:19" x14ac:dyDescent="0.35">
      <c r="A59" s="16" t="s">
        <v>417</v>
      </c>
      <c r="B59" s="44">
        <v>44853</v>
      </c>
      <c r="C59" s="45">
        <v>20</v>
      </c>
      <c r="D59" s="46">
        <v>44853.479166666664</v>
      </c>
      <c r="E59" s="47">
        <v>20.349999999976717</v>
      </c>
      <c r="F59" s="45">
        <v>1161</v>
      </c>
      <c r="G59" s="45">
        <v>330</v>
      </c>
      <c r="H59" s="47">
        <v>0.51124590000000003</v>
      </c>
      <c r="I59" s="48">
        <v>511669800</v>
      </c>
      <c r="J59" s="47">
        <v>0.16634209999999999</v>
      </c>
      <c r="K59" s="48">
        <v>22619290</v>
      </c>
      <c r="L59" s="47">
        <v>0.1674012</v>
      </c>
      <c r="M59" s="49">
        <v>4.4206040000000002E-2</v>
      </c>
      <c r="N59" s="49">
        <v>2.4216700000000001E-2</v>
      </c>
      <c r="O59" s="45">
        <v>-6</v>
      </c>
      <c r="P59" s="45">
        <v>10</v>
      </c>
      <c r="Q59" s="45">
        <v>18</v>
      </c>
      <c r="R59" s="48">
        <v>5.4999999999999996E-9</v>
      </c>
      <c r="S59" s="48">
        <f t="shared" si="0"/>
        <v>1000829150.903704</v>
      </c>
    </row>
    <row r="60" spans="1:19" x14ac:dyDescent="0.35">
      <c r="A60" s="16" t="s">
        <v>418</v>
      </c>
      <c r="B60" s="44">
        <v>44853</v>
      </c>
      <c r="C60" s="45">
        <v>20</v>
      </c>
      <c r="D60" s="46">
        <v>44853.481944444444</v>
      </c>
      <c r="E60" s="47">
        <v>20.416666666686069</v>
      </c>
      <c r="F60" s="45">
        <v>1231</v>
      </c>
      <c r="G60" s="45">
        <v>391</v>
      </c>
      <c r="H60" s="47">
        <v>0.52871259999999998</v>
      </c>
      <c r="I60" s="48">
        <v>502776400</v>
      </c>
      <c r="J60" s="47">
        <v>0.13023309999999999</v>
      </c>
      <c r="K60" s="48">
        <v>22279000</v>
      </c>
      <c r="L60" s="47">
        <v>0.13102430000000001</v>
      </c>
      <c r="M60" s="49">
        <v>4.4311940000000001E-2</v>
      </c>
      <c r="N60" s="49">
        <v>2.616338E-2</v>
      </c>
      <c r="O60" s="45">
        <v>-6</v>
      </c>
      <c r="P60" s="45">
        <v>10</v>
      </c>
      <c r="Q60" s="45">
        <v>23</v>
      </c>
      <c r="R60" s="48">
        <v>5.4000000000000004E-9</v>
      </c>
      <c r="S60" s="48">
        <f t="shared" si="0"/>
        <v>950944615.27869773</v>
      </c>
    </row>
    <row r="61" spans="1:19" x14ac:dyDescent="0.35">
      <c r="A61" s="16" t="s">
        <v>419</v>
      </c>
      <c r="B61" s="44">
        <v>44853</v>
      </c>
      <c r="C61" s="45">
        <v>20</v>
      </c>
      <c r="D61" s="46">
        <v>44853.484722222223</v>
      </c>
      <c r="E61" s="47">
        <v>20.483333333395422</v>
      </c>
      <c r="F61" s="45">
        <v>1066</v>
      </c>
      <c r="G61" s="45">
        <v>514</v>
      </c>
      <c r="H61" s="47">
        <v>0.51046669999999994</v>
      </c>
      <c r="I61" s="48">
        <v>508572300</v>
      </c>
      <c r="J61" s="47">
        <v>0.1336002</v>
      </c>
      <c r="K61" s="48">
        <v>22519690</v>
      </c>
      <c r="L61" s="47">
        <v>0.13391939999999999</v>
      </c>
      <c r="M61" s="49">
        <v>4.428021E-2</v>
      </c>
      <c r="N61" s="49">
        <v>2.8130210000000003E-2</v>
      </c>
      <c r="O61" s="45">
        <v>-5</v>
      </c>
      <c r="P61" s="45">
        <v>11</v>
      </c>
      <c r="Q61" s="45">
        <v>16</v>
      </c>
      <c r="R61" s="48">
        <v>5.4000000000000004E-9</v>
      </c>
      <c r="S61" s="48">
        <f t="shared" si="0"/>
        <v>996288886.22901368</v>
      </c>
    </row>
    <row r="62" spans="1:19" x14ac:dyDescent="0.35">
      <c r="A62" s="16" t="s">
        <v>420</v>
      </c>
      <c r="B62" s="44">
        <v>44853</v>
      </c>
      <c r="C62" s="45">
        <v>20</v>
      </c>
      <c r="D62" s="46">
        <v>44853.488194444442</v>
      </c>
      <c r="E62" s="47">
        <v>20.566666666651145</v>
      </c>
      <c r="F62" s="45">
        <v>866</v>
      </c>
      <c r="G62" s="45">
        <v>656</v>
      </c>
      <c r="H62" s="47">
        <v>0.51558460000000006</v>
      </c>
      <c r="I62" s="48">
        <v>505216400</v>
      </c>
      <c r="J62" s="47">
        <v>0.1306051</v>
      </c>
      <c r="K62" s="48">
        <v>22365170</v>
      </c>
      <c r="L62" s="47">
        <v>0.13104379999999999</v>
      </c>
      <c r="M62" s="49">
        <v>4.4268490000000001E-2</v>
      </c>
      <c r="N62" s="49">
        <v>2.913377E-2</v>
      </c>
      <c r="O62" s="45">
        <v>-3</v>
      </c>
      <c r="P62" s="45">
        <v>12</v>
      </c>
      <c r="Q62" s="45">
        <v>14</v>
      </c>
      <c r="R62" s="48">
        <v>5.4000000000000004E-9</v>
      </c>
      <c r="S62" s="48">
        <f t="shared" si="0"/>
        <v>979890400.13995755</v>
      </c>
    </row>
    <row r="63" spans="1:19" x14ac:dyDescent="0.35">
      <c r="A63" s="16" t="s">
        <v>421</v>
      </c>
      <c r="B63" s="44">
        <v>44853</v>
      </c>
      <c r="C63" s="45">
        <v>20</v>
      </c>
      <c r="D63" s="46">
        <v>44853.490972222222</v>
      </c>
      <c r="E63" s="47">
        <v>20.633333333360497</v>
      </c>
      <c r="F63" s="45">
        <v>822</v>
      </c>
      <c r="G63" s="45">
        <v>787</v>
      </c>
      <c r="H63" s="47">
        <v>0.49852079999999999</v>
      </c>
      <c r="I63" s="48">
        <v>502271000</v>
      </c>
      <c r="J63" s="47">
        <v>0.13718649999999999</v>
      </c>
      <c r="K63" s="48">
        <v>22239000</v>
      </c>
      <c r="L63" s="47">
        <v>0.1370816</v>
      </c>
      <c r="M63" s="49">
        <v>4.4276900000000001E-2</v>
      </c>
      <c r="N63" s="49">
        <v>2.4424410000000001E-2</v>
      </c>
      <c r="O63" s="45">
        <v>-1</v>
      </c>
      <c r="P63" s="45">
        <v>13</v>
      </c>
      <c r="Q63" s="45">
        <v>11</v>
      </c>
      <c r="R63" s="48">
        <v>5.3000000000000003E-9</v>
      </c>
      <c r="S63" s="48">
        <f t="shared" si="0"/>
        <v>1007522655.0226189</v>
      </c>
    </row>
    <row r="64" spans="1:19" x14ac:dyDescent="0.35">
      <c r="A64" s="16" t="s">
        <v>422</v>
      </c>
      <c r="B64" s="44">
        <v>44853</v>
      </c>
      <c r="C64" s="45">
        <v>20</v>
      </c>
      <c r="D64" s="46">
        <v>44853.493750000001</v>
      </c>
      <c r="E64" s="47">
        <v>20.700000000069849</v>
      </c>
      <c r="F64" s="45">
        <v>549</v>
      </c>
      <c r="G64" s="45">
        <v>335</v>
      </c>
      <c r="H64" s="47">
        <v>0.52348360000000005</v>
      </c>
      <c r="I64" s="48">
        <v>510514800</v>
      </c>
      <c r="J64" s="47">
        <v>0.1366272</v>
      </c>
      <c r="K64" s="48">
        <v>22599720</v>
      </c>
      <c r="L64" s="47">
        <v>0.13754259999999999</v>
      </c>
      <c r="M64" s="49">
        <v>4.4268479999999999E-2</v>
      </c>
      <c r="N64" s="49">
        <v>3.111968E-2</v>
      </c>
      <c r="O64" s="45">
        <v>-6</v>
      </c>
      <c r="P64" s="45">
        <v>7</v>
      </c>
      <c r="Q64" s="45">
        <v>14</v>
      </c>
      <c r="R64" s="48">
        <v>5.2000000000000002E-9</v>
      </c>
      <c r="S64" s="48">
        <f t="shared" si="0"/>
        <v>975225966.96439004</v>
      </c>
    </row>
    <row r="65" spans="1:19" x14ac:dyDescent="0.35">
      <c r="A65" s="16" t="s">
        <v>423</v>
      </c>
      <c r="B65" s="44">
        <v>44853</v>
      </c>
      <c r="C65" s="45">
        <v>20</v>
      </c>
      <c r="D65" s="46">
        <v>44853.496527777781</v>
      </c>
      <c r="E65" s="47">
        <v>20.766666666779201</v>
      </c>
      <c r="F65" s="45">
        <v>1718</v>
      </c>
      <c r="G65" s="45">
        <v>1128</v>
      </c>
      <c r="H65" s="47">
        <v>0.51357400000000009</v>
      </c>
      <c r="I65" s="48">
        <v>494645200</v>
      </c>
      <c r="J65" s="47">
        <v>0.12669849999999999</v>
      </c>
      <c r="K65" s="48">
        <v>21951680</v>
      </c>
      <c r="L65" s="47">
        <v>0.1265522</v>
      </c>
      <c r="M65" s="49">
        <v>4.4378649999999999E-2</v>
      </c>
      <c r="N65" s="49">
        <v>3.4132450000000002E-2</v>
      </c>
      <c r="O65" s="45">
        <v>-5</v>
      </c>
      <c r="P65" s="45">
        <v>14</v>
      </c>
      <c r="Q65" s="45">
        <v>29</v>
      </c>
      <c r="R65" s="48">
        <v>5.2000000000000002E-9</v>
      </c>
      <c r="S65" s="48">
        <f t="shared" si="0"/>
        <v>963142993.99891722</v>
      </c>
    </row>
    <row r="66" spans="1:19" x14ac:dyDescent="0.35">
      <c r="A66" s="16" t="s">
        <v>424</v>
      </c>
      <c r="B66" s="44">
        <v>44853</v>
      </c>
      <c r="C66" s="45">
        <v>20</v>
      </c>
      <c r="D66" s="46">
        <v>44853.499305555553</v>
      </c>
      <c r="E66" s="47">
        <v>20.833333333313931</v>
      </c>
      <c r="F66" s="45">
        <v>1652</v>
      </c>
      <c r="G66" s="45">
        <v>1074</v>
      </c>
      <c r="H66" s="47">
        <v>0.51205869999999998</v>
      </c>
      <c r="I66" s="48">
        <v>504023600</v>
      </c>
      <c r="J66" s="47">
        <v>0.1372256</v>
      </c>
      <c r="K66" s="48">
        <v>22343740</v>
      </c>
      <c r="L66" s="47">
        <v>0.13727410000000001</v>
      </c>
      <c r="M66" s="49">
        <v>4.4330750000000002E-2</v>
      </c>
      <c r="N66" s="49">
        <v>2.4932550000000001E-2</v>
      </c>
      <c r="O66" s="45">
        <v>-4</v>
      </c>
      <c r="P66" s="45">
        <v>12</v>
      </c>
      <c r="Q66" s="45">
        <v>22</v>
      </c>
      <c r="R66" s="48">
        <v>5.2000000000000002E-9</v>
      </c>
      <c r="S66" s="48">
        <f t="shared" si="0"/>
        <v>984308244.34776723</v>
      </c>
    </row>
    <row r="67" spans="1:19" x14ac:dyDescent="0.35">
      <c r="A67" s="16" t="s">
        <v>425</v>
      </c>
      <c r="B67" s="44">
        <v>44853</v>
      </c>
      <c r="C67" s="45">
        <v>20</v>
      </c>
      <c r="D67" s="46">
        <v>44853.502083333333</v>
      </c>
      <c r="E67" s="47">
        <v>20.900000000023283</v>
      </c>
      <c r="F67" s="45">
        <v>1632</v>
      </c>
      <c r="G67" s="45">
        <v>1227</v>
      </c>
      <c r="H67" s="47">
        <v>0.51075610000000005</v>
      </c>
      <c r="I67" s="48">
        <v>496883800</v>
      </c>
      <c r="J67" s="47">
        <v>0.13482440000000001</v>
      </c>
      <c r="K67" s="48">
        <v>22022940</v>
      </c>
      <c r="L67" s="47">
        <v>0.13539979999999999</v>
      </c>
      <c r="M67" s="49">
        <v>4.4322109999999998E-2</v>
      </c>
      <c r="N67" s="49">
        <v>2.6694470000000001E-2</v>
      </c>
      <c r="O67" s="45">
        <v>-4</v>
      </c>
      <c r="P67" s="45">
        <v>13</v>
      </c>
      <c r="Q67" s="45">
        <v>25</v>
      </c>
      <c r="R67" s="48">
        <v>5.2000000000000002E-9</v>
      </c>
      <c r="S67" s="48">
        <f t="shared" si="0"/>
        <v>972839678.27305436</v>
      </c>
    </row>
    <row r="68" spans="1:19" x14ac:dyDescent="0.35">
      <c r="A68" s="16" t="s">
        <v>426</v>
      </c>
      <c r="B68" s="44">
        <v>44853</v>
      </c>
      <c r="C68" s="45">
        <v>20</v>
      </c>
      <c r="D68" s="46">
        <v>44853.504861111112</v>
      </c>
      <c r="E68" s="47">
        <v>20.966666666732635</v>
      </c>
      <c r="F68" s="45">
        <v>1572</v>
      </c>
      <c r="G68" s="45">
        <v>1189</v>
      </c>
      <c r="H68" s="47">
        <v>0.51656330000000006</v>
      </c>
      <c r="I68" s="48">
        <v>500578200</v>
      </c>
      <c r="J68" s="47">
        <v>0.14161770000000001</v>
      </c>
      <c r="K68" s="48">
        <v>22158540</v>
      </c>
      <c r="L68" s="47">
        <v>0.14210390000000001</v>
      </c>
      <c r="M68" s="49">
        <v>4.4265899999999997E-2</v>
      </c>
      <c r="N68" s="49">
        <v>2.5790439999999998E-2</v>
      </c>
      <c r="O68" s="45">
        <v>-3</v>
      </c>
      <c r="P68" s="45">
        <v>13</v>
      </c>
      <c r="Q68" s="45">
        <v>22</v>
      </c>
      <c r="R68" s="48">
        <v>5.2000000000000002E-9</v>
      </c>
      <c r="S68" s="48">
        <f t="shared" si="0"/>
        <v>969054905.75888753</v>
      </c>
    </row>
    <row r="69" spans="1:19" x14ac:dyDescent="0.35">
      <c r="A69" s="72" t="s">
        <v>894</v>
      </c>
      <c r="B69" s="73">
        <v>44853</v>
      </c>
      <c r="C69" s="74">
        <v>20</v>
      </c>
      <c r="D69" s="75">
        <v>44853.511805555558</v>
      </c>
      <c r="E69" s="76">
        <v>21.133333333418705</v>
      </c>
      <c r="F69" s="77">
        <v>2947</v>
      </c>
      <c r="G69" s="77">
        <v>-2964</v>
      </c>
      <c r="H69" s="78">
        <v>0.57942530000000003</v>
      </c>
      <c r="I69" s="79">
        <v>518408600</v>
      </c>
      <c r="J69" s="76">
        <v>9.9418350000000003E-2</v>
      </c>
      <c r="K69" s="79">
        <v>23342840</v>
      </c>
      <c r="L69" s="76">
        <v>0.10086630000000001</v>
      </c>
      <c r="M69" s="80">
        <v>4.5027869999999998E-2</v>
      </c>
      <c r="N69" s="80">
        <v>3.1465600000000003E-2</v>
      </c>
      <c r="O69" s="74">
        <v>-6</v>
      </c>
      <c r="P69" s="74">
        <v>-4</v>
      </c>
      <c r="Q69" s="74">
        <v>17</v>
      </c>
      <c r="R69" s="79">
        <v>6.4000000000000002E-9</v>
      </c>
      <c r="S69" s="79">
        <f t="shared" si="0"/>
        <v>894694449.82813132</v>
      </c>
    </row>
    <row r="70" spans="1:19" x14ac:dyDescent="0.35">
      <c r="A70" s="72" t="s">
        <v>895</v>
      </c>
      <c r="B70" s="73">
        <v>44853</v>
      </c>
      <c r="C70" s="74">
        <v>20</v>
      </c>
      <c r="D70" s="75">
        <v>44853.51458333333</v>
      </c>
      <c r="E70" s="76">
        <v>21.199999999953434</v>
      </c>
      <c r="F70" s="77">
        <v>2897</v>
      </c>
      <c r="G70" s="77">
        <v>-2964</v>
      </c>
      <c r="H70" s="78">
        <v>0.58947100000000008</v>
      </c>
      <c r="I70" s="79">
        <v>516823900</v>
      </c>
      <c r="J70" s="76">
        <v>0.1058221</v>
      </c>
      <c r="K70" s="79">
        <v>23271210</v>
      </c>
      <c r="L70" s="76">
        <v>0.1054918</v>
      </c>
      <c r="M70" s="80">
        <v>4.5027360000000002E-2</v>
      </c>
      <c r="N70" s="80">
        <v>2.3883540000000002E-2</v>
      </c>
      <c r="O70" s="74">
        <v>-7</v>
      </c>
      <c r="P70" s="74">
        <v>-3</v>
      </c>
      <c r="Q70" s="74">
        <v>18</v>
      </c>
      <c r="R70" s="79">
        <v>6.5000000000000003E-9</v>
      </c>
      <c r="S70" s="79">
        <f t="shared" si="0"/>
        <v>876758822.74106777</v>
      </c>
    </row>
    <row r="71" spans="1:19" x14ac:dyDescent="0.35">
      <c r="A71" s="72" t="s">
        <v>896</v>
      </c>
      <c r="B71" s="73">
        <v>44853</v>
      </c>
      <c r="C71" s="74">
        <v>20</v>
      </c>
      <c r="D71" s="75">
        <v>44853.517361111109</v>
      </c>
      <c r="E71" s="76">
        <v>21.266666666662786</v>
      </c>
      <c r="F71" s="77">
        <v>2847</v>
      </c>
      <c r="G71" s="77">
        <v>-2964</v>
      </c>
      <c r="H71" s="78">
        <v>0.59683569999999997</v>
      </c>
      <c r="I71" s="79">
        <v>515830300</v>
      </c>
      <c r="J71" s="76">
        <v>0.1047439</v>
      </c>
      <c r="K71" s="79">
        <v>23225590</v>
      </c>
      <c r="L71" s="76">
        <v>0.1042083</v>
      </c>
      <c r="M71" s="80">
        <v>4.5025639999999999E-2</v>
      </c>
      <c r="N71" s="80">
        <v>2.390697E-2</v>
      </c>
      <c r="O71" s="74">
        <v>-8</v>
      </c>
      <c r="P71" s="74">
        <v>-3</v>
      </c>
      <c r="Q71" s="74">
        <v>18</v>
      </c>
      <c r="R71" s="79">
        <v>6.6000000000000004E-9</v>
      </c>
      <c r="S71" s="79">
        <f t="shared" si="0"/>
        <v>864275210.07875371</v>
      </c>
    </row>
    <row r="72" spans="1:19" x14ac:dyDescent="0.35">
      <c r="A72" s="16" t="s">
        <v>429</v>
      </c>
      <c r="B72" s="44">
        <v>44853</v>
      </c>
      <c r="C72" s="45">
        <v>20</v>
      </c>
      <c r="D72" s="46">
        <v>44853.538194444445</v>
      </c>
      <c r="E72" s="47">
        <v>21.766666666720994</v>
      </c>
      <c r="F72" s="45">
        <v>4825</v>
      </c>
      <c r="G72" s="45">
        <v>6057</v>
      </c>
      <c r="H72" s="47">
        <v>0.60879030000000001</v>
      </c>
      <c r="I72" s="48">
        <v>513310900</v>
      </c>
      <c r="J72" s="47">
        <v>8.6231530000000001E-2</v>
      </c>
      <c r="K72" s="48">
        <v>22646000</v>
      </c>
      <c r="L72" s="47">
        <v>8.5966070000000006E-2</v>
      </c>
      <c r="M72" s="49">
        <v>4.411752E-2</v>
      </c>
      <c r="N72" s="49">
        <v>3.017891E-2</v>
      </c>
      <c r="O72" s="45">
        <v>12</v>
      </c>
      <c r="P72" s="45">
        <v>-43</v>
      </c>
      <c r="Q72" s="45">
        <v>17</v>
      </c>
      <c r="R72" s="48">
        <v>6.3000000000000002E-9</v>
      </c>
      <c r="S72" s="48">
        <f t="shared" si="0"/>
        <v>843165372.3786335</v>
      </c>
    </row>
    <row r="73" spans="1:19" x14ac:dyDescent="0.35">
      <c r="A73" s="16" t="s">
        <v>430</v>
      </c>
      <c r="B73" s="44">
        <v>44853</v>
      </c>
      <c r="C73" s="45">
        <v>20</v>
      </c>
      <c r="D73" s="46">
        <v>44853.540972222225</v>
      </c>
      <c r="E73" s="47">
        <v>21.833333333430346</v>
      </c>
      <c r="F73" s="45">
        <v>4843</v>
      </c>
      <c r="G73" s="45">
        <v>5995</v>
      </c>
      <c r="H73" s="47">
        <v>0.61085480000000003</v>
      </c>
      <c r="I73" s="48">
        <v>516527300</v>
      </c>
      <c r="J73" s="47">
        <v>8.1415989999999994E-2</v>
      </c>
      <c r="K73" s="48">
        <v>22781600</v>
      </c>
      <c r="L73" s="47">
        <v>8.2100660000000006E-2</v>
      </c>
      <c r="M73" s="49">
        <v>4.4105310000000002E-2</v>
      </c>
      <c r="N73" s="49">
        <v>3.1556969999999997E-2</v>
      </c>
      <c r="O73" s="45">
        <v>12</v>
      </c>
      <c r="P73" s="45">
        <v>-40</v>
      </c>
      <c r="Q73" s="45">
        <v>16</v>
      </c>
      <c r="R73" s="48">
        <v>6.4000000000000002E-9</v>
      </c>
      <c r="S73" s="48">
        <f t="shared" si="0"/>
        <v>845581143.01467383</v>
      </c>
    </row>
    <row r="74" spans="1:19" x14ac:dyDescent="0.35">
      <c r="A74" s="16" t="s">
        <v>431</v>
      </c>
      <c r="B74" s="44">
        <v>44853</v>
      </c>
      <c r="C74" s="45">
        <v>20</v>
      </c>
      <c r="D74" s="46">
        <v>44853.543749999997</v>
      </c>
      <c r="E74" s="47">
        <v>21.899999999965075</v>
      </c>
      <c r="F74" s="45">
        <v>5014</v>
      </c>
      <c r="G74" s="45">
        <v>5898</v>
      </c>
      <c r="H74" s="47">
        <v>0.62541599999999997</v>
      </c>
      <c r="I74" s="48">
        <v>511391500</v>
      </c>
      <c r="J74" s="47">
        <v>0.1151084</v>
      </c>
      <c r="K74" s="48">
        <v>22545980</v>
      </c>
      <c r="L74" s="47">
        <v>0.1147387</v>
      </c>
      <c r="M74" s="49">
        <v>4.4087519999999998E-2</v>
      </c>
      <c r="N74" s="49">
        <v>2.4663629999999999E-2</v>
      </c>
      <c r="O74" s="45">
        <v>16</v>
      </c>
      <c r="P74" s="45">
        <v>-36</v>
      </c>
      <c r="Q74" s="45">
        <v>15</v>
      </c>
      <c r="R74" s="48">
        <v>6.3000000000000002E-9</v>
      </c>
      <c r="S74" s="48">
        <f t="shared" si="0"/>
        <v>817682150.76045382</v>
      </c>
    </row>
    <row r="75" spans="1:19" x14ac:dyDescent="0.35">
      <c r="A75" s="16" t="s">
        <v>432</v>
      </c>
      <c r="B75" s="44">
        <v>44853</v>
      </c>
      <c r="C75" s="45">
        <v>20</v>
      </c>
      <c r="D75" s="46">
        <v>44853.546527777777</v>
      </c>
      <c r="E75" s="47">
        <v>21.966666666674428</v>
      </c>
      <c r="F75" s="45">
        <v>5064</v>
      </c>
      <c r="G75" s="45">
        <v>5928</v>
      </c>
      <c r="H75" s="47">
        <v>0.63702629999999993</v>
      </c>
      <c r="I75" s="48">
        <v>507390100</v>
      </c>
      <c r="J75" s="47">
        <v>6.9056080000000006E-2</v>
      </c>
      <c r="K75" s="48">
        <v>22365360</v>
      </c>
      <c r="L75" s="47">
        <v>6.8575159999999996E-2</v>
      </c>
      <c r="M75" s="49">
        <v>4.4079229999999997E-2</v>
      </c>
      <c r="N75" s="49">
        <v>2.4352559999999999E-2</v>
      </c>
      <c r="O75" s="45">
        <v>16</v>
      </c>
      <c r="P75" s="45">
        <v>-38</v>
      </c>
      <c r="Q75" s="45">
        <v>13</v>
      </c>
      <c r="R75" s="48">
        <v>6.4000000000000002E-9</v>
      </c>
      <c r="S75" s="48">
        <f t="shared" si="0"/>
        <v>796497883.99631238</v>
      </c>
    </row>
    <row r="76" spans="1:19" x14ac:dyDescent="0.35">
      <c r="A76" s="16" t="s">
        <v>433</v>
      </c>
      <c r="B76" s="44">
        <v>44853</v>
      </c>
      <c r="C76" s="45">
        <v>20</v>
      </c>
      <c r="D76" s="46">
        <v>44853.549305555556</v>
      </c>
      <c r="E76" s="47">
        <v>22.03333333338378</v>
      </c>
      <c r="F76" s="45">
        <v>5247</v>
      </c>
      <c r="G76" s="45">
        <v>6002</v>
      </c>
      <c r="H76" s="47">
        <v>0.60870029999999997</v>
      </c>
      <c r="I76" s="48">
        <v>511864800</v>
      </c>
      <c r="J76" s="47">
        <v>0.10223740000000001</v>
      </c>
      <c r="K76" s="48">
        <v>22568700</v>
      </c>
      <c r="L76" s="47">
        <v>0.1035904</v>
      </c>
      <c r="M76" s="49">
        <v>4.4091119999999998E-2</v>
      </c>
      <c r="N76" s="49">
        <v>2.6006599999999998E-2</v>
      </c>
      <c r="O76" s="45">
        <v>21</v>
      </c>
      <c r="P76" s="45">
        <v>-43</v>
      </c>
      <c r="Q76" s="45">
        <v>18</v>
      </c>
      <c r="R76" s="48">
        <v>6.4000000000000002E-9</v>
      </c>
      <c r="S76" s="48">
        <f t="shared" ref="S76:S139" si="1">I76/H76</f>
        <v>840914321.8756423</v>
      </c>
    </row>
    <row r="77" spans="1:19" x14ac:dyDescent="0.35">
      <c r="A77" s="16" t="s">
        <v>434</v>
      </c>
      <c r="B77" s="44">
        <v>44853</v>
      </c>
      <c r="C77" s="45">
        <v>20</v>
      </c>
      <c r="D77" s="46">
        <v>44853.552083333336</v>
      </c>
      <c r="E77" s="47">
        <v>22.100000000093132</v>
      </c>
      <c r="F77" s="45">
        <v>5996</v>
      </c>
      <c r="G77" s="45">
        <v>6278</v>
      </c>
      <c r="H77" s="47">
        <v>0.5913970999999999</v>
      </c>
      <c r="I77" s="48">
        <v>511919000</v>
      </c>
      <c r="J77" s="47">
        <v>8.8013759999999996E-2</v>
      </c>
      <c r="K77" s="48">
        <v>22563740</v>
      </c>
      <c r="L77" s="47">
        <v>8.8313390000000005E-2</v>
      </c>
      <c r="M77" s="49">
        <v>4.4076780000000003E-2</v>
      </c>
      <c r="N77" s="49">
        <v>2.6351340000000001E-2</v>
      </c>
      <c r="O77" s="45">
        <v>52</v>
      </c>
      <c r="P77" s="45">
        <v>-72</v>
      </c>
      <c r="Q77" s="45">
        <v>-1</v>
      </c>
      <c r="R77" s="48">
        <v>6.4000000000000002E-9</v>
      </c>
      <c r="S77" s="48">
        <f t="shared" si="1"/>
        <v>865609587.87251425</v>
      </c>
    </row>
    <row r="78" spans="1:19" x14ac:dyDescent="0.35">
      <c r="A78" s="16" t="s">
        <v>435</v>
      </c>
      <c r="B78" s="44">
        <v>44853</v>
      </c>
      <c r="C78" s="45">
        <v>20</v>
      </c>
      <c r="D78" s="46">
        <v>44853.554861111108</v>
      </c>
      <c r="E78" s="47">
        <v>22.166666666627862</v>
      </c>
      <c r="F78" s="45">
        <v>6138</v>
      </c>
      <c r="G78" s="45">
        <v>6392</v>
      </c>
      <c r="H78" s="47">
        <v>0.5992265</v>
      </c>
      <c r="I78" s="48">
        <v>511570300</v>
      </c>
      <c r="J78" s="47">
        <v>8.5437949999999999E-2</v>
      </c>
      <c r="K78" s="48">
        <v>22550730</v>
      </c>
      <c r="L78" s="47">
        <v>8.5532620000000004E-2</v>
      </c>
      <c r="M78" s="49">
        <v>4.4081389999999998E-2</v>
      </c>
      <c r="N78" s="49">
        <v>2.539624E-2</v>
      </c>
      <c r="O78" s="45">
        <v>60</v>
      </c>
      <c r="P78" s="45">
        <v>-80</v>
      </c>
      <c r="Q78" s="45">
        <v>-3</v>
      </c>
      <c r="R78" s="48">
        <v>6.4000000000000002E-9</v>
      </c>
      <c r="S78" s="48">
        <f t="shared" si="1"/>
        <v>853717751.13417053</v>
      </c>
    </row>
    <row r="79" spans="1:19" x14ac:dyDescent="0.35">
      <c r="A79" s="16" t="s">
        <v>436</v>
      </c>
      <c r="B79" s="44">
        <v>44853</v>
      </c>
      <c r="C79" s="45">
        <v>20</v>
      </c>
      <c r="D79" s="46">
        <v>44853.557638888888</v>
      </c>
      <c r="E79" s="47">
        <v>22.233333333337214</v>
      </c>
      <c r="F79" s="45">
        <v>6758</v>
      </c>
      <c r="G79" s="45">
        <v>6893</v>
      </c>
      <c r="H79" s="47">
        <v>0.57653310000000002</v>
      </c>
      <c r="I79" s="48">
        <v>512293800</v>
      </c>
      <c r="J79" s="47">
        <v>8.498493E-2</v>
      </c>
      <c r="K79" s="48">
        <v>22594090</v>
      </c>
      <c r="L79" s="47">
        <v>8.469902E-2</v>
      </c>
      <c r="M79" s="49">
        <v>4.410377E-2</v>
      </c>
      <c r="N79" s="49">
        <v>2.422858E-2</v>
      </c>
      <c r="O79" s="45">
        <v>102</v>
      </c>
      <c r="P79" s="45">
        <v>-123</v>
      </c>
      <c r="Q79" s="45">
        <v>-24</v>
      </c>
      <c r="R79" s="48">
        <v>6.4000000000000002E-9</v>
      </c>
      <c r="S79" s="48">
        <f t="shared" si="1"/>
        <v>888576562.2129935</v>
      </c>
    </row>
    <row r="80" spans="1:19" x14ac:dyDescent="0.35">
      <c r="A80" s="16" t="s">
        <v>438</v>
      </c>
      <c r="B80" s="44">
        <v>44853</v>
      </c>
      <c r="C80" s="45">
        <v>20</v>
      </c>
      <c r="D80" s="46">
        <v>44853.572916666664</v>
      </c>
      <c r="E80" s="47">
        <v>22.599999999976717</v>
      </c>
      <c r="F80" s="45">
        <v>-5668</v>
      </c>
      <c r="G80" s="45">
        <v>1586</v>
      </c>
      <c r="H80" s="47">
        <v>0.58520739999999993</v>
      </c>
      <c r="I80" s="48">
        <v>501513800</v>
      </c>
      <c r="J80" s="47">
        <v>0.1112013</v>
      </c>
      <c r="K80" s="48">
        <v>22160310</v>
      </c>
      <c r="L80" s="47">
        <v>0.1114932</v>
      </c>
      <c r="M80" s="49">
        <v>4.4186830000000003E-2</v>
      </c>
      <c r="N80" s="49">
        <v>2.661351E-2</v>
      </c>
      <c r="O80" s="45">
        <v>-8</v>
      </c>
      <c r="P80" s="45">
        <v>-22</v>
      </c>
      <c r="Q80" s="45">
        <v>31</v>
      </c>
      <c r="R80" s="48">
        <v>6.2000000000000001E-9</v>
      </c>
      <c r="S80" s="48">
        <f t="shared" si="1"/>
        <v>856984720.28890967</v>
      </c>
    </row>
    <row r="81" spans="1:19" x14ac:dyDescent="0.35">
      <c r="A81" s="16" t="s">
        <v>439</v>
      </c>
      <c r="B81" s="44">
        <v>44853</v>
      </c>
      <c r="C81" s="45">
        <v>20</v>
      </c>
      <c r="D81" s="46">
        <v>44853.575694444444</v>
      </c>
      <c r="E81" s="47">
        <v>22.666666666686069</v>
      </c>
      <c r="F81" s="45">
        <v>-5578</v>
      </c>
      <c r="G81" s="45">
        <v>1628</v>
      </c>
      <c r="H81" s="47">
        <v>0.59125780000000006</v>
      </c>
      <c r="I81" s="48">
        <v>485661400</v>
      </c>
      <c r="J81" s="47">
        <v>0.14658180000000001</v>
      </c>
      <c r="K81" s="48">
        <v>21466270</v>
      </c>
      <c r="L81" s="47">
        <v>0.1449782</v>
      </c>
      <c r="M81" s="49">
        <v>4.4200099999999999E-2</v>
      </c>
      <c r="N81" s="49">
        <v>2.8973760000000001E-2</v>
      </c>
      <c r="O81" s="45">
        <v>-9</v>
      </c>
      <c r="P81" s="45">
        <v>-20</v>
      </c>
      <c r="Q81" s="45">
        <v>31</v>
      </c>
      <c r="R81" s="48">
        <v>6.1E-9</v>
      </c>
      <c r="S81" s="48">
        <f t="shared" si="1"/>
        <v>821403793.74276328</v>
      </c>
    </row>
    <row r="82" spans="1:19" x14ac:dyDescent="0.35">
      <c r="A82" s="16" t="s">
        <v>440</v>
      </c>
      <c r="B82" s="44">
        <v>44853</v>
      </c>
      <c r="C82" s="45">
        <v>20</v>
      </c>
      <c r="D82" s="46">
        <v>44853.578472222223</v>
      </c>
      <c r="E82" s="47">
        <v>22.733333333395422</v>
      </c>
      <c r="F82" s="45">
        <v>-5558</v>
      </c>
      <c r="G82" s="45">
        <v>1454</v>
      </c>
      <c r="H82" s="47">
        <v>0.58833590000000002</v>
      </c>
      <c r="I82" s="48">
        <v>508991300</v>
      </c>
      <c r="J82" s="47">
        <v>0.1290673</v>
      </c>
      <c r="K82" s="48">
        <v>22516850</v>
      </c>
      <c r="L82" s="47">
        <v>0.1301554</v>
      </c>
      <c r="M82" s="49">
        <v>4.4238159999999999E-2</v>
      </c>
      <c r="N82" s="49">
        <v>2.9154099999999999E-2</v>
      </c>
      <c r="O82" s="45">
        <v>-6</v>
      </c>
      <c r="P82" s="45">
        <v>-22</v>
      </c>
      <c r="Q82" s="45">
        <v>26</v>
      </c>
      <c r="R82" s="48">
        <v>6.1E-9</v>
      </c>
      <c r="S82" s="48">
        <f t="shared" si="1"/>
        <v>865137245.57688892</v>
      </c>
    </row>
    <row r="83" spans="1:19" x14ac:dyDescent="0.35">
      <c r="A83" s="16" t="s">
        <v>441</v>
      </c>
      <c r="B83" s="44">
        <v>44853</v>
      </c>
      <c r="C83" s="45">
        <v>20</v>
      </c>
      <c r="D83" s="46">
        <v>44853.581944444442</v>
      </c>
      <c r="E83" s="47">
        <v>22.816666666651145</v>
      </c>
      <c r="F83" s="45">
        <v>-6122</v>
      </c>
      <c r="G83" s="45">
        <v>1207</v>
      </c>
      <c r="H83" s="47">
        <v>0.56799260000000007</v>
      </c>
      <c r="I83" s="48">
        <v>501830000</v>
      </c>
      <c r="J83" s="47">
        <v>0.1286986</v>
      </c>
      <c r="K83" s="48">
        <v>22178370</v>
      </c>
      <c r="L83" s="47">
        <v>0.12933749999999999</v>
      </c>
      <c r="M83" s="49">
        <v>4.4194990000000003E-2</v>
      </c>
      <c r="N83" s="49">
        <v>2.9378140000000001E-2</v>
      </c>
      <c r="O83" s="45">
        <v>-5</v>
      </c>
      <c r="P83" s="45">
        <v>-18</v>
      </c>
      <c r="Q83" s="45">
        <v>31</v>
      </c>
      <c r="R83" s="48">
        <v>6.1E-9</v>
      </c>
      <c r="S83" s="48">
        <f t="shared" si="1"/>
        <v>883515031.70992005</v>
      </c>
    </row>
    <row r="84" spans="1:19" x14ac:dyDescent="0.35">
      <c r="A84" s="16" t="s">
        <v>442</v>
      </c>
      <c r="B84" s="44">
        <v>44853</v>
      </c>
      <c r="C84" s="45">
        <v>20</v>
      </c>
      <c r="D84" s="46">
        <v>44853.584722222222</v>
      </c>
      <c r="E84" s="47">
        <v>22.883333333360497</v>
      </c>
      <c r="F84" s="45">
        <v>-6473</v>
      </c>
      <c r="G84" s="45">
        <v>716</v>
      </c>
      <c r="H84" s="47">
        <v>0.58821069999999998</v>
      </c>
      <c r="I84" s="48">
        <v>507054900</v>
      </c>
      <c r="J84" s="47">
        <v>0.12857499999999999</v>
      </c>
      <c r="K84" s="48">
        <v>22414560</v>
      </c>
      <c r="L84" s="47">
        <v>0.1292528</v>
      </c>
      <c r="M84" s="49">
        <v>4.4205389999999997E-2</v>
      </c>
      <c r="N84" s="49">
        <v>2.7378550000000001E-2</v>
      </c>
      <c r="O84" s="45">
        <v>-3</v>
      </c>
      <c r="P84" s="45">
        <v>-15</v>
      </c>
      <c r="Q84" s="45">
        <v>29</v>
      </c>
      <c r="R84" s="48">
        <v>6.1E-9</v>
      </c>
      <c r="S84" s="48">
        <f t="shared" si="1"/>
        <v>862029371.44802022</v>
      </c>
    </row>
    <row r="85" spans="1:19" x14ac:dyDescent="0.35">
      <c r="A85" s="16" t="s">
        <v>443</v>
      </c>
      <c r="B85" s="44">
        <v>44853</v>
      </c>
      <c r="C85" s="45">
        <v>20</v>
      </c>
      <c r="D85" s="46">
        <v>44853.587500000001</v>
      </c>
      <c r="E85" s="47">
        <v>22.950000000069849</v>
      </c>
      <c r="F85" s="45">
        <v>-6421</v>
      </c>
      <c r="G85" s="45">
        <v>672</v>
      </c>
      <c r="H85" s="47">
        <v>0.59977720000000001</v>
      </c>
      <c r="I85" s="48">
        <v>506234100</v>
      </c>
      <c r="J85" s="47">
        <v>0.12777069999999999</v>
      </c>
      <c r="K85" s="48">
        <v>22393190</v>
      </c>
      <c r="L85" s="47">
        <v>0.1298223</v>
      </c>
      <c r="M85" s="49">
        <v>4.4234839999999997E-2</v>
      </c>
      <c r="N85" s="49">
        <v>3.1814200000000001E-2</v>
      </c>
      <c r="O85" s="45">
        <v>-4</v>
      </c>
      <c r="P85" s="45">
        <v>-17</v>
      </c>
      <c r="Q85" s="45">
        <v>31</v>
      </c>
      <c r="R85" s="48">
        <v>6E-9</v>
      </c>
      <c r="S85" s="48">
        <f t="shared" si="1"/>
        <v>844036919.04260445</v>
      </c>
    </row>
    <row r="86" spans="1:19" x14ac:dyDescent="0.35">
      <c r="A86" s="16" t="s">
        <v>444</v>
      </c>
      <c r="B86" s="44">
        <v>44853</v>
      </c>
      <c r="C86" s="45">
        <v>20</v>
      </c>
      <c r="D86" s="46">
        <v>44853.590277777781</v>
      </c>
      <c r="E86" s="47">
        <v>23.016666666779201</v>
      </c>
      <c r="F86" s="45">
        <v>-5879</v>
      </c>
      <c r="G86" s="45">
        <v>1234</v>
      </c>
      <c r="H86" s="47">
        <v>0.5972558</v>
      </c>
      <c r="I86" s="48">
        <v>495546200</v>
      </c>
      <c r="J86" s="47">
        <v>0.13483220000000001</v>
      </c>
      <c r="K86" s="48">
        <v>21890270</v>
      </c>
      <c r="L86" s="47">
        <v>0.13467509999999999</v>
      </c>
      <c r="M86" s="49">
        <v>4.4174030000000003E-2</v>
      </c>
      <c r="N86" s="49">
        <v>2.4616680000000002E-2</v>
      </c>
      <c r="O86" s="45">
        <v>-6</v>
      </c>
      <c r="P86" s="45">
        <v>-17</v>
      </c>
      <c r="Q86" s="45">
        <v>43</v>
      </c>
      <c r="R86" s="48">
        <v>6.1E-9</v>
      </c>
      <c r="S86" s="48">
        <f t="shared" si="1"/>
        <v>829705128.02052319</v>
      </c>
    </row>
    <row r="87" spans="1:19" x14ac:dyDescent="0.35">
      <c r="A87" s="72" t="s">
        <v>897</v>
      </c>
      <c r="B87" s="73">
        <v>44853</v>
      </c>
      <c r="C87" s="74">
        <v>20</v>
      </c>
      <c r="D87" s="75">
        <v>44853.615972222222</v>
      </c>
      <c r="E87" s="76">
        <v>23.633333333360497</v>
      </c>
      <c r="F87" s="77">
        <v>2781</v>
      </c>
      <c r="G87" s="77">
        <v>-2962</v>
      </c>
      <c r="H87" s="78">
        <v>0.6304189</v>
      </c>
      <c r="I87" s="79">
        <v>550574000</v>
      </c>
      <c r="J87" s="76">
        <v>9.3406359999999994E-2</v>
      </c>
      <c r="K87" s="79">
        <v>24790060</v>
      </c>
      <c r="L87" s="76">
        <v>9.4713930000000002E-2</v>
      </c>
      <c r="M87" s="80">
        <v>4.5025839999999998E-2</v>
      </c>
      <c r="N87" s="80">
        <v>3.030327E-2</v>
      </c>
      <c r="O87" s="74">
        <v>1</v>
      </c>
      <c r="P87" s="74">
        <v>-3</v>
      </c>
      <c r="Q87" s="74">
        <v>17</v>
      </c>
      <c r="R87" s="79">
        <v>6.8999999999999997E-9</v>
      </c>
      <c r="S87" s="79">
        <f t="shared" si="1"/>
        <v>873346278.16520095</v>
      </c>
    </row>
    <row r="88" spans="1:19" x14ac:dyDescent="0.35">
      <c r="A88" s="72" t="s">
        <v>898</v>
      </c>
      <c r="B88" s="73">
        <v>44853</v>
      </c>
      <c r="C88" s="74">
        <v>20</v>
      </c>
      <c r="D88" s="75">
        <v>44853.618750000001</v>
      </c>
      <c r="E88" s="76">
        <v>23.700000000069849</v>
      </c>
      <c r="F88" s="77">
        <v>2731</v>
      </c>
      <c r="G88" s="77">
        <v>-2962</v>
      </c>
      <c r="H88" s="78">
        <v>0.63397139999999996</v>
      </c>
      <c r="I88" s="79">
        <v>549711900</v>
      </c>
      <c r="J88" s="76">
        <v>9.684218E-2</v>
      </c>
      <c r="K88" s="79">
        <v>24751330</v>
      </c>
      <c r="L88" s="76">
        <v>9.7490149999999998E-2</v>
      </c>
      <c r="M88" s="80">
        <v>4.5025999999999997E-2</v>
      </c>
      <c r="N88" s="80">
        <v>2.3156959999999997E-2</v>
      </c>
      <c r="O88" s="74">
        <v>0</v>
      </c>
      <c r="P88" s="74">
        <v>-3</v>
      </c>
      <c r="Q88" s="74">
        <v>18</v>
      </c>
      <c r="R88" s="79">
        <v>6.8999999999999997E-9</v>
      </c>
      <c r="S88" s="79">
        <f t="shared" si="1"/>
        <v>867092584.93364215</v>
      </c>
    </row>
    <row r="89" spans="1:19" x14ac:dyDescent="0.35">
      <c r="A89" s="72" t="s">
        <v>899</v>
      </c>
      <c r="B89" s="73">
        <v>44853</v>
      </c>
      <c r="C89" s="74">
        <v>20</v>
      </c>
      <c r="D89" s="75">
        <v>44853.621527777781</v>
      </c>
      <c r="E89" s="76">
        <v>23.766666666779201</v>
      </c>
      <c r="F89" s="77">
        <v>2681</v>
      </c>
      <c r="G89" s="77">
        <v>-2962</v>
      </c>
      <c r="H89" s="78">
        <v>0.63289099999999998</v>
      </c>
      <c r="I89" s="79">
        <v>550135700</v>
      </c>
      <c r="J89" s="76">
        <v>8.7246679999999993E-2</v>
      </c>
      <c r="K89" s="79">
        <v>24770650</v>
      </c>
      <c r="L89" s="76">
        <v>8.7501109999999993E-2</v>
      </c>
      <c r="M89" s="80">
        <v>4.5026429999999999E-2</v>
      </c>
      <c r="N89" s="80">
        <v>2.314774E-2</v>
      </c>
      <c r="O89" s="74">
        <v>1</v>
      </c>
      <c r="P89" s="74">
        <v>-3</v>
      </c>
      <c r="Q89" s="74">
        <v>17</v>
      </c>
      <c r="R89" s="79">
        <v>6.8999999999999997E-9</v>
      </c>
      <c r="S89" s="79">
        <f t="shared" si="1"/>
        <v>869242412.99054658</v>
      </c>
    </row>
    <row r="90" spans="1:19" x14ac:dyDescent="0.35">
      <c r="A90" s="16" t="s">
        <v>445</v>
      </c>
      <c r="B90" s="44">
        <v>44853</v>
      </c>
      <c r="C90" s="45">
        <v>20</v>
      </c>
      <c r="D90" s="46">
        <v>44853.642361111109</v>
      </c>
      <c r="E90" s="47">
        <v>24.266666666662786</v>
      </c>
      <c r="F90" s="45">
        <v>929</v>
      </c>
      <c r="G90" s="45">
        <v>3724</v>
      </c>
      <c r="H90" s="47">
        <v>0.59989460000000006</v>
      </c>
      <c r="I90" s="48">
        <v>520875900</v>
      </c>
      <c r="J90" s="47">
        <v>9.4112039999999994E-2</v>
      </c>
      <c r="K90" s="48">
        <v>23044270</v>
      </c>
      <c r="L90" s="47">
        <v>9.3191850000000007E-2</v>
      </c>
      <c r="M90" s="49">
        <v>4.4241379999999997E-2</v>
      </c>
      <c r="N90" s="49">
        <v>2.3992240000000001E-2</v>
      </c>
      <c r="O90" s="45">
        <v>6</v>
      </c>
      <c r="P90" s="45">
        <v>-15</v>
      </c>
      <c r="Q90" s="45">
        <v>2</v>
      </c>
      <c r="R90" s="48">
        <v>5.6999999999999998E-9</v>
      </c>
      <c r="S90" s="48">
        <f t="shared" si="1"/>
        <v>868279027.68252945</v>
      </c>
    </row>
    <row r="91" spans="1:19" x14ac:dyDescent="0.35">
      <c r="A91" s="16" t="s">
        <v>446</v>
      </c>
      <c r="B91" s="44">
        <v>44853</v>
      </c>
      <c r="C91" s="45">
        <v>20</v>
      </c>
      <c r="D91" s="46">
        <v>44853.645138888889</v>
      </c>
      <c r="E91" s="47">
        <v>24.333333333372138</v>
      </c>
      <c r="F91" s="45">
        <v>1113</v>
      </c>
      <c r="G91" s="45">
        <v>3712</v>
      </c>
      <c r="H91" s="47">
        <v>0.59885559999999993</v>
      </c>
      <c r="I91" s="48">
        <v>544680700</v>
      </c>
      <c r="J91" s="47">
        <v>0.1166454</v>
      </c>
      <c r="K91" s="48">
        <v>24139780</v>
      </c>
      <c r="L91" s="47">
        <v>0.1172908</v>
      </c>
      <c r="M91" s="49">
        <v>4.4319129999999998E-2</v>
      </c>
      <c r="N91" s="49">
        <v>2.3440860000000001E-2</v>
      </c>
      <c r="O91" s="45">
        <v>6</v>
      </c>
      <c r="P91" s="45">
        <v>-16</v>
      </c>
      <c r="Q91" s="45">
        <v>-2</v>
      </c>
      <c r="R91" s="48">
        <v>5.5999999999999997E-9</v>
      </c>
      <c r="S91" s="48">
        <f t="shared" si="1"/>
        <v>909535954.91133428</v>
      </c>
    </row>
    <row r="92" spans="1:19" x14ac:dyDescent="0.35">
      <c r="A92" s="16" t="s">
        <v>900</v>
      </c>
      <c r="B92" s="44">
        <v>44853</v>
      </c>
      <c r="C92" s="45">
        <v>20</v>
      </c>
      <c r="D92" s="46">
        <v>44853.647916666669</v>
      </c>
      <c r="E92" s="47">
        <v>24.400000000081491</v>
      </c>
      <c r="F92" s="45">
        <v>942</v>
      </c>
      <c r="G92" s="45">
        <v>3486</v>
      </c>
      <c r="H92" s="47">
        <v>0.6081527000000001</v>
      </c>
      <c r="I92" s="48">
        <v>552979900</v>
      </c>
      <c r="J92" s="47">
        <v>0.12108770000000001</v>
      </c>
      <c r="K92" s="48">
        <v>24509150</v>
      </c>
      <c r="L92" s="47">
        <v>0.1212792</v>
      </c>
      <c r="M92" s="49">
        <v>4.4321949999999999E-2</v>
      </c>
      <c r="N92" s="49">
        <v>2.9267920000000003E-2</v>
      </c>
      <c r="O92" s="45">
        <v>5</v>
      </c>
      <c r="P92" s="45">
        <v>-17</v>
      </c>
      <c r="Q92" s="45">
        <v>-3</v>
      </c>
      <c r="R92" s="48">
        <v>5.5999999999999997E-9</v>
      </c>
      <c r="S92" s="48">
        <f t="shared" si="1"/>
        <v>909278048.0954864</v>
      </c>
    </row>
    <row r="93" spans="1:19" x14ac:dyDescent="0.35">
      <c r="A93" s="16" t="s">
        <v>447</v>
      </c>
      <c r="B93" s="44">
        <v>44853</v>
      </c>
      <c r="C93" s="45">
        <v>20</v>
      </c>
      <c r="D93" s="46">
        <v>44853.650694444441</v>
      </c>
      <c r="E93" s="47">
        <v>24.46666666661622</v>
      </c>
      <c r="F93" s="45">
        <v>593</v>
      </c>
      <c r="G93" s="45">
        <v>3837</v>
      </c>
      <c r="H93" s="47">
        <v>0.63351999999999997</v>
      </c>
      <c r="I93" s="48">
        <v>549764100</v>
      </c>
      <c r="J93" s="47">
        <v>0.1199757</v>
      </c>
      <c r="K93" s="48">
        <v>24362230</v>
      </c>
      <c r="L93" s="47">
        <v>0.1204838</v>
      </c>
      <c r="M93" s="49">
        <v>4.4313970000000001E-2</v>
      </c>
      <c r="N93" s="49">
        <v>2.6877970000000001E-2</v>
      </c>
      <c r="O93" s="45">
        <v>4</v>
      </c>
      <c r="P93" s="45">
        <v>-19</v>
      </c>
      <c r="Q93" s="45">
        <v>-4</v>
      </c>
      <c r="R93" s="48">
        <v>5.4999999999999996E-9</v>
      </c>
      <c r="S93" s="48">
        <f t="shared" si="1"/>
        <v>867792808.43540859</v>
      </c>
    </row>
    <row r="94" spans="1:19" x14ac:dyDescent="0.35">
      <c r="A94" s="16" t="s">
        <v>448</v>
      </c>
      <c r="B94" s="44">
        <v>44853</v>
      </c>
      <c r="C94" s="45">
        <v>20</v>
      </c>
      <c r="D94" s="46">
        <v>44853.65347222222</v>
      </c>
      <c r="E94" s="47">
        <v>24.533333333325572</v>
      </c>
      <c r="F94" s="45">
        <v>268</v>
      </c>
      <c r="G94" s="45">
        <v>3668</v>
      </c>
      <c r="H94" s="47">
        <v>0.64284750000000002</v>
      </c>
      <c r="I94" s="48">
        <v>547936600</v>
      </c>
      <c r="J94" s="47">
        <v>0.11721959999999999</v>
      </c>
      <c r="K94" s="48">
        <v>24253330</v>
      </c>
      <c r="L94" s="47">
        <v>0.11827799999999999</v>
      </c>
      <c r="M94" s="49">
        <v>4.4263009999999998E-2</v>
      </c>
      <c r="N94" s="49">
        <v>2.3553649999999999E-2</v>
      </c>
      <c r="O94" s="45">
        <v>2</v>
      </c>
      <c r="P94" s="45">
        <v>-18</v>
      </c>
      <c r="Q94" s="45">
        <v>7</v>
      </c>
      <c r="R94" s="48">
        <v>5.4999999999999996E-9</v>
      </c>
      <c r="S94" s="48">
        <f t="shared" si="1"/>
        <v>852358607.60133624</v>
      </c>
    </row>
    <row r="95" spans="1:19" x14ac:dyDescent="0.35">
      <c r="A95" s="16" t="s">
        <v>449</v>
      </c>
      <c r="B95" s="44">
        <v>44853</v>
      </c>
      <c r="C95" s="45">
        <v>20</v>
      </c>
      <c r="D95" s="46">
        <v>44853.65625</v>
      </c>
      <c r="E95" s="47">
        <v>24.600000000034925</v>
      </c>
      <c r="F95" s="45">
        <v>16</v>
      </c>
      <c r="G95" s="45">
        <v>3547</v>
      </c>
      <c r="H95" s="47">
        <v>0.64004059999999996</v>
      </c>
      <c r="I95" s="48">
        <v>547549200</v>
      </c>
      <c r="J95" s="47">
        <v>0.11519219999999999</v>
      </c>
      <c r="K95" s="48">
        <v>24246690</v>
      </c>
      <c r="L95" s="47">
        <v>0.1154679</v>
      </c>
      <c r="M95" s="49">
        <v>4.4282200000000001E-2</v>
      </c>
      <c r="N95" s="49">
        <v>2.7078710000000002E-2</v>
      </c>
      <c r="O95" s="45">
        <v>1</v>
      </c>
      <c r="P95" s="45">
        <v>-18</v>
      </c>
      <c r="Q95" s="45">
        <v>9</v>
      </c>
      <c r="R95" s="48">
        <v>5.4999999999999996E-9</v>
      </c>
      <c r="S95" s="48">
        <f t="shared" si="1"/>
        <v>855491354.76718199</v>
      </c>
    </row>
    <row r="96" spans="1:19" x14ac:dyDescent="0.35">
      <c r="A96" s="16" t="s">
        <v>450</v>
      </c>
      <c r="B96" s="44">
        <v>44853</v>
      </c>
      <c r="C96" s="45">
        <v>20</v>
      </c>
      <c r="D96" s="46">
        <v>44853.65902777778</v>
      </c>
      <c r="E96" s="47">
        <v>24.666666666744277</v>
      </c>
      <c r="F96" s="45">
        <v>-546</v>
      </c>
      <c r="G96" s="45">
        <v>3558</v>
      </c>
      <c r="H96" s="47">
        <v>0.65261939999999996</v>
      </c>
      <c r="I96" s="48">
        <v>555142500</v>
      </c>
      <c r="J96" s="47">
        <v>0.11801440000000001</v>
      </c>
      <c r="K96" s="48">
        <v>24590850</v>
      </c>
      <c r="L96" s="47">
        <v>0.1190848</v>
      </c>
      <c r="M96" s="49">
        <v>4.4296450000000001E-2</v>
      </c>
      <c r="N96" s="49">
        <v>2.8689980000000004E-2</v>
      </c>
      <c r="O96" s="45">
        <v>0</v>
      </c>
      <c r="P96" s="45">
        <v>-18</v>
      </c>
      <c r="Q96" s="45">
        <v>0</v>
      </c>
      <c r="R96" s="48">
        <v>5.4000000000000004E-9</v>
      </c>
      <c r="S96" s="48">
        <f t="shared" si="1"/>
        <v>850637446.57299495</v>
      </c>
    </row>
    <row r="97" spans="1:19" x14ac:dyDescent="0.35">
      <c r="A97" s="16" t="s">
        <v>451</v>
      </c>
      <c r="B97" s="44">
        <v>44853</v>
      </c>
      <c r="C97" s="45">
        <v>20</v>
      </c>
      <c r="D97" s="46">
        <v>44853.661805555559</v>
      </c>
      <c r="E97" s="47">
        <v>24.733333333453629</v>
      </c>
      <c r="F97" s="45">
        <v>-953</v>
      </c>
      <c r="G97" s="45">
        <v>3018</v>
      </c>
      <c r="H97" s="47">
        <v>0.65011050000000004</v>
      </c>
      <c r="I97" s="48">
        <v>551894600</v>
      </c>
      <c r="J97" s="47">
        <v>6.7339979999999994E-2</v>
      </c>
      <c r="K97" s="48">
        <v>24452990</v>
      </c>
      <c r="L97" s="47">
        <v>6.6483730000000005E-2</v>
      </c>
      <c r="M97" s="49">
        <v>4.4307359999999997E-2</v>
      </c>
      <c r="N97" s="49">
        <v>2.6362740000000003E-2</v>
      </c>
      <c r="O97" s="45">
        <v>0</v>
      </c>
      <c r="P97" s="45">
        <v>-16</v>
      </c>
      <c r="Q97" s="45">
        <v>2</v>
      </c>
      <c r="R97" s="48">
        <v>5.4000000000000004E-9</v>
      </c>
      <c r="S97" s="48">
        <f t="shared" si="1"/>
        <v>848924298.25391221</v>
      </c>
    </row>
    <row r="98" spans="1:19" x14ac:dyDescent="0.35">
      <c r="A98" s="16" t="s">
        <v>901</v>
      </c>
      <c r="B98" s="44">
        <v>44853</v>
      </c>
      <c r="C98" s="45">
        <v>20</v>
      </c>
      <c r="D98" s="46">
        <v>44853.664583333331</v>
      </c>
      <c r="E98" s="47">
        <v>24.799999999988358</v>
      </c>
      <c r="F98" s="45">
        <v>-995</v>
      </c>
      <c r="G98" s="45">
        <v>3099</v>
      </c>
      <c r="H98" s="47">
        <v>0.63984659999999993</v>
      </c>
      <c r="I98" s="48">
        <v>547602600</v>
      </c>
      <c r="J98" s="47">
        <v>0.114606</v>
      </c>
      <c r="K98" s="48">
        <v>24267110</v>
      </c>
      <c r="L98" s="47">
        <v>0.114213</v>
      </c>
      <c r="M98" s="49">
        <v>4.4315180000000003E-2</v>
      </c>
      <c r="N98" s="49">
        <v>2.337881E-2</v>
      </c>
      <c r="O98" s="45">
        <v>0</v>
      </c>
      <c r="P98" s="45">
        <v>-16</v>
      </c>
      <c r="Q98" s="45">
        <v>4</v>
      </c>
      <c r="R98" s="48">
        <v>5.3000000000000003E-9</v>
      </c>
      <c r="S98" s="48">
        <f t="shared" si="1"/>
        <v>855834195.25867617</v>
      </c>
    </row>
    <row r="99" spans="1:19" x14ac:dyDescent="0.35">
      <c r="A99" s="72" t="s">
        <v>902</v>
      </c>
      <c r="B99" s="73">
        <v>44853</v>
      </c>
      <c r="C99" s="74">
        <v>20</v>
      </c>
      <c r="D99" s="75">
        <v>44853.673611111109</v>
      </c>
      <c r="E99" s="76">
        <v>25.016666666662786</v>
      </c>
      <c r="F99" s="77">
        <v>2263</v>
      </c>
      <c r="G99" s="77">
        <v>-3168</v>
      </c>
      <c r="H99" s="78">
        <v>0.64064920000000003</v>
      </c>
      <c r="I99" s="79">
        <v>546665700</v>
      </c>
      <c r="J99" s="76">
        <v>9.401371E-2</v>
      </c>
      <c r="K99" s="79">
        <v>24612960</v>
      </c>
      <c r="L99" s="76">
        <v>9.3717040000000001E-2</v>
      </c>
      <c r="M99" s="80">
        <v>4.5023800000000003E-2</v>
      </c>
      <c r="N99" s="80">
        <v>2.3221969999999998E-2</v>
      </c>
      <c r="O99" s="74">
        <v>7</v>
      </c>
      <c r="P99" s="74">
        <v>-6</v>
      </c>
      <c r="Q99" s="74">
        <v>15</v>
      </c>
      <c r="R99" s="79">
        <v>6.2000000000000001E-9</v>
      </c>
      <c r="S99" s="79">
        <f t="shared" si="1"/>
        <v>853299590.47790897</v>
      </c>
    </row>
    <row r="100" spans="1:19" x14ac:dyDescent="0.35">
      <c r="A100" s="72" t="s">
        <v>903</v>
      </c>
      <c r="B100" s="73">
        <v>44853</v>
      </c>
      <c r="C100" s="74">
        <v>20</v>
      </c>
      <c r="D100" s="75">
        <v>44853.676388888889</v>
      </c>
      <c r="E100" s="76">
        <v>25.083333333372138</v>
      </c>
      <c r="F100" s="77">
        <v>2213</v>
      </c>
      <c r="G100" s="77">
        <v>-3168</v>
      </c>
      <c r="H100" s="78">
        <v>0.64986169999999999</v>
      </c>
      <c r="I100" s="79">
        <v>547305600</v>
      </c>
      <c r="J100" s="76">
        <v>0.10274709999999999</v>
      </c>
      <c r="K100" s="79">
        <v>24643700</v>
      </c>
      <c r="L100" s="76">
        <v>0.10406219999999999</v>
      </c>
      <c r="M100" s="80">
        <v>4.5027299999999999E-2</v>
      </c>
      <c r="N100" s="80">
        <v>3.1531860000000002E-2</v>
      </c>
      <c r="O100" s="74">
        <v>7</v>
      </c>
      <c r="P100" s="74">
        <v>-5</v>
      </c>
      <c r="Q100" s="74">
        <v>16</v>
      </c>
      <c r="R100" s="79">
        <v>6.4000000000000002E-9</v>
      </c>
      <c r="S100" s="79">
        <f t="shared" si="1"/>
        <v>842187807.03648174</v>
      </c>
    </row>
    <row r="101" spans="1:19" x14ac:dyDescent="0.35">
      <c r="A101" s="72" t="s">
        <v>904</v>
      </c>
      <c r="B101" s="73">
        <v>44853</v>
      </c>
      <c r="C101" s="74">
        <v>20</v>
      </c>
      <c r="D101" s="75">
        <v>44853.679166666669</v>
      </c>
      <c r="E101" s="76">
        <v>25.150000000081491</v>
      </c>
      <c r="F101" s="77">
        <v>2163</v>
      </c>
      <c r="G101" s="77">
        <v>-3168</v>
      </c>
      <c r="H101" s="78">
        <v>0.65865890000000005</v>
      </c>
      <c r="I101" s="79">
        <v>546568000</v>
      </c>
      <c r="J101" s="76">
        <v>0.1007668</v>
      </c>
      <c r="K101" s="79">
        <v>24609480</v>
      </c>
      <c r="L101" s="76">
        <v>0.10079109999999999</v>
      </c>
      <c r="M101" s="80">
        <v>4.5025460000000003E-2</v>
      </c>
      <c r="N101" s="80">
        <v>2.322318E-2</v>
      </c>
      <c r="O101" s="74">
        <v>7</v>
      </c>
      <c r="P101" s="74">
        <v>-7</v>
      </c>
      <c r="Q101" s="74">
        <v>16</v>
      </c>
      <c r="R101" s="79">
        <v>6.4000000000000002E-9</v>
      </c>
      <c r="S101" s="79">
        <f t="shared" si="1"/>
        <v>829819501.41416132</v>
      </c>
    </row>
    <row r="102" spans="1:19" x14ac:dyDescent="0.35">
      <c r="A102" s="16" t="s">
        <v>455</v>
      </c>
      <c r="B102" s="44">
        <v>44853</v>
      </c>
      <c r="C102" s="45">
        <v>20</v>
      </c>
      <c r="D102" s="46">
        <v>44853.722222222219</v>
      </c>
      <c r="E102" s="47">
        <v>26.183333333290648</v>
      </c>
      <c r="F102" s="45">
        <v>160</v>
      </c>
      <c r="G102" s="45">
        <v>582</v>
      </c>
      <c r="H102" s="47">
        <v>0.55013780000000001</v>
      </c>
      <c r="I102" s="48">
        <v>509169300</v>
      </c>
      <c r="J102" s="47">
        <v>8.3574389999999998E-2</v>
      </c>
      <c r="K102" s="48">
        <v>22677780</v>
      </c>
      <c r="L102" s="47">
        <v>8.2632109999999995E-2</v>
      </c>
      <c r="M102" s="49">
        <v>4.4538800000000003E-2</v>
      </c>
      <c r="N102" s="49">
        <v>2.887054E-2</v>
      </c>
      <c r="O102" s="45">
        <v>-6</v>
      </c>
      <c r="P102" s="45">
        <v>9</v>
      </c>
      <c r="Q102" s="45">
        <v>19</v>
      </c>
      <c r="R102" s="48">
        <v>3.2999999999999998E-8</v>
      </c>
      <c r="S102" s="48">
        <f t="shared" si="1"/>
        <v>925530476.18251276</v>
      </c>
    </row>
    <row r="103" spans="1:19" x14ac:dyDescent="0.35">
      <c r="A103" s="16" t="s">
        <v>456</v>
      </c>
      <c r="B103" s="44">
        <v>44853</v>
      </c>
      <c r="C103" s="45">
        <v>20</v>
      </c>
      <c r="D103" s="46">
        <v>44853.738888888889</v>
      </c>
      <c r="E103" s="47">
        <v>26.583333333372138</v>
      </c>
      <c r="F103" s="45">
        <v>274</v>
      </c>
      <c r="G103" s="45">
        <v>589</v>
      </c>
      <c r="H103" s="47">
        <v>0.57007980000000003</v>
      </c>
      <c r="I103" s="48">
        <v>518204200</v>
      </c>
      <c r="J103" s="47">
        <v>4.4040790000000003E-2</v>
      </c>
      <c r="K103" s="48">
        <v>23072070</v>
      </c>
      <c r="L103" s="47">
        <v>4.4243150000000002E-2</v>
      </c>
      <c r="M103" s="49">
        <v>4.4523130000000001E-2</v>
      </c>
      <c r="N103" s="49">
        <v>2.3980910000000001E-2</v>
      </c>
      <c r="O103" s="45">
        <v>-6</v>
      </c>
      <c r="P103" s="45">
        <v>10</v>
      </c>
      <c r="Q103" s="45">
        <v>25</v>
      </c>
      <c r="R103" s="48">
        <v>2.9000000000000002E-8</v>
      </c>
      <c r="S103" s="48">
        <f t="shared" si="1"/>
        <v>909002915.03049219</v>
      </c>
    </row>
    <row r="104" spans="1:19" x14ac:dyDescent="0.35">
      <c r="A104" s="16" t="s">
        <v>457</v>
      </c>
      <c r="B104" s="44">
        <v>44853</v>
      </c>
      <c r="C104" s="45">
        <v>20</v>
      </c>
      <c r="D104" s="46">
        <v>44853.742361111108</v>
      </c>
      <c r="E104" s="47">
        <v>26.666666666627862</v>
      </c>
      <c r="F104" s="45">
        <v>406</v>
      </c>
      <c r="G104" s="45">
        <v>604</v>
      </c>
      <c r="H104" s="47">
        <v>0.52439029999999998</v>
      </c>
      <c r="I104" s="48">
        <v>511224900</v>
      </c>
      <c r="J104" s="47">
        <v>8.2039829999999994E-2</v>
      </c>
      <c r="K104" s="48">
        <v>22771610</v>
      </c>
      <c r="L104" s="47">
        <v>8.2333210000000004E-2</v>
      </c>
      <c r="M104" s="49">
        <v>4.4543230000000003E-2</v>
      </c>
      <c r="N104" s="49">
        <v>2.4139069999999999E-2</v>
      </c>
      <c r="O104" s="45">
        <v>-6</v>
      </c>
      <c r="P104" s="45">
        <v>11</v>
      </c>
      <c r="Q104" s="45">
        <v>28</v>
      </c>
      <c r="R104" s="48">
        <v>2.7999999999999999E-8</v>
      </c>
      <c r="S104" s="48">
        <f t="shared" si="1"/>
        <v>974893891.05786288</v>
      </c>
    </row>
    <row r="105" spans="1:19" x14ac:dyDescent="0.35">
      <c r="A105" s="16" t="s">
        <v>458</v>
      </c>
      <c r="B105" s="44">
        <v>44853</v>
      </c>
      <c r="C105" s="45">
        <v>20</v>
      </c>
      <c r="D105" s="46">
        <v>44853.745138888888</v>
      </c>
      <c r="E105" s="47">
        <v>26.733333333337214</v>
      </c>
      <c r="F105" s="45">
        <v>829</v>
      </c>
      <c r="G105" s="45">
        <v>431</v>
      </c>
      <c r="H105" s="47">
        <v>0.5246712</v>
      </c>
      <c r="I105" s="48">
        <v>518574600</v>
      </c>
      <c r="J105" s="47">
        <v>8.5383039999999993E-2</v>
      </c>
      <c r="K105" s="48">
        <v>23089390</v>
      </c>
      <c r="L105" s="47">
        <v>8.6661440000000006E-2</v>
      </c>
      <c r="M105" s="49">
        <v>4.4524710000000002E-2</v>
      </c>
      <c r="N105" s="49">
        <v>2.3971729999999997E-2</v>
      </c>
      <c r="O105" s="45">
        <v>-5</v>
      </c>
      <c r="P105" s="45">
        <v>9</v>
      </c>
      <c r="Q105" s="45">
        <v>27</v>
      </c>
      <c r="R105" s="48">
        <v>2.7999999999999999E-8</v>
      </c>
      <c r="S105" s="48">
        <f t="shared" si="1"/>
        <v>988380151.22613931</v>
      </c>
    </row>
    <row r="106" spans="1:19" x14ac:dyDescent="0.35">
      <c r="A106" s="16" t="s">
        <v>459</v>
      </c>
      <c r="B106" s="44">
        <v>44853</v>
      </c>
      <c r="C106" s="45">
        <v>20</v>
      </c>
      <c r="D106" s="46">
        <v>44853.747916666667</v>
      </c>
      <c r="E106" s="47">
        <v>26.800000000046566</v>
      </c>
      <c r="F106" s="45">
        <v>462</v>
      </c>
      <c r="G106" s="45">
        <v>-72</v>
      </c>
      <c r="H106" s="47">
        <v>0.54142830000000008</v>
      </c>
      <c r="I106" s="48">
        <v>519458700</v>
      </c>
      <c r="J106" s="47">
        <v>8.9358380000000001E-2</v>
      </c>
      <c r="K106" s="48">
        <v>23126350</v>
      </c>
      <c r="L106" s="47">
        <v>8.9995850000000002E-2</v>
      </c>
      <c r="M106" s="49">
        <v>4.45201E-2</v>
      </c>
      <c r="N106" s="49">
        <v>2.3952580000000001E-2</v>
      </c>
      <c r="O106" s="45">
        <v>-10</v>
      </c>
      <c r="P106" s="45">
        <v>9</v>
      </c>
      <c r="Q106" s="45">
        <v>29</v>
      </c>
      <c r="R106" s="48">
        <v>2.7999999999999999E-8</v>
      </c>
      <c r="S106" s="48">
        <f t="shared" si="1"/>
        <v>959422882.03257918</v>
      </c>
    </row>
    <row r="107" spans="1:19" x14ac:dyDescent="0.35">
      <c r="A107" s="16" t="s">
        <v>460</v>
      </c>
      <c r="B107" s="44">
        <v>44853</v>
      </c>
      <c r="C107" s="45">
        <v>20</v>
      </c>
      <c r="D107" s="46">
        <v>44853.750694444447</v>
      </c>
      <c r="E107" s="47">
        <v>26.866666666755918</v>
      </c>
      <c r="F107" s="45">
        <v>766</v>
      </c>
      <c r="G107" s="45">
        <v>-289</v>
      </c>
      <c r="H107" s="47">
        <v>0.52789980000000003</v>
      </c>
      <c r="I107" s="48">
        <v>516823400</v>
      </c>
      <c r="J107" s="47">
        <v>8.4116850000000007E-2</v>
      </c>
      <c r="K107" s="48">
        <v>23012280</v>
      </c>
      <c r="L107" s="47">
        <v>8.5500359999999997E-2</v>
      </c>
      <c r="M107" s="49">
        <v>4.4526379999999997E-2</v>
      </c>
      <c r="N107" s="49">
        <v>2.7321860000000003E-2</v>
      </c>
      <c r="O107" s="45">
        <v>-7</v>
      </c>
      <c r="P107" s="45">
        <v>10</v>
      </c>
      <c r="Q107" s="45">
        <v>21</v>
      </c>
      <c r="R107" s="48">
        <v>2.7E-8</v>
      </c>
      <c r="S107" s="48">
        <f t="shared" si="1"/>
        <v>979017987.88330662</v>
      </c>
    </row>
    <row r="108" spans="1:19" x14ac:dyDescent="0.35">
      <c r="A108" s="16" t="s">
        <v>461</v>
      </c>
      <c r="B108" s="44">
        <v>44853</v>
      </c>
      <c r="C108" s="45">
        <v>20</v>
      </c>
      <c r="D108" s="46">
        <v>44853.753472222219</v>
      </c>
      <c r="E108" s="47">
        <v>26.933333333290648</v>
      </c>
      <c r="F108" s="45">
        <v>-175</v>
      </c>
      <c r="G108" s="45">
        <v>1016</v>
      </c>
      <c r="H108" s="47">
        <v>0.52056479999999994</v>
      </c>
      <c r="I108" s="48">
        <v>512146200</v>
      </c>
      <c r="J108" s="47">
        <v>8.4748900000000002E-2</v>
      </c>
      <c r="K108" s="48">
        <v>22803940</v>
      </c>
      <c r="L108" s="47">
        <v>8.494517E-2</v>
      </c>
      <c r="M108" s="49">
        <v>4.452623E-2</v>
      </c>
      <c r="N108" s="49">
        <v>2.4122190000000002E-2</v>
      </c>
      <c r="O108" s="45">
        <v>-2</v>
      </c>
      <c r="P108" s="45">
        <v>10</v>
      </c>
      <c r="Q108" s="45">
        <v>22</v>
      </c>
      <c r="R108" s="48">
        <v>2.6000000000000001E-8</v>
      </c>
      <c r="S108" s="48">
        <f t="shared" si="1"/>
        <v>983827949.94974697</v>
      </c>
    </row>
    <row r="109" spans="1:19" x14ac:dyDescent="0.35">
      <c r="A109" s="16" t="s">
        <v>462</v>
      </c>
      <c r="B109" s="44">
        <v>44853</v>
      </c>
      <c r="C109" s="45">
        <v>20</v>
      </c>
      <c r="D109" s="46">
        <v>44853.756249999999</v>
      </c>
      <c r="E109" s="47">
        <v>27</v>
      </c>
      <c r="F109" s="45">
        <v>-10</v>
      </c>
      <c r="G109" s="45">
        <v>851</v>
      </c>
      <c r="H109" s="47">
        <v>0.53486630000000002</v>
      </c>
      <c r="I109" s="48">
        <v>512339500</v>
      </c>
      <c r="J109" s="47">
        <v>8.8955569999999998E-2</v>
      </c>
      <c r="K109" s="48">
        <v>22817200</v>
      </c>
      <c r="L109" s="47">
        <v>9.0117199999999995E-2</v>
      </c>
      <c r="M109" s="49">
        <v>4.4535310000000002E-2</v>
      </c>
      <c r="N109" s="49">
        <v>2.4115069999999999E-2</v>
      </c>
      <c r="O109" s="45">
        <v>-4</v>
      </c>
      <c r="P109" s="45">
        <v>10</v>
      </c>
      <c r="Q109" s="45">
        <v>27</v>
      </c>
      <c r="R109" s="48">
        <v>2.6000000000000001E-8</v>
      </c>
      <c r="S109" s="48">
        <f t="shared" si="1"/>
        <v>957883306.53847516</v>
      </c>
    </row>
    <row r="110" spans="1:19" x14ac:dyDescent="0.35">
      <c r="A110" s="16" t="s">
        <v>463</v>
      </c>
      <c r="B110" s="44">
        <v>44853</v>
      </c>
      <c r="C110" s="45">
        <v>20</v>
      </c>
      <c r="D110" s="46">
        <v>44853.759027777778</v>
      </c>
      <c r="E110" s="47">
        <v>27.066666666709352</v>
      </c>
      <c r="F110" s="45">
        <v>-432</v>
      </c>
      <c r="G110" s="45">
        <v>819</v>
      </c>
      <c r="H110" s="47">
        <v>0.51593349999999993</v>
      </c>
      <c r="I110" s="48">
        <v>514067600</v>
      </c>
      <c r="J110" s="47">
        <v>7.8588530000000004E-2</v>
      </c>
      <c r="K110" s="48">
        <v>22886700</v>
      </c>
      <c r="L110" s="47">
        <v>7.8822690000000001E-2</v>
      </c>
      <c r="M110" s="49">
        <v>4.4520789999999998E-2</v>
      </c>
      <c r="N110" s="49">
        <v>2.4078410000000001E-2</v>
      </c>
      <c r="O110" s="45">
        <v>-7</v>
      </c>
      <c r="P110" s="45">
        <v>11</v>
      </c>
      <c r="Q110" s="45">
        <v>25</v>
      </c>
      <c r="R110" s="48">
        <v>2.4999999999999999E-8</v>
      </c>
      <c r="S110" s="48">
        <f t="shared" si="1"/>
        <v>996383448.64212167</v>
      </c>
    </row>
    <row r="111" spans="1:19" x14ac:dyDescent="0.35">
      <c r="A111" s="16" t="s">
        <v>464</v>
      </c>
      <c r="B111" s="44">
        <v>44853</v>
      </c>
      <c r="C111" s="45">
        <v>20</v>
      </c>
      <c r="D111" s="46">
        <v>44853.761805555558</v>
      </c>
      <c r="E111" s="47">
        <v>27.133333333418705</v>
      </c>
      <c r="F111" s="45">
        <v>-424</v>
      </c>
      <c r="G111" s="45">
        <v>944</v>
      </c>
      <c r="H111" s="47">
        <v>0.39619409999999999</v>
      </c>
      <c r="I111" s="48">
        <v>496635100</v>
      </c>
      <c r="J111" s="47">
        <v>4.0683259999999999E-2</v>
      </c>
      <c r="K111" s="48">
        <v>22115380</v>
      </c>
      <c r="L111" s="47">
        <v>4.15979E-2</v>
      </c>
      <c r="M111" s="49">
        <v>4.4530439999999998E-2</v>
      </c>
      <c r="N111" s="49">
        <v>2.449554E-2</v>
      </c>
      <c r="O111" s="45">
        <v>-7</v>
      </c>
      <c r="P111" s="45">
        <v>14</v>
      </c>
      <c r="Q111" s="45">
        <v>29</v>
      </c>
      <c r="R111" s="48">
        <v>2.4999999999999999E-8</v>
      </c>
      <c r="S111" s="48">
        <f t="shared" si="1"/>
        <v>1253514628.3097098</v>
      </c>
    </row>
    <row r="112" spans="1:19" x14ac:dyDescent="0.35">
      <c r="A112" s="16" t="s">
        <v>465</v>
      </c>
      <c r="B112" s="44">
        <v>44853</v>
      </c>
      <c r="C112" s="45">
        <v>20</v>
      </c>
      <c r="D112" s="46">
        <v>44853.76458333333</v>
      </c>
      <c r="E112" s="47">
        <v>27.199999999953434</v>
      </c>
      <c r="F112" s="45">
        <v>449</v>
      </c>
      <c r="G112" s="45">
        <v>1024</v>
      </c>
      <c r="H112" s="47">
        <v>0.52641650000000006</v>
      </c>
      <c r="I112" s="48">
        <v>511726300</v>
      </c>
      <c r="J112" s="47">
        <v>7.7134190000000005E-2</v>
      </c>
      <c r="K112" s="48">
        <v>22784030</v>
      </c>
      <c r="L112" s="47">
        <v>7.7035960000000001E-2</v>
      </c>
      <c r="M112" s="49">
        <v>4.4523859999999998E-2</v>
      </c>
      <c r="N112" s="49">
        <v>2.4132319999999999E-2</v>
      </c>
      <c r="O112" s="45">
        <v>-1</v>
      </c>
      <c r="P112" s="45">
        <v>9</v>
      </c>
      <c r="Q112" s="45">
        <v>26</v>
      </c>
      <c r="R112" s="48">
        <v>2.4999999999999999E-8</v>
      </c>
      <c r="S112" s="48">
        <f t="shared" si="1"/>
        <v>972093959.82078815</v>
      </c>
    </row>
    <row r="113" spans="1:19" x14ac:dyDescent="0.35">
      <c r="A113" s="16" t="s">
        <v>466</v>
      </c>
      <c r="B113" s="44">
        <v>44853</v>
      </c>
      <c r="C113" s="45">
        <v>20</v>
      </c>
      <c r="D113" s="46">
        <v>44853.767361111109</v>
      </c>
      <c r="E113" s="47">
        <v>27.266666666662786</v>
      </c>
      <c r="F113" s="45">
        <v>406</v>
      </c>
      <c r="G113" s="45">
        <v>944</v>
      </c>
      <c r="H113" s="47">
        <v>0.53008010000000005</v>
      </c>
      <c r="I113" s="48">
        <v>516748100</v>
      </c>
      <c r="J113" s="47">
        <v>8.5906759999999999E-2</v>
      </c>
      <c r="K113" s="48">
        <v>23018370</v>
      </c>
      <c r="L113" s="47">
        <v>8.6746190000000001E-2</v>
      </c>
      <c r="M113" s="49">
        <v>4.454367E-2</v>
      </c>
      <c r="N113" s="49">
        <v>2.4008889999999998E-2</v>
      </c>
      <c r="O113" s="45">
        <v>-2</v>
      </c>
      <c r="P113" s="45">
        <v>8</v>
      </c>
      <c r="Q113" s="45">
        <v>21</v>
      </c>
      <c r="R113" s="48">
        <v>2.4999999999999999E-8</v>
      </c>
      <c r="S113" s="48">
        <f t="shared" si="1"/>
        <v>974849084.12898338</v>
      </c>
    </row>
    <row r="114" spans="1:19" x14ac:dyDescent="0.35">
      <c r="A114" s="72" t="s">
        <v>905</v>
      </c>
      <c r="B114" s="73">
        <v>44853</v>
      </c>
      <c r="C114" s="74">
        <v>20</v>
      </c>
      <c r="D114" s="75">
        <v>44853.775000000001</v>
      </c>
      <c r="E114" s="76">
        <v>27.450000000069849</v>
      </c>
      <c r="F114" s="77">
        <v>2352</v>
      </c>
      <c r="G114" s="77">
        <v>-2946</v>
      </c>
      <c r="H114" s="78">
        <v>0.61104019999999992</v>
      </c>
      <c r="I114" s="79">
        <v>540830000</v>
      </c>
      <c r="J114" s="76">
        <v>9.0502920000000001E-2</v>
      </c>
      <c r="K114" s="79">
        <v>24349940</v>
      </c>
      <c r="L114" s="76">
        <v>9.0863369999999999E-2</v>
      </c>
      <c r="M114" s="80">
        <v>4.5023269999999997E-2</v>
      </c>
      <c r="N114" s="80">
        <v>2.679691E-2</v>
      </c>
      <c r="O114" s="74">
        <v>2</v>
      </c>
      <c r="P114" s="74">
        <v>-3</v>
      </c>
      <c r="Q114" s="74">
        <v>17</v>
      </c>
      <c r="R114" s="79">
        <v>1.2E-8</v>
      </c>
      <c r="S114" s="79">
        <f t="shared" si="1"/>
        <v>885097248.92077494</v>
      </c>
    </row>
    <row r="115" spans="1:19" x14ac:dyDescent="0.35">
      <c r="A115" s="72" t="s">
        <v>906</v>
      </c>
      <c r="B115" s="73">
        <v>44853</v>
      </c>
      <c r="C115" s="74">
        <v>20</v>
      </c>
      <c r="D115" s="75">
        <v>44853.77847222222</v>
      </c>
      <c r="E115" s="76">
        <v>27.533333333325572</v>
      </c>
      <c r="F115" s="77">
        <v>2302</v>
      </c>
      <c r="G115" s="77">
        <v>-2946</v>
      </c>
      <c r="H115" s="78">
        <v>0.62584779999999995</v>
      </c>
      <c r="I115" s="79">
        <v>540031800</v>
      </c>
      <c r="J115" s="76">
        <v>0.1015316</v>
      </c>
      <c r="K115" s="79">
        <v>24313000</v>
      </c>
      <c r="L115" s="76">
        <v>0.10194</v>
      </c>
      <c r="M115" s="80">
        <v>4.5021419999999999E-2</v>
      </c>
      <c r="N115" s="80">
        <v>2.6863459999999999E-2</v>
      </c>
      <c r="O115" s="74">
        <v>1</v>
      </c>
      <c r="P115" s="74">
        <v>-3</v>
      </c>
      <c r="Q115" s="74">
        <v>17</v>
      </c>
      <c r="R115" s="79">
        <v>1.0999999999999999E-8</v>
      </c>
      <c r="S115" s="79">
        <f t="shared" si="1"/>
        <v>862880399.99501479</v>
      </c>
    </row>
    <row r="116" spans="1:19" x14ac:dyDescent="0.35">
      <c r="A116" s="72" t="s">
        <v>907</v>
      </c>
      <c r="B116" s="73">
        <v>44853</v>
      </c>
      <c r="C116" s="74">
        <v>20</v>
      </c>
      <c r="D116" s="75">
        <v>44853.78125</v>
      </c>
      <c r="E116" s="76">
        <v>27.600000000034925</v>
      </c>
      <c r="F116" s="77">
        <v>2252</v>
      </c>
      <c r="G116" s="77">
        <v>-2946</v>
      </c>
      <c r="H116" s="78">
        <v>0.62431140000000007</v>
      </c>
      <c r="I116" s="79">
        <v>540387800</v>
      </c>
      <c r="J116" s="76">
        <v>9.9847539999999999E-2</v>
      </c>
      <c r="K116" s="79">
        <v>24330670</v>
      </c>
      <c r="L116" s="76">
        <v>9.9953429999999996E-2</v>
      </c>
      <c r="M116" s="80">
        <v>4.5024460000000002E-2</v>
      </c>
      <c r="N116" s="80">
        <v>2.335634E-2</v>
      </c>
      <c r="O116" s="74">
        <v>2</v>
      </c>
      <c r="P116" s="74">
        <v>-3</v>
      </c>
      <c r="Q116" s="74">
        <v>17</v>
      </c>
      <c r="R116" s="79">
        <v>1E-8</v>
      </c>
      <c r="S116" s="79">
        <f t="shared" si="1"/>
        <v>865574134.95893228</v>
      </c>
    </row>
    <row r="117" spans="1:19" x14ac:dyDescent="0.35">
      <c r="A117" s="72" t="s">
        <v>908</v>
      </c>
      <c r="B117" s="73">
        <v>44853</v>
      </c>
      <c r="C117" s="74">
        <v>20</v>
      </c>
      <c r="D117" s="75">
        <v>44853.78402777778</v>
      </c>
      <c r="E117" s="76">
        <v>27.666666666744277</v>
      </c>
      <c r="F117" s="77">
        <v>2202</v>
      </c>
      <c r="G117" s="77">
        <v>-2946</v>
      </c>
      <c r="H117" s="78">
        <v>0.63019670000000005</v>
      </c>
      <c r="I117" s="79">
        <v>540017900</v>
      </c>
      <c r="J117" s="76">
        <v>0.102476</v>
      </c>
      <c r="K117" s="79">
        <v>24313050</v>
      </c>
      <c r="L117" s="76">
        <v>0.1035504</v>
      </c>
      <c r="M117" s="80">
        <v>4.5022670000000001E-2</v>
      </c>
      <c r="N117" s="80">
        <v>2.3434950000000003E-2</v>
      </c>
      <c r="O117" s="74">
        <v>2</v>
      </c>
      <c r="P117" s="74">
        <v>-3</v>
      </c>
      <c r="Q117" s="74">
        <v>17</v>
      </c>
      <c r="R117" s="79">
        <v>9.8999999999999993E-9</v>
      </c>
      <c r="S117" s="79">
        <f t="shared" si="1"/>
        <v>856903725.45587742</v>
      </c>
    </row>
    <row r="118" spans="1:19" x14ac:dyDescent="0.35">
      <c r="A118" s="72" t="s">
        <v>909</v>
      </c>
      <c r="B118" s="73">
        <v>44853</v>
      </c>
      <c r="C118" s="74">
        <v>20</v>
      </c>
      <c r="D118" s="75">
        <v>44853.786805555559</v>
      </c>
      <c r="E118" s="76">
        <v>27.733333333453629</v>
      </c>
      <c r="F118" s="77">
        <v>2152</v>
      </c>
      <c r="G118" s="77">
        <v>-2946</v>
      </c>
      <c r="H118" s="78">
        <v>0.62564829999999994</v>
      </c>
      <c r="I118" s="79">
        <v>539502600</v>
      </c>
      <c r="J118" s="76">
        <v>0.101996</v>
      </c>
      <c r="K118" s="79">
        <v>24286560</v>
      </c>
      <c r="L118" s="76">
        <v>0.1022753</v>
      </c>
      <c r="M118" s="80">
        <v>4.5016569999999999E-2</v>
      </c>
      <c r="N118" s="80">
        <v>2.3377519999999999E-2</v>
      </c>
      <c r="O118" s="74">
        <v>2</v>
      </c>
      <c r="P118" s="74">
        <v>-3</v>
      </c>
      <c r="Q118" s="74">
        <v>16</v>
      </c>
      <c r="R118" s="79">
        <v>9.5000000000000007E-9</v>
      </c>
      <c r="S118" s="79">
        <f t="shared" si="1"/>
        <v>862309703.39086676</v>
      </c>
    </row>
    <row r="119" spans="1:19" x14ac:dyDescent="0.35">
      <c r="A119" s="72" t="s">
        <v>910</v>
      </c>
      <c r="B119" s="73">
        <v>44854</v>
      </c>
      <c r="C119" s="74">
        <v>20</v>
      </c>
      <c r="D119" s="75">
        <v>44854.361805555556</v>
      </c>
      <c r="E119" s="76">
        <v>41.53333333338378</v>
      </c>
      <c r="F119" s="77">
        <v>2427</v>
      </c>
      <c r="G119" s="77">
        <v>-3413</v>
      </c>
      <c r="H119" s="78">
        <v>0.58678530000000007</v>
      </c>
      <c r="I119" s="79">
        <v>562536300</v>
      </c>
      <c r="J119" s="76">
        <v>9.4010419999999997E-2</v>
      </c>
      <c r="K119" s="79">
        <v>25330980</v>
      </c>
      <c r="L119" s="76">
        <v>9.4515929999999998E-2</v>
      </c>
      <c r="M119" s="80">
        <v>4.5029939999999997E-2</v>
      </c>
      <c r="N119" s="80">
        <v>2.7296709999999998E-2</v>
      </c>
      <c r="O119" s="74">
        <v>6</v>
      </c>
      <c r="P119" s="74">
        <v>-3</v>
      </c>
      <c r="Q119" s="74">
        <v>17</v>
      </c>
      <c r="R119" s="79">
        <v>6.2000000000000001E-9</v>
      </c>
      <c r="S119" s="79">
        <f t="shared" si="1"/>
        <v>958674833.87876272</v>
      </c>
    </row>
    <row r="120" spans="1:19" x14ac:dyDescent="0.35">
      <c r="A120" s="72" t="s">
        <v>911</v>
      </c>
      <c r="B120" s="73">
        <v>44854</v>
      </c>
      <c r="C120" s="74">
        <v>20</v>
      </c>
      <c r="D120" s="75">
        <v>44854.364583333336</v>
      </c>
      <c r="E120" s="76">
        <v>41.600000000093132</v>
      </c>
      <c r="F120" s="77">
        <v>2377</v>
      </c>
      <c r="G120" s="77">
        <v>-3413</v>
      </c>
      <c r="H120" s="78">
        <v>0.58508539999999998</v>
      </c>
      <c r="I120" s="79">
        <v>561879600</v>
      </c>
      <c r="J120" s="76">
        <v>8.0741750000000001E-2</v>
      </c>
      <c r="K120" s="79">
        <v>25302360</v>
      </c>
      <c r="L120" s="76">
        <v>8.0333050000000003E-2</v>
      </c>
      <c r="M120" s="80">
        <v>4.5031630000000003E-2</v>
      </c>
      <c r="N120" s="80">
        <v>2.6406849999999999E-2</v>
      </c>
      <c r="O120" s="74">
        <v>6</v>
      </c>
      <c r="P120" s="74">
        <v>-3</v>
      </c>
      <c r="Q120" s="74">
        <v>17</v>
      </c>
      <c r="R120" s="79">
        <v>6.2000000000000001E-9</v>
      </c>
      <c r="S120" s="79">
        <f t="shared" si="1"/>
        <v>960337755.82162881</v>
      </c>
    </row>
    <row r="121" spans="1:19" x14ac:dyDescent="0.35">
      <c r="A121" s="72" t="s">
        <v>912</v>
      </c>
      <c r="B121" s="73">
        <v>44854</v>
      </c>
      <c r="C121" s="74">
        <v>20</v>
      </c>
      <c r="D121" s="75">
        <v>44854.367361111108</v>
      </c>
      <c r="E121" s="76">
        <v>41.666666666627862</v>
      </c>
      <c r="F121" s="77">
        <v>2327</v>
      </c>
      <c r="G121" s="77">
        <v>-3413</v>
      </c>
      <c r="H121" s="78">
        <v>0.61017180000000004</v>
      </c>
      <c r="I121" s="79">
        <v>560318500</v>
      </c>
      <c r="J121" s="76">
        <v>9.3851580000000004E-2</v>
      </c>
      <c r="K121" s="79">
        <v>25230980</v>
      </c>
      <c r="L121" s="76">
        <v>9.2996190000000006E-2</v>
      </c>
      <c r="M121" s="80">
        <v>4.5029720000000002E-2</v>
      </c>
      <c r="N121" s="80">
        <v>3.0089480000000002E-2</v>
      </c>
      <c r="O121" s="74">
        <v>6</v>
      </c>
      <c r="P121" s="74">
        <v>-4</v>
      </c>
      <c r="Q121" s="74">
        <v>17</v>
      </c>
      <c r="R121" s="79">
        <v>6.2000000000000001E-9</v>
      </c>
      <c r="S121" s="79">
        <f t="shared" si="1"/>
        <v>918296289.66792619</v>
      </c>
    </row>
    <row r="122" spans="1:19" x14ac:dyDescent="0.35">
      <c r="A122" s="72" t="s">
        <v>913</v>
      </c>
      <c r="B122" s="73">
        <v>44854</v>
      </c>
      <c r="C122" s="74">
        <v>20</v>
      </c>
      <c r="D122" s="75">
        <v>44854.370138888888</v>
      </c>
      <c r="E122" s="76">
        <v>41.733333333337214</v>
      </c>
      <c r="F122" s="77">
        <v>2277</v>
      </c>
      <c r="G122" s="77">
        <v>-3413</v>
      </c>
      <c r="H122" s="78">
        <v>0.61447610000000008</v>
      </c>
      <c r="I122" s="79">
        <v>560306900</v>
      </c>
      <c r="J122" s="76">
        <v>9.7810449999999993E-2</v>
      </c>
      <c r="K122" s="79">
        <v>25231090</v>
      </c>
      <c r="L122" s="76">
        <v>9.8235199999999995E-2</v>
      </c>
      <c r="M122" s="80">
        <v>4.5030830000000001E-2</v>
      </c>
      <c r="N122" s="80">
        <v>2.8296139999999997E-2</v>
      </c>
      <c r="O122" s="74">
        <v>6</v>
      </c>
      <c r="P122" s="74">
        <v>-4</v>
      </c>
      <c r="Q122" s="74">
        <v>16</v>
      </c>
      <c r="R122" s="79">
        <v>6.1E-9</v>
      </c>
      <c r="S122" s="79">
        <f t="shared" si="1"/>
        <v>911844903.32496238</v>
      </c>
    </row>
    <row r="123" spans="1:19" x14ac:dyDescent="0.35">
      <c r="A123" s="72" t="s">
        <v>914</v>
      </c>
      <c r="B123" s="73">
        <v>44854</v>
      </c>
      <c r="C123" s="74">
        <v>20</v>
      </c>
      <c r="D123" s="75">
        <v>44854.372916666667</v>
      </c>
      <c r="E123" s="76">
        <v>41.800000000046566</v>
      </c>
      <c r="F123" s="77">
        <v>2257</v>
      </c>
      <c r="G123" s="77">
        <v>-3288</v>
      </c>
      <c r="H123" s="78">
        <v>0.61008030000000002</v>
      </c>
      <c r="I123" s="79">
        <v>559751700</v>
      </c>
      <c r="J123" s="76">
        <v>8.9145569999999993E-2</v>
      </c>
      <c r="K123" s="79">
        <v>25204890</v>
      </c>
      <c r="L123" s="76">
        <v>8.9259699999999997E-2</v>
      </c>
      <c r="M123" s="80">
        <v>4.5028699999999998E-2</v>
      </c>
      <c r="N123" s="80">
        <v>2.8463859999999997E-2</v>
      </c>
      <c r="O123" s="74">
        <v>5</v>
      </c>
      <c r="P123" s="74">
        <v>-5</v>
      </c>
      <c r="Q123" s="74">
        <v>17</v>
      </c>
      <c r="R123" s="79">
        <v>6.2000000000000001E-9</v>
      </c>
      <c r="S123" s="79">
        <f t="shared" si="1"/>
        <v>917504957.95389557</v>
      </c>
    </row>
    <row r="124" spans="1:19" x14ac:dyDescent="0.35">
      <c r="A124" s="16" t="s">
        <v>468</v>
      </c>
      <c r="B124" s="44">
        <v>44854</v>
      </c>
      <c r="C124" s="45">
        <v>20</v>
      </c>
      <c r="D124" s="46">
        <v>44854.396527777775</v>
      </c>
      <c r="E124" s="47">
        <v>42.366666666639503</v>
      </c>
      <c r="F124" s="45">
        <v>1139</v>
      </c>
      <c r="G124" s="45">
        <v>-6433</v>
      </c>
      <c r="H124" s="47">
        <v>0.56679170000000001</v>
      </c>
      <c r="I124" s="48">
        <v>526471300</v>
      </c>
      <c r="J124" s="47">
        <v>8.1623650000000006E-2</v>
      </c>
      <c r="K124" s="48">
        <v>23298520</v>
      </c>
      <c r="L124" s="47">
        <v>8.2090850000000007E-2</v>
      </c>
      <c r="M124" s="49">
        <v>4.4254109999999999E-2</v>
      </c>
      <c r="N124" s="49">
        <v>2.386015E-2</v>
      </c>
      <c r="O124" s="45">
        <v>5</v>
      </c>
      <c r="P124" s="45">
        <v>15</v>
      </c>
      <c r="Q124" s="45">
        <v>25</v>
      </c>
      <c r="R124" s="48">
        <v>1.0999999999999999E-8</v>
      </c>
      <c r="S124" s="48">
        <f t="shared" si="1"/>
        <v>928862049.32076454</v>
      </c>
    </row>
    <row r="125" spans="1:19" x14ac:dyDescent="0.35">
      <c r="A125" s="16" t="s">
        <v>469</v>
      </c>
      <c r="B125" s="44">
        <v>44854</v>
      </c>
      <c r="C125" s="45">
        <v>20</v>
      </c>
      <c r="D125" s="46">
        <v>44854.399305555555</v>
      </c>
      <c r="E125" s="47">
        <v>42.433333333348855</v>
      </c>
      <c r="F125" s="45">
        <v>1200</v>
      </c>
      <c r="G125" s="45">
        <v>-6322</v>
      </c>
      <c r="H125" s="47">
        <v>0.56401690000000004</v>
      </c>
      <c r="I125" s="48">
        <v>528942900</v>
      </c>
      <c r="J125" s="47">
        <v>9.4630190000000003E-2</v>
      </c>
      <c r="K125" s="48">
        <v>23384150</v>
      </c>
      <c r="L125" s="47">
        <v>9.4889459999999995E-2</v>
      </c>
      <c r="M125" s="49">
        <v>4.4209209999999999E-2</v>
      </c>
      <c r="N125" s="49">
        <v>2.381579E-2</v>
      </c>
      <c r="O125" s="45">
        <v>5</v>
      </c>
      <c r="P125" s="45">
        <v>16</v>
      </c>
      <c r="Q125" s="45">
        <v>25</v>
      </c>
      <c r="R125" s="48">
        <v>1.0999999999999999E-8</v>
      </c>
      <c r="S125" s="48">
        <f t="shared" si="1"/>
        <v>937813920.11480498</v>
      </c>
    </row>
    <row r="126" spans="1:19" x14ac:dyDescent="0.35">
      <c r="A126" s="16" t="s">
        <v>470</v>
      </c>
      <c r="B126" s="44">
        <v>44854</v>
      </c>
      <c r="C126" s="45">
        <v>20</v>
      </c>
      <c r="D126" s="46">
        <v>44854.402083333334</v>
      </c>
      <c r="E126" s="47">
        <v>42.500000000058208</v>
      </c>
      <c r="F126" s="45">
        <v>1021</v>
      </c>
      <c r="G126" s="45">
        <v>-6663</v>
      </c>
      <c r="H126" s="47">
        <v>0.56307499999999999</v>
      </c>
      <c r="I126" s="48">
        <v>526182400</v>
      </c>
      <c r="J126" s="47">
        <v>8.1172560000000005E-2</v>
      </c>
      <c r="K126" s="48">
        <v>23278950</v>
      </c>
      <c r="L126" s="47">
        <v>8.1439269999999994E-2</v>
      </c>
      <c r="M126" s="49">
        <v>4.4241219999999998E-2</v>
      </c>
      <c r="N126" s="49">
        <v>2.5828900000000002E-2</v>
      </c>
      <c r="O126" s="45">
        <v>3</v>
      </c>
      <c r="P126" s="45">
        <v>14</v>
      </c>
      <c r="Q126" s="45">
        <v>26</v>
      </c>
      <c r="R126" s="48">
        <v>1.0999999999999999E-8</v>
      </c>
      <c r="S126" s="48">
        <f t="shared" si="1"/>
        <v>934480131.42121387</v>
      </c>
    </row>
    <row r="127" spans="1:19" x14ac:dyDescent="0.35">
      <c r="A127" s="16" t="s">
        <v>471</v>
      </c>
      <c r="B127" s="44">
        <v>44854</v>
      </c>
      <c r="C127" s="45">
        <v>20</v>
      </c>
      <c r="D127" s="46">
        <v>44854.404861111114</v>
      </c>
      <c r="E127" s="47">
        <v>42.56666666676756</v>
      </c>
      <c r="F127" s="45">
        <v>1158</v>
      </c>
      <c r="G127" s="45">
        <v>-6719</v>
      </c>
      <c r="H127" s="47">
        <v>0.56795030000000002</v>
      </c>
      <c r="I127" s="48">
        <v>529539200</v>
      </c>
      <c r="J127" s="47">
        <v>8.3201269999999994E-2</v>
      </c>
      <c r="K127" s="48">
        <v>23407910</v>
      </c>
      <c r="L127" s="47">
        <v>8.3870089999999994E-2</v>
      </c>
      <c r="M127" s="49">
        <v>4.4204309999999997E-2</v>
      </c>
      <c r="N127" s="49">
        <v>2.5155300000000002E-2</v>
      </c>
      <c r="O127" s="45">
        <v>4</v>
      </c>
      <c r="P127" s="45">
        <v>13</v>
      </c>
      <c r="Q127" s="45">
        <v>24</v>
      </c>
      <c r="R127" s="48">
        <v>1.0999999999999999E-8</v>
      </c>
      <c r="S127" s="48">
        <f t="shared" si="1"/>
        <v>932368906.22295642</v>
      </c>
    </row>
    <row r="128" spans="1:19" x14ac:dyDescent="0.35">
      <c r="A128" s="16" t="s">
        <v>472</v>
      </c>
      <c r="B128" s="44">
        <v>44854</v>
      </c>
      <c r="C128" s="45">
        <v>20</v>
      </c>
      <c r="D128" s="46">
        <v>44854.408333333333</v>
      </c>
      <c r="E128" s="47">
        <v>42.650000000023283</v>
      </c>
      <c r="F128" s="45">
        <v>1172</v>
      </c>
      <c r="G128" s="45">
        <v>-6038</v>
      </c>
      <c r="H128" s="47">
        <v>0.55039210000000005</v>
      </c>
      <c r="I128" s="48">
        <v>528436300</v>
      </c>
      <c r="J128" s="47">
        <v>8.2364839999999995E-2</v>
      </c>
      <c r="K128" s="48">
        <v>23369550</v>
      </c>
      <c r="L128" s="47">
        <v>8.4466780000000005E-2</v>
      </c>
      <c r="M128" s="49">
        <v>4.422396E-2</v>
      </c>
      <c r="N128" s="49">
        <v>3.0875239999999998E-2</v>
      </c>
      <c r="O128" s="45">
        <v>5</v>
      </c>
      <c r="P128" s="45">
        <v>15</v>
      </c>
      <c r="Q128" s="45">
        <v>23</v>
      </c>
      <c r="R128" s="48">
        <v>1.0999999999999999E-8</v>
      </c>
      <c r="S128" s="48">
        <f t="shared" si="1"/>
        <v>960108802.43375576</v>
      </c>
    </row>
    <row r="129" spans="1:19" x14ac:dyDescent="0.35">
      <c r="A129" s="16" t="s">
        <v>473</v>
      </c>
      <c r="B129" s="44">
        <v>44854</v>
      </c>
      <c r="C129" s="45">
        <v>20</v>
      </c>
      <c r="D129" s="46">
        <v>44854.411111111112</v>
      </c>
      <c r="E129" s="47">
        <v>42.716666666732635</v>
      </c>
      <c r="F129" s="45">
        <v>1851</v>
      </c>
      <c r="G129" s="45">
        <v>-5938</v>
      </c>
      <c r="H129" s="47">
        <v>0.56674170000000001</v>
      </c>
      <c r="I129" s="48">
        <v>528529800</v>
      </c>
      <c r="J129" s="47">
        <v>7.7820959999999995E-2</v>
      </c>
      <c r="K129" s="48">
        <v>23361580</v>
      </c>
      <c r="L129" s="47">
        <v>7.8926460000000004E-2</v>
      </c>
      <c r="M129" s="49">
        <v>4.4201070000000002E-2</v>
      </c>
      <c r="N129" s="49">
        <v>2.7329220000000001E-2</v>
      </c>
      <c r="O129" s="45">
        <v>10</v>
      </c>
      <c r="P129" s="45">
        <v>15</v>
      </c>
      <c r="Q129" s="45">
        <v>27</v>
      </c>
      <c r="R129" s="48">
        <v>1.0999999999999999E-8</v>
      </c>
      <c r="S129" s="48">
        <f t="shared" si="1"/>
        <v>932576163.00335765</v>
      </c>
    </row>
    <row r="130" spans="1:19" x14ac:dyDescent="0.35">
      <c r="A130" s="16" t="s">
        <v>474</v>
      </c>
      <c r="B130" s="44">
        <v>44854</v>
      </c>
      <c r="C130" s="45">
        <v>20</v>
      </c>
      <c r="D130" s="46">
        <v>44854.413888888892</v>
      </c>
      <c r="E130" s="47">
        <v>42.783333333441988</v>
      </c>
      <c r="F130" s="45">
        <v>1874</v>
      </c>
      <c r="G130" s="45">
        <v>-6094</v>
      </c>
      <c r="H130" s="47">
        <v>0.55993160000000008</v>
      </c>
      <c r="I130" s="48">
        <v>526881000</v>
      </c>
      <c r="J130" s="47">
        <v>6.9493079999999999E-2</v>
      </c>
      <c r="K130" s="48">
        <v>23300260</v>
      </c>
      <c r="L130" s="47">
        <v>7.0434010000000005E-2</v>
      </c>
      <c r="M130" s="49">
        <v>4.4222989999999997E-2</v>
      </c>
      <c r="N130" s="49">
        <v>2.722641E-2</v>
      </c>
      <c r="O130" s="45">
        <v>10</v>
      </c>
      <c r="P130" s="45">
        <v>16</v>
      </c>
      <c r="Q130" s="45">
        <v>28</v>
      </c>
      <c r="R130" s="48">
        <v>1.0999999999999999E-8</v>
      </c>
      <c r="S130" s="48">
        <f t="shared" si="1"/>
        <v>940973861.80740631</v>
      </c>
    </row>
    <row r="131" spans="1:19" x14ac:dyDescent="0.35">
      <c r="A131" s="16" t="s">
        <v>475</v>
      </c>
      <c r="B131" s="44">
        <v>44854</v>
      </c>
      <c r="C131" s="45">
        <v>20</v>
      </c>
      <c r="D131" s="46">
        <v>44854.416666666664</v>
      </c>
      <c r="E131" s="47">
        <v>42.849999999976717</v>
      </c>
      <c r="F131" s="45">
        <v>1930</v>
      </c>
      <c r="G131" s="45">
        <v>-5755</v>
      </c>
      <c r="H131" s="47">
        <v>0.56693330000000008</v>
      </c>
      <c r="I131" s="48">
        <v>521462000</v>
      </c>
      <c r="J131" s="47">
        <v>9.8309530000000006E-2</v>
      </c>
      <c r="K131" s="48">
        <v>23064290</v>
      </c>
      <c r="L131" s="47">
        <v>0.10026259999999999</v>
      </c>
      <c r="M131" s="49">
        <v>4.4230039999999998E-2</v>
      </c>
      <c r="N131" s="49">
        <v>3.8915659999999998E-2</v>
      </c>
      <c r="O131" s="45">
        <v>10</v>
      </c>
      <c r="P131" s="45">
        <v>13</v>
      </c>
      <c r="Q131" s="45">
        <v>23</v>
      </c>
      <c r="R131" s="48">
        <v>1.0999999999999999E-8</v>
      </c>
      <c r="S131" s="48">
        <f t="shared" si="1"/>
        <v>919794268.56739569</v>
      </c>
    </row>
    <row r="132" spans="1:19" x14ac:dyDescent="0.35">
      <c r="A132" s="16" t="s">
        <v>476</v>
      </c>
      <c r="B132" s="44">
        <v>44854</v>
      </c>
      <c r="C132" s="45">
        <v>20</v>
      </c>
      <c r="D132" s="46">
        <v>44854.419444444444</v>
      </c>
      <c r="E132" s="47">
        <v>42.916666666686069</v>
      </c>
      <c r="F132" s="45">
        <v>1943</v>
      </c>
      <c r="G132" s="45">
        <v>-5693</v>
      </c>
      <c r="H132" s="47">
        <v>0.56791199999999997</v>
      </c>
      <c r="I132" s="48">
        <v>524592900</v>
      </c>
      <c r="J132" s="47">
        <v>8.5932990000000001E-2</v>
      </c>
      <c r="K132" s="48">
        <v>23197630</v>
      </c>
      <c r="L132" s="47">
        <v>8.6895790000000001E-2</v>
      </c>
      <c r="M132" s="49">
        <v>4.4219519999999998E-2</v>
      </c>
      <c r="N132" s="49">
        <v>2.3911679999999998E-2</v>
      </c>
      <c r="O132" s="45">
        <v>10</v>
      </c>
      <c r="P132" s="45">
        <v>13</v>
      </c>
      <c r="Q132" s="45">
        <v>24</v>
      </c>
      <c r="R132" s="48">
        <v>1.0999999999999999E-8</v>
      </c>
      <c r="S132" s="48">
        <f t="shared" si="1"/>
        <v>923722161.17990112</v>
      </c>
    </row>
    <row r="133" spans="1:19" x14ac:dyDescent="0.35">
      <c r="A133" s="16" t="s">
        <v>477</v>
      </c>
      <c r="B133" s="44">
        <v>44854</v>
      </c>
      <c r="C133" s="45">
        <v>20</v>
      </c>
      <c r="D133" s="46">
        <v>44854.422222222223</v>
      </c>
      <c r="E133" s="47">
        <v>42.983333333395422</v>
      </c>
      <c r="F133" s="45">
        <v>1963</v>
      </c>
      <c r="G133" s="45">
        <v>-5595</v>
      </c>
      <c r="H133" s="47">
        <v>0.57237199999999999</v>
      </c>
      <c r="I133" s="48">
        <v>517753400</v>
      </c>
      <c r="J133" s="47">
        <v>8.8268639999999995E-2</v>
      </c>
      <c r="K133" s="48">
        <v>22908120</v>
      </c>
      <c r="L133" s="47">
        <v>8.7379830000000006E-2</v>
      </c>
      <c r="M133" s="49">
        <v>4.424525E-2</v>
      </c>
      <c r="N133" s="49">
        <v>2.931692E-2</v>
      </c>
      <c r="O133" s="45">
        <v>11</v>
      </c>
      <c r="P133" s="45">
        <v>13</v>
      </c>
      <c r="Q133" s="45">
        <v>23</v>
      </c>
      <c r="R133" s="48">
        <v>1.0999999999999999E-8</v>
      </c>
      <c r="S133" s="48">
        <f t="shared" si="1"/>
        <v>904574996.68048048</v>
      </c>
    </row>
    <row r="134" spans="1:19" x14ac:dyDescent="0.35">
      <c r="A134" s="16" t="s">
        <v>478</v>
      </c>
      <c r="B134" s="44">
        <v>44854</v>
      </c>
      <c r="C134" s="45">
        <v>20</v>
      </c>
      <c r="D134" s="46">
        <v>44854.425000000003</v>
      </c>
      <c r="E134" s="47">
        <v>43.050000000104774</v>
      </c>
      <c r="F134" s="45">
        <v>1568</v>
      </c>
      <c r="G134" s="45">
        <v>-5858</v>
      </c>
      <c r="H134" s="47">
        <v>0.55516259999999995</v>
      </c>
      <c r="I134" s="48">
        <v>517921000</v>
      </c>
      <c r="J134" s="47">
        <v>7.2966710000000004E-2</v>
      </c>
      <c r="K134" s="48">
        <v>22906810</v>
      </c>
      <c r="L134" s="47">
        <v>7.2612330000000003E-2</v>
      </c>
      <c r="M134" s="49">
        <v>4.4228389999999999E-2</v>
      </c>
      <c r="N134" s="49">
        <v>2.6313729999999997E-2</v>
      </c>
      <c r="O134" s="45">
        <v>7</v>
      </c>
      <c r="P134" s="45">
        <v>16</v>
      </c>
      <c r="Q134" s="45">
        <v>24</v>
      </c>
      <c r="R134" s="48">
        <v>1.0999999999999999E-8</v>
      </c>
      <c r="S134" s="48">
        <f t="shared" si="1"/>
        <v>932917671.32728326</v>
      </c>
    </row>
    <row r="135" spans="1:19" x14ac:dyDescent="0.35">
      <c r="A135" s="72" t="s">
        <v>915</v>
      </c>
      <c r="B135" s="73">
        <v>44854</v>
      </c>
      <c r="C135" s="74">
        <v>20</v>
      </c>
      <c r="D135" s="75">
        <v>44854.434027777781</v>
      </c>
      <c r="E135" s="76">
        <v>43.266666666779201</v>
      </c>
      <c r="F135" s="77">
        <v>2334</v>
      </c>
      <c r="G135" s="77">
        <v>-3162</v>
      </c>
      <c r="H135" s="78">
        <v>0.56438220000000006</v>
      </c>
      <c r="I135" s="79">
        <v>541149500</v>
      </c>
      <c r="J135" s="76">
        <v>9.1872850000000006E-2</v>
      </c>
      <c r="K135" s="79">
        <v>24364680</v>
      </c>
      <c r="L135" s="76">
        <v>9.2316469999999998E-2</v>
      </c>
      <c r="M135" s="80">
        <v>4.5023929999999997E-2</v>
      </c>
      <c r="N135" s="80">
        <v>2.3339829999999999E-2</v>
      </c>
      <c r="O135" s="74">
        <v>3</v>
      </c>
      <c r="P135" s="74">
        <v>-4</v>
      </c>
      <c r="Q135" s="74">
        <v>17</v>
      </c>
      <c r="R135" s="79">
        <v>8.5E-9</v>
      </c>
      <c r="S135" s="79">
        <f t="shared" si="1"/>
        <v>958835165.2479471</v>
      </c>
    </row>
    <row r="136" spans="1:19" x14ac:dyDescent="0.35">
      <c r="A136" s="72" t="s">
        <v>916</v>
      </c>
      <c r="B136" s="73">
        <v>44854</v>
      </c>
      <c r="C136" s="74">
        <v>20</v>
      </c>
      <c r="D136" s="75">
        <v>44854.436805555553</v>
      </c>
      <c r="E136" s="76">
        <v>43.333333333313931</v>
      </c>
      <c r="F136" s="77">
        <v>2284</v>
      </c>
      <c r="G136" s="77">
        <v>-3162</v>
      </c>
      <c r="H136" s="78">
        <v>0.57068220000000003</v>
      </c>
      <c r="I136" s="79">
        <v>542603800</v>
      </c>
      <c r="J136" s="76">
        <v>0.1026567</v>
      </c>
      <c r="K136" s="79">
        <v>24431270</v>
      </c>
      <c r="L136" s="76">
        <v>0.1020098</v>
      </c>
      <c r="M136" s="80">
        <v>4.5025990000000002E-2</v>
      </c>
      <c r="N136" s="80">
        <v>2.8904429999999998E-2</v>
      </c>
      <c r="O136" s="74">
        <v>3</v>
      </c>
      <c r="P136" s="74">
        <v>-3</v>
      </c>
      <c r="Q136" s="74">
        <v>17</v>
      </c>
      <c r="R136" s="79">
        <v>8.0999999999999997E-9</v>
      </c>
      <c r="S136" s="79">
        <f t="shared" si="1"/>
        <v>950798535.50715268</v>
      </c>
    </row>
    <row r="137" spans="1:19" x14ac:dyDescent="0.35">
      <c r="A137" s="72" t="s">
        <v>917</v>
      </c>
      <c r="B137" s="73">
        <v>44854</v>
      </c>
      <c r="C137" s="74">
        <v>20</v>
      </c>
      <c r="D137" s="75">
        <v>44854.439583333333</v>
      </c>
      <c r="E137" s="76">
        <v>43.400000000023283</v>
      </c>
      <c r="F137" s="77">
        <v>2234</v>
      </c>
      <c r="G137" s="77">
        <v>-3162</v>
      </c>
      <c r="H137" s="78">
        <v>0.57871419999999996</v>
      </c>
      <c r="I137" s="79">
        <v>539718800</v>
      </c>
      <c r="J137" s="76">
        <v>9.3102560000000001E-2</v>
      </c>
      <c r="K137" s="79">
        <v>24300350</v>
      </c>
      <c r="L137" s="76">
        <v>9.4175309999999998E-2</v>
      </c>
      <c r="M137" s="80">
        <v>4.5024080000000001E-2</v>
      </c>
      <c r="N137" s="80">
        <v>3.5087359999999998E-2</v>
      </c>
      <c r="O137" s="74">
        <v>2</v>
      </c>
      <c r="P137" s="74">
        <v>-3</v>
      </c>
      <c r="Q137" s="74">
        <v>18</v>
      </c>
      <c r="R137" s="79">
        <v>7.8000000000000004E-9</v>
      </c>
      <c r="S137" s="79">
        <f t="shared" si="1"/>
        <v>932617170.96280003</v>
      </c>
    </row>
    <row r="138" spans="1:19" x14ac:dyDescent="0.35">
      <c r="A138" s="16" t="s">
        <v>480</v>
      </c>
      <c r="B138" s="44">
        <v>44854</v>
      </c>
      <c r="C138" s="45">
        <v>20</v>
      </c>
      <c r="D138" s="46">
        <v>44854.456944444442</v>
      </c>
      <c r="E138" s="47">
        <v>43.816666666651145</v>
      </c>
      <c r="F138" s="45">
        <v>-615</v>
      </c>
      <c r="G138" s="45">
        <v>-498</v>
      </c>
      <c r="H138" s="47">
        <v>0.46836179999999999</v>
      </c>
      <c r="I138" s="48">
        <v>502259500</v>
      </c>
      <c r="J138" s="47">
        <v>0.1308252</v>
      </c>
      <c r="K138" s="48">
        <v>22154220</v>
      </c>
      <c r="L138" s="47">
        <v>0.1320598</v>
      </c>
      <c r="M138" s="49">
        <v>4.410911E-2</v>
      </c>
      <c r="N138" s="49">
        <v>2.4813970000000001E-2</v>
      </c>
      <c r="O138" s="45">
        <v>-2</v>
      </c>
      <c r="P138" s="45">
        <v>16</v>
      </c>
      <c r="Q138" s="45">
        <v>35</v>
      </c>
      <c r="R138" s="48">
        <v>8.9000000000000003E-9</v>
      </c>
      <c r="S138" s="48">
        <f t="shared" si="1"/>
        <v>1072375031.4393702</v>
      </c>
    </row>
    <row r="139" spans="1:19" x14ac:dyDescent="0.35">
      <c r="A139" s="16" t="s">
        <v>481</v>
      </c>
      <c r="B139" s="44">
        <v>44854</v>
      </c>
      <c r="C139" s="45">
        <v>20</v>
      </c>
      <c r="D139" s="46">
        <v>44854.463194444441</v>
      </c>
      <c r="E139" s="47">
        <v>43.96666666661622</v>
      </c>
      <c r="F139" s="45">
        <v>-2789</v>
      </c>
      <c r="G139" s="45">
        <v>-948</v>
      </c>
      <c r="H139" s="47">
        <v>0.46203910000000004</v>
      </c>
      <c r="I139" s="48">
        <v>523830300</v>
      </c>
      <c r="J139" s="47">
        <v>9.7902030000000001E-2</v>
      </c>
      <c r="K139" s="48">
        <v>23140040</v>
      </c>
      <c r="L139" s="47">
        <v>9.735721E-2</v>
      </c>
      <c r="M139" s="49">
        <v>4.4174680000000001E-2</v>
      </c>
      <c r="N139" s="49">
        <v>2.916214E-2</v>
      </c>
      <c r="O139" s="45">
        <v>-30</v>
      </c>
      <c r="P139" s="45">
        <v>18</v>
      </c>
      <c r="Q139" s="45">
        <v>25</v>
      </c>
      <c r="R139" s="48">
        <v>8.9000000000000003E-9</v>
      </c>
      <c r="S139" s="48">
        <f t="shared" si="1"/>
        <v>1133735867.8085902</v>
      </c>
    </row>
    <row r="140" spans="1:19" x14ac:dyDescent="0.35">
      <c r="A140" s="16" t="s">
        <v>482</v>
      </c>
      <c r="B140" s="44">
        <v>44854</v>
      </c>
      <c r="C140" s="45">
        <v>20</v>
      </c>
      <c r="D140" s="46">
        <v>44854.479166666664</v>
      </c>
      <c r="E140" s="47">
        <v>44.349999999976717</v>
      </c>
      <c r="F140" s="45">
        <v>1087</v>
      </c>
      <c r="G140" s="45">
        <v>634</v>
      </c>
      <c r="H140" s="47">
        <v>0.41462069999999995</v>
      </c>
      <c r="I140" s="48">
        <v>494431300</v>
      </c>
      <c r="J140" s="47">
        <v>0.13791390000000001</v>
      </c>
      <c r="K140" s="48">
        <v>21818140</v>
      </c>
      <c r="L140" s="47">
        <v>0.13846449999999999</v>
      </c>
      <c r="M140" s="49">
        <v>4.4127739999999999E-2</v>
      </c>
      <c r="N140" s="49">
        <v>2.465728E-2</v>
      </c>
      <c r="O140" s="45">
        <v>24</v>
      </c>
      <c r="P140" s="45">
        <v>18</v>
      </c>
      <c r="Q140" s="45">
        <v>51</v>
      </c>
      <c r="R140" s="48">
        <v>8.7999999999999994E-9</v>
      </c>
      <c r="S140" s="48">
        <f t="shared" ref="S140:S182" si="2">I140/H140</f>
        <v>1192490630.5932145</v>
      </c>
    </row>
    <row r="141" spans="1:19" x14ac:dyDescent="0.35">
      <c r="A141" s="16" t="s">
        <v>483</v>
      </c>
      <c r="B141" s="44">
        <v>44854</v>
      </c>
      <c r="C141" s="45">
        <v>20</v>
      </c>
      <c r="D141" s="46">
        <v>44854.48333333333</v>
      </c>
      <c r="E141" s="47">
        <v>44.449999999953434</v>
      </c>
      <c r="F141" s="45">
        <v>871</v>
      </c>
      <c r="G141" s="45">
        <v>1168</v>
      </c>
      <c r="H141" s="47">
        <v>0.43125740000000001</v>
      </c>
      <c r="I141" s="48">
        <v>500734100</v>
      </c>
      <c r="J141" s="47">
        <v>0.13177420000000001</v>
      </c>
      <c r="K141" s="48">
        <v>22093820</v>
      </c>
      <c r="L141" s="47">
        <v>0.1324545</v>
      </c>
      <c r="M141" s="49">
        <v>4.4122849999999998E-2</v>
      </c>
      <c r="N141" s="49">
        <v>3.059854E-2</v>
      </c>
      <c r="O141" s="45">
        <v>26</v>
      </c>
      <c r="P141" s="45">
        <v>15</v>
      </c>
      <c r="Q141" s="45">
        <v>34</v>
      </c>
      <c r="R141" s="48">
        <v>8.7999999999999994E-9</v>
      </c>
      <c r="S141" s="48">
        <f t="shared" si="2"/>
        <v>1161102626.8766634</v>
      </c>
    </row>
    <row r="142" spans="1:19" x14ac:dyDescent="0.35">
      <c r="A142" s="16" t="s">
        <v>484</v>
      </c>
      <c r="B142" s="44">
        <v>44854</v>
      </c>
      <c r="C142" s="45">
        <v>20</v>
      </c>
      <c r="D142" s="46">
        <v>44854.487500000003</v>
      </c>
      <c r="E142" s="47">
        <v>44.550000000104774</v>
      </c>
      <c r="F142" s="45">
        <v>-833</v>
      </c>
      <c r="G142" s="45">
        <v>1711</v>
      </c>
      <c r="H142" s="47">
        <v>0.47039969999999998</v>
      </c>
      <c r="I142" s="48">
        <v>505663300</v>
      </c>
      <c r="J142" s="47">
        <v>0.1483737</v>
      </c>
      <c r="K142" s="48">
        <v>22316450</v>
      </c>
      <c r="L142" s="47">
        <v>0.14895620000000001</v>
      </c>
      <c r="M142" s="49">
        <v>4.4133029999999997E-2</v>
      </c>
      <c r="N142" s="49">
        <v>3.3521599999999999E-2</v>
      </c>
      <c r="O142" s="45">
        <v>8</v>
      </c>
      <c r="P142" s="45">
        <v>6</v>
      </c>
      <c r="Q142" s="45">
        <v>42</v>
      </c>
      <c r="R142" s="48">
        <v>8.5999999999999993E-9</v>
      </c>
      <c r="S142" s="48">
        <f t="shared" si="2"/>
        <v>1074965183.8638504</v>
      </c>
    </row>
    <row r="143" spans="1:19" x14ac:dyDescent="0.35">
      <c r="A143" s="16" t="s">
        <v>486</v>
      </c>
      <c r="B143" s="44">
        <v>44854</v>
      </c>
      <c r="C143" s="45">
        <v>20</v>
      </c>
      <c r="D143" s="46">
        <v>44854.508333333331</v>
      </c>
      <c r="E143" s="47">
        <v>45.049999999988358</v>
      </c>
      <c r="F143" s="45">
        <v>-1130</v>
      </c>
      <c r="G143" s="45">
        <v>2559</v>
      </c>
      <c r="H143" s="47">
        <v>0.49765470000000001</v>
      </c>
      <c r="I143" s="48">
        <v>493896600</v>
      </c>
      <c r="J143" s="47">
        <v>0.1815725</v>
      </c>
      <c r="K143" s="48">
        <v>21968900</v>
      </c>
      <c r="L143" s="47">
        <v>0.18183260000000001</v>
      </c>
      <c r="M143" s="49">
        <v>4.4480749999999999E-2</v>
      </c>
      <c r="N143" s="49">
        <v>2.8705340000000003E-2</v>
      </c>
      <c r="O143" s="45">
        <v>7</v>
      </c>
      <c r="P143" s="45">
        <v>12</v>
      </c>
      <c r="Q143" s="45">
        <v>34</v>
      </c>
      <c r="R143" s="48">
        <v>9.5999999999999999E-9</v>
      </c>
      <c r="S143" s="48">
        <f t="shared" si="2"/>
        <v>992448378.36355209</v>
      </c>
    </row>
    <row r="144" spans="1:19" x14ac:dyDescent="0.35">
      <c r="A144" s="16" t="s">
        <v>487</v>
      </c>
      <c r="B144" s="44">
        <v>44854</v>
      </c>
      <c r="C144" s="45">
        <v>20</v>
      </c>
      <c r="D144" s="46">
        <v>44854.511111111111</v>
      </c>
      <c r="E144" s="47">
        <v>45.116666666697711</v>
      </c>
      <c r="F144" s="45">
        <v>-1190</v>
      </c>
      <c r="G144" s="45">
        <v>2565</v>
      </c>
      <c r="H144" s="47">
        <v>0.51032979999999994</v>
      </c>
      <c r="I144" s="48">
        <v>511616000</v>
      </c>
      <c r="J144" s="47">
        <v>0.1682401</v>
      </c>
      <c r="K144" s="48">
        <v>22764140</v>
      </c>
      <c r="L144" s="47">
        <v>0.1685159</v>
      </c>
      <c r="M144" s="49">
        <v>4.4494579999999999E-2</v>
      </c>
      <c r="N144" s="49">
        <v>2.660933E-2</v>
      </c>
      <c r="O144" s="45">
        <v>5</v>
      </c>
      <c r="P144" s="45">
        <v>10</v>
      </c>
      <c r="Q144" s="45">
        <v>32</v>
      </c>
      <c r="R144" s="48">
        <v>9.5999999999999999E-9</v>
      </c>
      <c r="S144" s="48">
        <f t="shared" si="2"/>
        <v>1002520330.9702864</v>
      </c>
    </row>
    <row r="145" spans="1:19" x14ac:dyDescent="0.35">
      <c r="A145" s="16" t="s">
        <v>488</v>
      </c>
      <c r="B145" s="44">
        <v>44854</v>
      </c>
      <c r="C145" s="45">
        <v>20</v>
      </c>
      <c r="D145" s="46">
        <v>44854.513888888891</v>
      </c>
      <c r="E145" s="47">
        <v>45.183333333407063</v>
      </c>
      <c r="F145" s="45">
        <v>-1134</v>
      </c>
      <c r="G145" s="45">
        <v>2333</v>
      </c>
      <c r="H145" s="47">
        <v>0.49213789999999996</v>
      </c>
      <c r="I145" s="48">
        <v>491813000</v>
      </c>
      <c r="J145" s="47">
        <v>0.1642759</v>
      </c>
      <c r="K145" s="48">
        <v>21880280</v>
      </c>
      <c r="L145" s="47">
        <v>0.16441739999999999</v>
      </c>
      <c r="M145" s="49">
        <v>4.4489019999999997E-2</v>
      </c>
      <c r="N145" s="49">
        <v>2.4626290000000002E-2</v>
      </c>
      <c r="O145" s="45">
        <v>6</v>
      </c>
      <c r="P145" s="45">
        <v>14</v>
      </c>
      <c r="Q145" s="45">
        <v>37</v>
      </c>
      <c r="R145" s="48">
        <v>9.5000000000000007E-9</v>
      </c>
      <c r="S145" s="48">
        <f t="shared" si="2"/>
        <v>999339819.18482614</v>
      </c>
    </row>
    <row r="146" spans="1:19" x14ac:dyDescent="0.35">
      <c r="A146" s="16" t="s">
        <v>489</v>
      </c>
      <c r="B146" s="44">
        <v>44854</v>
      </c>
      <c r="C146" s="45">
        <v>20</v>
      </c>
      <c r="D146" s="46">
        <v>44854.51666666667</v>
      </c>
      <c r="E146" s="47">
        <v>45.250000000116415</v>
      </c>
      <c r="F146" s="45">
        <v>-1210</v>
      </c>
      <c r="G146" s="45">
        <v>2192</v>
      </c>
      <c r="H146" s="47">
        <v>0.50614749999999997</v>
      </c>
      <c r="I146" s="48">
        <v>510370000</v>
      </c>
      <c r="J146" s="47">
        <v>0.182671</v>
      </c>
      <c r="K146" s="48">
        <v>22707660</v>
      </c>
      <c r="L146" s="47">
        <v>0.18301509999999999</v>
      </c>
      <c r="M146" s="49">
        <v>4.4492549999999999E-2</v>
      </c>
      <c r="N146" s="49">
        <v>3.1803859999999996E-2</v>
      </c>
      <c r="O146" s="45">
        <v>5</v>
      </c>
      <c r="P146" s="45">
        <v>17</v>
      </c>
      <c r="Q146" s="45">
        <v>34</v>
      </c>
      <c r="R146" s="48">
        <v>9.5999999999999999E-9</v>
      </c>
      <c r="S146" s="48">
        <f t="shared" si="2"/>
        <v>1008342429.8252981</v>
      </c>
    </row>
    <row r="147" spans="1:19" x14ac:dyDescent="0.35">
      <c r="A147" s="16" t="s">
        <v>490</v>
      </c>
      <c r="B147" s="44">
        <v>44854</v>
      </c>
      <c r="C147" s="45">
        <v>20</v>
      </c>
      <c r="D147" s="46">
        <v>44854.527777777781</v>
      </c>
      <c r="E147" s="47">
        <v>45.516666666779201</v>
      </c>
      <c r="F147" s="45">
        <v>-1559</v>
      </c>
      <c r="G147" s="45">
        <v>1828</v>
      </c>
      <c r="H147" s="47">
        <v>0.46084759999999997</v>
      </c>
      <c r="I147" s="48">
        <v>492467400</v>
      </c>
      <c r="J147" s="47">
        <v>0.16760510000000001</v>
      </c>
      <c r="K147" s="48">
        <v>21912650</v>
      </c>
      <c r="L147" s="47">
        <v>0.16897760000000001</v>
      </c>
      <c r="M147" s="49">
        <v>4.4494699999999998E-2</v>
      </c>
      <c r="N147" s="49">
        <v>2.460832E-2</v>
      </c>
      <c r="O147" s="45">
        <v>4</v>
      </c>
      <c r="P147" s="45">
        <v>20</v>
      </c>
      <c r="Q147" s="45">
        <v>27</v>
      </c>
      <c r="R147" s="48">
        <v>9.3999999999999998E-9</v>
      </c>
      <c r="S147" s="48">
        <f t="shared" si="2"/>
        <v>1068612270.0866839</v>
      </c>
    </row>
    <row r="148" spans="1:19" x14ac:dyDescent="0.35">
      <c r="A148" s="16" t="s">
        <v>491</v>
      </c>
      <c r="B148" s="44">
        <v>44854</v>
      </c>
      <c r="C148" s="45">
        <v>20</v>
      </c>
      <c r="D148" s="46">
        <v>44854.530555555553</v>
      </c>
      <c r="E148" s="47">
        <v>45.583333333313931</v>
      </c>
      <c r="F148" s="45">
        <v>-1437</v>
      </c>
      <c r="G148" s="45">
        <v>1699</v>
      </c>
      <c r="H148" s="47">
        <v>0.46824290000000002</v>
      </c>
      <c r="I148" s="48">
        <v>497441700</v>
      </c>
      <c r="J148" s="47">
        <v>0.15496270000000001</v>
      </c>
      <c r="K148" s="48">
        <v>22128920</v>
      </c>
      <c r="L148" s="47">
        <v>0.15620100000000001</v>
      </c>
      <c r="M148" s="49">
        <v>4.4485429999999999E-2</v>
      </c>
      <c r="N148" s="49">
        <v>3.2280459999999997E-2</v>
      </c>
      <c r="O148" s="45">
        <v>2</v>
      </c>
      <c r="P148" s="45">
        <v>19</v>
      </c>
      <c r="Q148" s="45">
        <v>31</v>
      </c>
      <c r="R148" s="48">
        <v>9.3999999999999998E-9</v>
      </c>
      <c r="S148" s="48">
        <f t="shared" si="2"/>
        <v>1062358233.3015621</v>
      </c>
    </row>
    <row r="149" spans="1:19" x14ac:dyDescent="0.35">
      <c r="A149" s="16" t="s">
        <v>492</v>
      </c>
      <c r="B149" s="44">
        <v>44854</v>
      </c>
      <c r="C149" s="45">
        <v>20</v>
      </c>
      <c r="D149" s="46">
        <v>44854.533333333333</v>
      </c>
      <c r="E149" s="47">
        <v>45.650000000023283</v>
      </c>
      <c r="F149" s="45">
        <v>-1796</v>
      </c>
      <c r="G149" s="45">
        <v>1721</v>
      </c>
      <c r="H149" s="47">
        <v>0.48459010000000002</v>
      </c>
      <c r="I149" s="48">
        <v>492380400</v>
      </c>
      <c r="J149" s="47">
        <v>0.1646098</v>
      </c>
      <c r="K149" s="48">
        <v>21901560</v>
      </c>
      <c r="L149" s="47">
        <v>0.16557050000000001</v>
      </c>
      <c r="M149" s="49">
        <v>4.448096E-2</v>
      </c>
      <c r="N149" s="49">
        <v>2.5688260000000001E-2</v>
      </c>
      <c r="O149" s="45">
        <v>-2</v>
      </c>
      <c r="P149" s="45">
        <v>21</v>
      </c>
      <c r="Q149" s="45">
        <v>34</v>
      </c>
      <c r="R149" s="48">
        <v>9.3000000000000006E-9</v>
      </c>
      <c r="S149" s="48">
        <f t="shared" si="2"/>
        <v>1016076060.9843247</v>
      </c>
    </row>
    <row r="150" spans="1:19" x14ac:dyDescent="0.35">
      <c r="A150" s="16" t="s">
        <v>493</v>
      </c>
      <c r="B150" s="44">
        <v>44854</v>
      </c>
      <c r="C150" s="45">
        <v>20</v>
      </c>
      <c r="D150" s="46">
        <v>44854.536111111112</v>
      </c>
      <c r="E150" s="47">
        <v>45.716666666732635</v>
      </c>
      <c r="F150" s="45">
        <v>-2079</v>
      </c>
      <c r="G150" s="45">
        <v>1316</v>
      </c>
      <c r="H150" s="47">
        <v>0.46412159999999997</v>
      </c>
      <c r="I150" s="48">
        <v>490069100</v>
      </c>
      <c r="J150" s="47">
        <v>0.16088459999999999</v>
      </c>
      <c r="K150" s="48">
        <v>21807930</v>
      </c>
      <c r="L150" s="47">
        <v>0.1616592</v>
      </c>
      <c r="M150" s="49">
        <v>4.4499690000000001E-2</v>
      </c>
      <c r="N150" s="49">
        <v>3.5290099999999998E-2</v>
      </c>
      <c r="O150" s="45">
        <v>-1</v>
      </c>
      <c r="P150" s="45">
        <v>21</v>
      </c>
      <c r="Q150" s="45">
        <v>18</v>
      </c>
      <c r="R150" s="48">
        <v>9.3000000000000006E-9</v>
      </c>
      <c r="S150" s="48">
        <f t="shared" si="2"/>
        <v>1055906684.7998456</v>
      </c>
    </row>
    <row r="151" spans="1:19" x14ac:dyDescent="0.35">
      <c r="A151" s="16" t="s">
        <v>494</v>
      </c>
      <c r="B151" s="44">
        <v>44854</v>
      </c>
      <c r="C151" s="45">
        <v>20</v>
      </c>
      <c r="D151" s="46">
        <v>44854.538888888892</v>
      </c>
      <c r="E151" s="47">
        <v>45.783333333441988</v>
      </c>
      <c r="F151" s="45">
        <v>-1932</v>
      </c>
      <c r="G151" s="45">
        <v>1336</v>
      </c>
      <c r="H151" s="47">
        <v>0.49541180000000001</v>
      </c>
      <c r="I151" s="48">
        <v>493376200</v>
      </c>
      <c r="J151" s="47">
        <v>0.177624</v>
      </c>
      <c r="K151" s="48">
        <v>21940210</v>
      </c>
      <c r="L151" s="47">
        <v>0.17872669999999999</v>
      </c>
      <c r="M151" s="49">
        <v>4.4469519999999998E-2</v>
      </c>
      <c r="N151" s="49">
        <v>2.5942629999999998E-2</v>
      </c>
      <c r="O151" s="45">
        <v>-5</v>
      </c>
      <c r="P151" s="45">
        <v>18</v>
      </c>
      <c r="Q151" s="45">
        <v>32</v>
      </c>
      <c r="R151" s="48">
        <v>9.1999999999999997E-9</v>
      </c>
      <c r="S151" s="48">
        <f t="shared" si="2"/>
        <v>995891095.04456699</v>
      </c>
    </row>
    <row r="152" spans="1:19" x14ac:dyDescent="0.35">
      <c r="A152" s="16" t="s">
        <v>495</v>
      </c>
      <c r="B152" s="44">
        <v>44854</v>
      </c>
      <c r="C152" s="45">
        <v>20</v>
      </c>
      <c r="D152" s="46">
        <v>44854.541666666664</v>
      </c>
      <c r="E152" s="47">
        <v>45.849999999976717</v>
      </c>
      <c r="F152" s="45">
        <v>-2062</v>
      </c>
      <c r="G152" s="45">
        <v>780</v>
      </c>
      <c r="H152" s="47">
        <v>0.50158350000000007</v>
      </c>
      <c r="I152" s="48">
        <v>499264200</v>
      </c>
      <c r="J152" s="47">
        <v>0.16623650000000001</v>
      </c>
      <c r="K152" s="48">
        <v>22203180</v>
      </c>
      <c r="L152" s="47">
        <v>0.1664554</v>
      </c>
      <c r="M152" s="49">
        <v>4.4471810000000001E-2</v>
      </c>
      <c r="N152" s="49">
        <v>2.4642790000000001E-2</v>
      </c>
      <c r="O152" s="45">
        <v>-9</v>
      </c>
      <c r="P152" s="45">
        <v>19</v>
      </c>
      <c r="Q152" s="45">
        <v>34</v>
      </c>
      <c r="R152" s="48">
        <v>9.1999999999999997E-9</v>
      </c>
      <c r="S152" s="48">
        <f t="shared" si="2"/>
        <v>995376044.06843507</v>
      </c>
    </row>
    <row r="153" spans="1:19" x14ac:dyDescent="0.35">
      <c r="A153" s="16" t="s">
        <v>496</v>
      </c>
      <c r="B153" s="44">
        <v>44854</v>
      </c>
      <c r="C153" s="45">
        <v>20</v>
      </c>
      <c r="D153" s="46">
        <v>44854.544444444444</v>
      </c>
      <c r="E153" s="47">
        <v>45.916666666686069</v>
      </c>
      <c r="F153" s="45">
        <v>-2748</v>
      </c>
      <c r="G153" s="45">
        <v>980</v>
      </c>
      <c r="H153" s="47">
        <v>0.50483480000000003</v>
      </c>
      <c r="I153" s="48">
        <v>496892500</v>
      </c>
      <c r="J153" s="47">
        <v>0.16607569999999999</v>
      </c>
      <c r="K153" s="48">
        <v>22109110</v>
      </c>
      <c r="L153" s="47">
        <v>0.16708110000000001</v>
      </c>
      <c r="M153" s="49">
        <v>4.4495560000000003E-2</v>
      </c>
      <c r="N153" s="49">
        <v>2.4498559999999999E-2</v>
      </c>
      <c r="O153" s="45">
        <v>-14</v>
      </c>
      <c r="P153" s="45">
        <v>18</v>
      </c>
      <c r="Q153" s="45">
        <v>33</v>
      </c>
      <c r="R153" s="48">
        <v>9.1000000000000004E-9</v>
      </c>
      <c r="S153" s="48">
        <f t="shared" si="2"/>
        <v>984267526.72359347</v>
      </c>
    </row>
    <row r="154" spans="1:19" x14ac:dyDescent="0.35">
      <c r="A154" s="16" t="s">
        <v>497</v>
      </c>
      <c r="B154" s="44">
        <v>44854</v>
      </c>
      <c r="C154" s="45">
        <v>20</v>
      </c>
      <c r="D154" s="46">
        <v>44854.547222222223</v>
      </c>
      <c r="E154" s="47">
        <v>45.983333333395422</v>
      </c>
      <c r="F154" s="45">
        <v>-2768</v>
      </c>
      <c r="G154" s="45">
        <v>894</v>
      </c>
      <c r="H154" s="47">
        <v>0.50466660000000008</v>
      </c>
      <c r="I154" s="48">
        <v>488989800</v>
      </c>
      <c r="J154" s="47">
        <v>0.2054723</v>
      </c>
      <c r="K154" s="48">
        <v>21755850</v>
      </c>
      <c r="L154" s="47">
        <v>0.2060601</v>
      </c>
      <c r="M154" s="49">
        <v>4.4491410000000002E-2</v>
      </c>
      <c r="N154" s="49">
        <v>2.469669E-2</v>
      </c>
      <c r="O154" s="45">
        <v>-15</v>
      </c>
      <c r="P154" s="45">
        <v>19</v>
      </c>
      <c r="Q154" s="45">
        <v>33</v>
      </c>
      <c r="R154" s="48">
        <v>9.1000000000000004E-9</v>
      </c>
      <c r="S154" s="48">
        <f t="shared" si="2"/>
        <v>968936323.50545871</v>
      </c>
    </row>
    <row r="155" spans="1:19" x14ac:dyDescent="0.35">
      <c r="A155" s="16" t="s">
        <v>498</v>
      </c>
      <c r="B155" s="44">
        <v>44854</v>
      </c>
      <c r="C155" s="45">
        <v>20</v>
      </c>
      <c r="D155" s="46">
        <v>44854.55</v>
      </c>
      <c r="E155" s="47">
        <v>46.050000000104774</v>
      </c>
      <c r="F155" s="45">
        <v>-2698</v>
      </c>
      <c r="G155" s="45">
        <v>1588</v>
      </c>
      <c r="H155" s="47">
        <v>0.49059979999999997</v>
      </c>
      <c r="I155" s="48">
        <v>520315000</v>
      </c>
      <c r="J155" s="47">
        <v>0.24176400000000001</v>
      </c>
      <c r="K155" s="48">
        <v>23137270</v>
      </c>
      <c r="L155" s="47">
        <v>0.24263499999999999</v>
      </c>
      <c r="M155" s="49">
        <v>4.4467800000000002E-2</v>
      </c>
      <c r="N155" s="49">
        <v>2.5640580000000003E-2</v>
      </c>
      <c r="O155" s="45">
        <v>-9</v>
      </c>
      <c r="P155" s="45">
        <v>17</v>
      </c>
      <c r="Q155" s="45">
        <v>25</v>
      </c>
      <c r="R155" s="48">
        <v>9.1000000000000004E-9</v>
      </c>
      <c r="S155" s="48">
        <f t="shared" si="2"/>
        <v>1060569123.7542291</v>
      </c>
    </row>
    <row r="156" spans="1:19" x14ac:dyDescent="0.35">
      <c r="A156" s="16" t="s">
        <v>499</v>
      </c>
      <c r="B156" s="44">
        <v>44854</v>
      </c>
      <c r="C156" s="45">
        <v>20</v>
      </c>
      <c r="D156" s="46">
        <v>44854.552777777775</v>
      </c>
      <c r="E156" s="47">
        <v>46.116666666639503</v>
      </c>
      <c r="F156" s="45">
        <v>-2264</v>
      </c>
      <c r="G156" s="45">
        <v>1440</v>
      </c>
      <c r="H156" s="47">
        <v>0.60403220000000002</v>
      </c>
      <c r="I156" s="48">
        <v>533490400</v>
      </c>
      <c r="J156" s="47">
        <v>0.17126530000000001</v>
      </c>
      <c r="K156" s="48">
        <v>23724740</v>
      </c>
      <c r="L156" s="47">
        <v>0.17137140000000001</v>
      </c>
      <c r="M156" s="49">
        <v>4.4470790000000003E-2</v>
      </c>
      <c r="N156" s="49">
        <v>2.9628599999999998E-2</v>
      </c>
      <c r="O156" s="45">
        <v>-9</v>
      </c>
      <c r="P156" s="45">
        <v>22</v>
      </c>
      <c r="Q156" s="45">
        <v>61</v>
      </c>
      <c r="R156" s="48">
        <v>9.1999999999999997E-9</v>
      </c>
      <c r="S156" s="48">
        <f t="shared" si="2"/>
        <v>883215166.34378099</v>
      </c>
    </row>
    <row r="157" spans="1:19" x14ac:dyDescent="0.35">
      <c r="A157" s="72" t="s">
        <v>918</v>
      </c>
      <c r="B157" s="73">
        <v>44854</v>
      </c>
      <c r="C157" s="74">
        <v>20</v>
      </c>
      <c r="D157" s="75">
        <v>44854.564583333333</v>
      </c>
      <c r="E157" s="76">
        <v>46.400000000023283</v>
      </c>
      <c r="F157" s="77">
        <v>2124</v>
      </c>
      <c r="G157" s="77">
        <v>-3254</v>
      </c>
      <c r="H157" s="78">
        <v>0.63518790000000003</v>
      </c>
      <c r="I157" s="79">
        <v>565863300</v>
      </c>
      <c r="J157" s="76">
        <v>0.1039542</v>
      </c>
      <c r="K157" s="79">
        <v>25476770</v>
      </c>
      <c r="L157" s="76">
        <v>0.10429099999999999</v>
      </c>
      <c r="M157" s="80">
        <v>4.502283E-2</v>
      </c>
      <c r="N157" s="80">
        <v>2.2823940000000001E-2</v>
      </c>
      <c r="O157" s="74">
        <v>-5</v>
      </c>
      <c r="P157" s="74">
        <v>-3</v>
      </c>
      <c r="Q157" s="74">
        <v>16</v>
      </c>
      <c r="R157" s="79">
        <v>7.6999999999999995E-9</v>
      </c>
      <c r="S157" s="79">
        <f t="shared" si="2"/>
        <v>890859696.79208302</v>
      </c>
    </row>
    <row r="158" spans="1:19" x14ac:dyDescent="0.35">
      <c r="A158" s="72" t="s">
        <v>919</v>
      </c>
      <c r="B158" s="73">
        <v>44854</v>
      </c>
      <c r="C158" s="74">
        <v>20</v>
      </c>
      <c r="D158" s="75">
        <v>44854.567361111112</v>
      </c>
      <c r="E158" s="76">
        <v>46.466666666732635</v>
      </c>
      <c r="F158" s="77">
        <v>2074</v>
      </c>
      <c r="G158" s="77">
        <v>-3254</v>
      </c>
      <c r="H158" s="78">
        <v>0.65418869999999996</v>
      </c>
      <c r="I158" s="79">
        <v>566096700</v>
      </c>
      <c r="J158" s="76">
        <v>0.1019983</v>
      </c>
      <c r="K158" s="79">
        <v>25489070</v>
      </c>
      <c r="L158" s="76">
        <v>0.1021619</v>
      </c>
      <c r="M158" s="80">
        <v>4.5025999999999997E-2</v>
      </c>
      <c r="N158" s="80">
        <v>3.4642619999999999E-2</v>
      </c>
      <c r="O158" s="74">
        <v>-6</v>
      </c>
      <c r="P158" s="74">
        <v>-4</v>
      </c>
      <c r="Q158" s="74">
        <v>15</v>
      </c>
      <c r="R158" s="79">
        <v>7.6000000000000002E-9</v>
      </c>
      <c r="S158" s="79">
        <f t="shared" si="2"/>
        <v>865341605.5642662</v>
      </c>
    </row>
    <row r="159" spans="1:19" x14ac:dyDescent="0.35">
      <c r="A159" s="72" t="s">
        <v>920</v>
      </c>
      <c r="B159" s="73">
        <v>44854</v>
      </c>
      <c r="C159" s="74">
        <v>20</v>
      </c>
      <c r="D159" s="75">
        <v>44854.570138888892</v>
      </c>
      <c r="E159" s="76">
        <v>46.533333333441988</v>
      </c>
      <c r="F159" s="77">
        <v>2024</v>
      </c>
      <c r="G159" s="77">
        <v>-3254</v>
      </c>
      <c r="H159" s="78">
        <v>0.65822859999999994</v>
      </c>
      <c r="I159" s="79">
        <v>565498300</v>
      </c>
      <c r="J159" s="76">
        <v>0.1006039</v>
      </c>
      <c r="K159" s="79">
        <v>25460760</v>
      </c>
      <c r="L159" s="76">
        <v>0.10134600000000001</v>
      </c>
      <c r="M159" s="80">
        <v>4.5023580000000001E-2</v>
      </c>
      <c r="N159" s="80">
        <v>2.2831180000000003E-2</v>
      </c>
      <c r="O159" s="74">
        <v>-6</v>
      </c>
      <c r="P159" s="74">
        <v>-3</v>
      </c>
      <c r="Q159" s="74">
        <v>16</v>
      </c>
      <c r="R159" s="79">
        <v>7.4999999999999993E-9</v>
      </c>
      <c r="S159" s="79">
        <f t="shared" si="2"/>
        <v>859121435.92666745</v>
      </c>
    </row>
    <row r="160" spans="1:19" x14ac:dyDescent="0.35">
      <c r="A160" s="16" t="s">
        <v>501</v>
      </c>
      <c r="B160" s="44">
        <v>44854</v>
      </c>
      <c r="C160" s="45">
        <v>20</v>
      </c>
      <c r="D160" s="46">
        <v>44854.584027777775</v>
      </c>
      <c r="E160" s="47">
        <v>46.866666666639503</v>
      </c>
      <c r="F160" s="45">
        <v>-1079</v>
      </c>
      <c r="G160" s="45">
        <v>330</v>
      </c>
      <c r="H160" s="47">
        <v>0.61367349999999998</v>
      </c>
      <c r="I160" s="48">
        <v>548398200</v>
      </c>
      <c r="J160" s="47">
        <v>9.4697370000000003E-2</v>
      </c>
      <c r="K160" s="48">
        <v>24219970</v>
      </c>
      <c r="L160" s="47">
        <v>9.5166420000000002E-2</v>
      </c>
      <c r="M160" s="49">
        <v>4.4164929999999998E-2</v>
      </c>
      <c r="N160" s="49">
        <v>2.5752050000000002E-2</v>
      </c>
      <c r="O160" s="45">
        <v>-63</v>
      </c>
      <c r="P160" s="45">
        <v>-4</v>
      </c>
      <c r="Q160" s="45">
        <v>49</v>
      </c>
      <c r="R160" s="48">
        <v>1.4999999999999999E-8</v>
      </c>
      <c r="S160" s="48">
        <f t="shared" si="2"/>
        <v>893631874.27842331</v>
      </c>
    </row>
    <row r="161" spans="1:19" x14ac:dyDescent="0.35">
      <c r="A161" s="16" t="s">
        <v>502</v>
      </c>
      <c r="B161" s="44">
        <v>44854</v>
      </c>
      <c r="C161" s="45">
        <v>20</v>
      </c>
      <c r="D161" s="46">
        <v>44854.588888888888</v>
      </c>
      <c r="E161" s="47">
        <v>46.983333333337214</v>
      </c>
      <c r="F161" s="45">
        <v>-1033</v>
      </c>
      <c r="G161" s="45">
        <v>242</v>
      </c>
      <c r="H161" s="47">
        <v>0.66314309999999999</v>
      </c>
      <c r="I161" s="48">
        <v>546485300</v>
      </c>
      <c r="J161" s="47">
        <v>7.4475089999999994E-2</v>
      </c>
      <c r="K161" s="48">
        <v>24124840</v>
      </c>
      <c r="L161" s="47">
        <v>7.5699710000000003E-2</v>
      </c>
      <c r="M161" s="49">
        <v>4.4145450000000003E-2</v>
      </c>
      <c r="N161" s="49">
        <v>3.139281E-2</v>
      </c>
      <c r="O161" s="45">
        <v>-66</v>
      </c>
      <c r="P161" s="45">
        <v>-9</v>
      </c>
      <c r="Q161" s="45">
        <v>54</v>
      </c>
      <c r="R161" s="48">
        <v>1.4999999999999999E-8</v>
      </c>
      <c r="S161" s="48">
        <f t="shared" si="2"/>
        <v>824083519.83154166</v>
      </c>
    </row>
    <row r="162" spans="1:19" x14ac:dyDescent="0.35">
      <c r="A162" s="16" t="s">
        <v>503</v>
      </c>
      <c r="B162" s="44">
        <v>44854</v>
      </c>
      <c r="C162" s="45">
        <v>20</v>
      </c>
      <c r="D162" s="46">
        <v>44854.594444444447</v>
      </c>
      <c r="E162" s="47">
        <v>47.116666666755918</v>
      </c>
      <c r="F162" s="45">
        <v>-2636</v>
      </c>
      <c r="G162" s="45">
        <v>-1174</v>
      </c>
      <c r="H162" s="47">
        <v>0.68293329999999997</v>
      </c>
      <c r="I162" s="48">
        <v>514548700</v>
      </c>
      <c r="J162" s="47">
        <v>0.10132670000000001</v>
      </c>
      <c r="K162" s="48">
        <v>22715080</v>
      </c>
      <c r="L162" s="47">
        <v>0.10026640000000001</v>
      </c>
      <c r="M162" s="49">
        <v>4.414564E-2</v>
      </c>
      <c r="N162" s="49">
        <v>3.1449299999999999E-2</v>
      </c>
      <c r="O162" s="45">
        <v>12</v>
      </c>
      <c r="P162" s="45">
        <v>-7</v>
      </c>
      <c r="Q162" s="45">
        <v>25</v>
      </c>
      <c r="R162" s="48">
        <v>1.4999999999999999E-8</v>
      </c>
      <c r="S162" s="48">
        <f t="shared" si="2"/>
        <v>753439171.87813222</v>
      </c>
    </row>
    <row r="163" spans="1:19" x14ac:dyDescent="0.35">
      <c r="A163" s="16" t="s">
        <v>504</v>
      </c>
      <c r="B163" s="44">
        <v>44854</v>
      </c>
      <c r="C163" s="45">
        <v>20</v>
      </c>
      <c r="D163" s="46">
        <v>44854.598611111112</v>
      </c>
      <c r="E163" s="47">
        <v>47.216666666732635</v>
      </c>
      <c r="F163" s="45">
        <v>-2847</v>
      </c>
      <c r="G163" s="45">
        <v>-902</v>
      </c>
      <c r="H163" s="47">
        <v>0.67988380000000004</v>
      </c>
      <c r="I163" s="48">
        <v>554521800</v>
      </c>
      <c r="J163" s="47">
        <v>7.7426960000000003E-2</v>
      </c>
      <c r="K163" s="48">
        <v>24495630</v>
      </c>
      <c r="L163" s="47">
        <v>7.8114349999999999E-2</v>
      </c>
      <c r="M163" s="49">
        <v>4.4174320000000003E-2</v>
      </c>
      <c r="N163" s="49">
        <v>2.5147320000000001E-2</v>
      </c>
      <c r="O163" s="45">
        <v>11</v>
      </c>
      <c r="P163" s="45">
        <v>-5</v>
      </c>
      <c r="Q163" s="45">
        <v>14</v>
      </c>
      <c r="R163" s="48">
        <v>1.4999999999999999E-8</v>
      </c>
      <c r="S163" s="48">
        <f t="shared" si="2"/>
        <v>815612609.09584844</v>
      </c>
    </row>
    <row r="164" spans="1:19" x14ac:dyDescent="0.35">
      <c r="A164" s="16" t="s">
        <v>505</v>
      </c>
      <c r="B164" s="44">
        <v>44854</v>
      </c>
      <c r="C164" s="45">
        <v>20</v>
      </c>
      <c r="D164" s="46">
        <v>44854.604166666664</v>
      </c>
      <c r="E164" s="47">
        <v>47.349999999976717</v>
      </c>
      <c r="F164" s="45">
        <v>-2622</v>
      </c>
      <c r="G164" s="45">
        <v>-17</v>
      </c>
      <c r="H164" s="47">
        <v>0.5213276</v>
      </c>
      <c r="I164" s="48">
        <v>530687600</v>
      </c>
      <c r="J164" s="47">
        <v>7.8406459999999997E-2</v>
      </c>
      <c r="K164" s="48">
        <v>23423260</v>
      </c>
      <c r="L164" s="47">
        <v>7.6846330000000004E-2</v>
      </c>
      <c r="M164" s="49">
        <v>4.4137570000000001E-2</v>
      </c>
      <c r="N164" s="49">
        <v>2.548541E-2</v>
      </c>
      <c r="O164" s="45">
        <v>16</v>
      </c>
      <c r="P164" s="45">
        <v>14</v>
      </c>
      <c r="Q164" s="45">
        <v>25</v>
      </c>
      <c r="R164" s="48">
        <v>1.4999999999999999E-8</v>
      </c>
      <c r="S164" s="48">
        <f t="shared" si="2"/>
        <v>1017954161.6442329</v>
      </c>
    </row>
    <row r="165" spans="1:19" x14ac:dyDescent="0.35">
      <c r="A165" s="16" t="s">
        <v>506</v>
      </c>
      <c r="B165" s="44">
        <v>44854</v>
      </c>
      <c r="C165" s="45">
        <v>20</v>
      </c>
      <c r="D165" s="46">
        <v>44854.60833333333</v>
      </c>
      <c r="E165" s="47">
        <v>47.449999999953434</v>
      </c>
      <c r="F165" s="45">
        <v>56</v>
      </c>
      <c r="G165" s="45">
        <v>-5335</v>
      </c>
      <c r="H165" s="47">
        <v>0.56153689999999989</v>
      </c>
      <c r="I165" s="48">
        <v>517355700</v>
      </c>
      <c r="J165" s="47">
        <v>9.1729770000000002E-2</v>
      </c>
      <c r="K165" s="48">
        <v>22832640</v>
      </c>
      <c r="L165" s="47">
        <v>9.1451359999999995E-2</v>
      </c>
      <c r="M165" s="49">
        <v>4.4133350000000002E-2</v>
      </c>
      <c r="N165" s="49">
        <v>2.4101830000000001E-2</v>
      </c>
      <c r="O165" s="45">
        <v>64</v>
      </c>
      <c r="P165" s="45">
        <v>40</v>
      </c>
      <c r="Q165" s="45">
        <v>-15</v>
      </c>
      <c r="R165" s="48">
        <v>1.4999999999999999E-8</v>
      </c>
      <c r="S165" s="48">
        <f t="shared" si="2"/>
        <v>921320931.89245462</v>
      </c>
    </row>
    <row r="166" spans="1:19" x14ac:dyDescent="0.35">
      <c r="A166" s="16" t="s">
        <v>507</v>
      </c>
      <c r="B166" s="44">
        <v>44854</v>
      </c>
      <c r="C166" s="45">
        <v>20</v>
      </c>
      <c r="D166" s="46">
        <v>44854.615972222222</v>
      </c>
      <c r="E166" s="47">
        <v>47.633333333360497</v>
      </c>
      <c r="F166" s="45">
        <v>64</v>
      </c>
      <c r="G166" s="45">
        <v>-4492</v>
      </c>
      <c r="H166" s="47">
        <v>0.51341600000000009</v>
      </c>
      <c r="I166" s="48">
        <v>528048200</v>
      </c>
      <c r="J166" s="47">
        <v>0.1134913</v>
      </c>
      <c r="K166" s="48">
        <v>23324390</v>
      </c>
      <c r="L166" s="47">
        <v>0.11389970000000001</v>
      </c>
      <c r="M166" s="49">
        <v>4.4170939999999999E-2</v>
      </c>
      <c r="N166" s="49">
        <v>2.3845870000000002E-2</v>
      </c>
      <c r="O166" s="45">
        <v>-4</v>
      </c>
      <c r="P166" s="45">
        <v>-5</v>
      </c>
      <c r="Q166" s="45">
        <v>1</v>
      </c>
      <c r="R166" s="48">
        <v>1.4999999999999999E-8</v>
      </c>
      <c r="S166" s="48">
        <f t="shared" si="2"/>
        <v>1028499696.1528271</v>
      </c>
    </row>
    <row r="167" spans="1:19" x14ac:dyDescent="0.35">
      <c r="A167" s="16" t="s">
        <v>509</v>
      </c>
      <c r="B167" s="44">
        <v>44854</v>
      </c>
      <c r="C167" s="45">
        <v>20</v>
      </c>
      <c r="D167" s="46">
        <v>44854.630555555559</v>
      </c>
      <c r="E167" s="47">
        <v>47.983333333453629</v>
      </c>
      <c r="F167" s="45">
        <v>790</v>
      </c>
      <c r="G167" s="45">
        <v>352</v>
      </c>
      <c r="H167" s="47">
        <v>0.58321880000000004</v>
      </c>
      <c r="I167" s="48">
        <v>519551600</v>
      </c>
      <c r="J167" s="47">
        <v>0.19492010000000001</v>
      </c>
      <c r="K167" s="48">
        <v>22943580</v>
      </c>
      <c r="L167" s="47">
        <v>0.19537760000000001</v>
      </c>
      <c r="M167" s="49">
        <v>4.4160329999999998E-2</v>
      </c>
      <c r="N167" s="49">
        <v>2.4043780000000001E-2</v>
      </c>
      <c r="O167" s="45">
        <v>-3</v>
      </c>
      <c r="P167" s="45">
        <v>-10</v>
      </c>
      <c r="Q167" s="45">
        <v>61</v>
      </c>
      <c r="R167" s="48">
        <v>9.3999999999999998E-9</v>
      </c>
      <c r="S167" s="48">
        <f t="shared" si="2"/>
        <v>890834794.76313174</v>
      </c>
    </row>
    <row r="168" spans="1:19" x14ac:dyDescent="0.35">
      <c r="A168" s="16" t="s">
        <v>510</v>
      </c>
      <c r="B168" s="44">
        <v>44854</v>
      </c>
      <c r="C168" s="45">
        <v>20</v>
      </c>
      <c r="D168" s="46">
        <v>44854.633333333331</v>
      </c>
      <c r="E168" s="47">
        <v>48.049999999988358</v>
      </c>
      <c r="F168" s="45">
        <v>828</v>
      </c>
      <c r="G168" s="45">
        <v>290</v>
      </c>
      <c r="H168" s="47">
        <v>0.5903621</v>
      </c>
      <c r="I168" s="48">
        <v>509644300</v>
      </c>
      <c r="J168" s="47">
        <v>0.19468540000000001</v>
      </c>
      <c r="K168" s="48">
        <v>22490070</v>
      </c>
      <c r="L168" s="47">
        <v>0.19612019999999999</v>
      </c>
      <c r="M168" s="49">
        <v>4.4128929999999997E-2</v>
      </c>
      <c r="N168" s="49">
        <v>3.7356310000000004E-2</v>
      </c>
      <c r="O168" s="45">
        <v>-4</v>
      </c>
      <c r="P168" s="45">
        <v>-9</v>
      </c>
      <c r="Q168" s="45">
        <v>55</v>
      </c>
      <c r="R168" s="48">
        <v>9.1000000000000004E-9</v>
      </c>
      <c r="S168" s="48">
        <f t="shared" si="2"/>
        <v>863274082.12688446</v>
      </c>
    </row>
    <row r="169" spans="1:19" x14ac:dyDescent="0.35">
      <c r="A169" s="16" t="s">
        <v>511</v>
      </c>
      <c r="B169" s="44">
        <v>44854</v>
      </c>
      <c r="C169" s="45">
        <v>20</v>
      </c>
      <c r="D169" s="46">
        <v>44854.636111111111</v>
      </c>
      <c r="E169" s="47">
        <v>48.116666666697711</v>
      </c>
      <c r="F169" s="45">
        <v>984</v>
      </c>
      <c r="G169" s="45">
        <v>-15</v>
      </c>
      <c r="H169" s="47">
        <v>0.57790839999999999</v>
      </c>
      <c r="I169" s="48">
        <v>508335500</v>
      </c>
      <c r="J169" s="47">
        <v>0.20586850000000001</v>
      </c>
      <c r="K169" s="48">
        <v>22428060</v>
      </c>
      <c r="L169" s="47">
        <v>0.20733099999999999</v>
      </c>
      <c r="M169" s="49">
        <v>4.4120550000000001E-2</v>
      </c>
      <c r="N169" s="49">
        <v>2.7837780000000003E-2</v>
      </c>
      <c r="O169" s="45">
        <v>-4</v>
      </c>
      <c r="P169" s="45">
        <v>-10</v>
      </c>
      <c r="Q169" s="45">
        <v>57</v>
      </c>
      <c r="R169" s="48">
        <v>9.1000000000000004E-9</v>
      </c>
      <c r="S169" s="48">
        <f t="shared" si="2"/>
        <v>879612582.20160842</v>
      </c>
    </row>
    <row r="170" spans="1:19" x14ac:dyDescent="0.35">
      <c r="A170" s="16" t="s">
        <v>512</v>
      </c>
      <c r="B170" s="44">
        <v>44854</v>
      </c>
      <c r="C170" s="45">
        <v>20</v>
      </c>
      <c r="D170" s="46">
        <v>44854.638888888891</v>
      </c>
      <c r="E170" s="47">
        <v>48.183333333407063</v>
      </c>
      <c r="F170" s="45">
        <v>1021</v>
      </c>
      <c r="G170" s="45">
        <v>380</v>
      </c>
      <c r="H170" s="47">
        <v>0.58192319999999997</v>
      </c>
      <c r="I170" s="48">
        <v>525531100</v>
      </c>
      <c r="J170" s="47">
        <v>0.18447569999999999</v>
      </c>
      <c r="K170" s="48">
        <v>23191630</v>
      </c>
      <c r="L170" s="47">
        <v>0.18585589999999999</v>
      </c>
      <c r="M170" s="49">
        <v>4.412986E-2</v>
      </c>
      <c r="N170" s="49">
        <v>2.6069690000000003E-2</v>
      </c>
      <c r="O170" s="45">
        <v>4</v>
      </c>
      <c r="P170" s="45">
        <v>-14</v>
      </c>
      <c r="Q170" s="45">
        <v>36</v>
      </c>
      <c r="R170" s="48">
        <v>8.9000000000000003E-9</v>
      </c>
      <c r="S170" s="48">
        <f t="shared" si="2"/>
        <v>903093569.7356627</v>
      </c>
    </row>
    <row r="171" spans="1:19" x14ac:dyDescent="0.35">
      <c r="A171" s="16" t="s">
        <v>513</v>
      </c>
      <c r="B171" s="44">
        <v>44854</v>
      </c>
      <c r="C171" s="45">
        <v>20</v>
      </c>
      <c r="D171" s="46">
        <v>44854.64166666667</v>
      </c>
      <c r="E171" s="47">
        <v>48.250000000116415</v>
      </c>
      <c r="F171" s="45">
        <v>867</v>
      </c>
      <c r="G171" s="45">
        <v>559</v>
      </c>
      <c r="H171" s="47">
        <v>0.58707009999999993</v>
      </c>
      <c r="I171" s="48">
        <v>526249600</v>
      </c>
      <c r="J171" s="47">
        <v>0.1932652</v>
      </c>
      <c r="K171" s="48">
        <v>23240450</v>
      </c>
      <c r="L171" s="47">
        <v>0.1945769</v>
      </c>
      <c r="M171" s="49">
        <v>4.4162380000000001E-2</v>
      </c>
      <c r="N171" s="49">
        <v>2.3888980000000001E-2</v>
      </c>
      <c r="O171" s="45">
        <v>-1</v>
      </c>
      <c r="P171" s="45">
        <v>-11</v>
      </c>
      <c r="Q171" s="45">
        <v>54</v>
      </c>
      <c r="R171" s="48">
        <v>8.7999999999999994E-9</v>
      </c>
      <c r="S171" s="48">
        <f t="shared" si="2"/>
        <v>896399935.88499916</v>
      </c>
    </row>
    <row r="172" spans="1:19" x14ac:dyDescent="0.35">
      <c r="A172" s="16" t="s">
        <v>514</v>
      </c>
      <c r="B172" s="44">
        <v>44854</v>
      </c>
      <c r="C172" s="45">
        <v>20</v>
      </c>
      <c r="D172" s="46">
        <v>44854.644444444442</v>
      </c>
      <c r="E172" s="47">
        <v>48.316666666651145</v>
      </c>
      <c r="F172" s="45">
        <v>353</v>
      </c>
      <c r="G172" s="45">
        <v>577</v>
      </c>
      <c r="H172" s="47">
        <v>0.56465049999999994</v>
      </c>
      <c r="I172" s="48">
        <v>521852700</v>
      </c>
      <c r="J172" s="47">
        <v>0.1723604</v>
      </c>
      <c r="K172" s="48">
        <v>23028520</v>
      </c>
      <c r="L172" s="47">
        <v>0.17284240000000001</v>
      </c>
      <c r="M172" s="49">
        <v>4.4128390000000003E-2</v>
      </c>
      <c r="N172" s="49">
        <v>2.5347389999999997E-2</v>
      </c>
      <c r="O172" s="45">
        <v>-6</v>
      </c>
      <c r="P172" s="45">
        <v>-6</v>
      </c>
      <c r="Q172" s="45">
        <v>59</v>
      </c>
      <c r="R172" s="48">
        <v>8.7000000000000001E-9</v>
      </c>
      <c r="S172" s="48">
        <f t="shared" si="2"/>
        <v>924204795.70991266</v>
      </c>
    </row>
    <row r="173" spans="1:19" x14ac:dyDescent="0.35">
      <c r="A173" s="16" t="s">
        <v>515</v>
      </c>
      <c r="B173" s="44">
        <v>44854</v>
      </c>
      <c r="C173" s="45">
        <v>20</v>
      </c>
      <c r="D173" s="46">
        <v>44854.647222222222</v>
      </c>
      <c r="E173" s="47">
        <v>48.383333333360497</v>
      </c>
      <c r="F173" s="45">
        <v>390</v>
      </c>
      <c r="G173" s="45">
        <v>579</v>
      </c>
      <c r="H173" s="47">
        <v>0.56683630000000007</v>
      </c>
      <c r="I173" s="48">
        <v>518161400</v>
      </c>
      <c r="J173" s="47">
        <v>0.20321539999999999</v>
      </c>
      <c r="K173" s="48">
        <v>22873290</v>
      </c>
      <c r="L173" s="47">
        <v>0.20409369999999999</v>
      </c>
      <c r="M173" s="49">
        <v>4.4143160000000001E-2</v>
      </c>
      <c r="N173" s="49">
        <v>2.640994E-2</v>
      </c>
      <c r="O173" s="45">
        <v>-4</v>
      </c>
      <c r="P173" s="45">
        <v>-6</v>
      </c>
      <c r="Q173" s="45">
        <v>45</v>
      </c>
      <c r="R173" s="48">
        <v>8.5E-9</v>
      </c>
      <c r="S173" s="48">
        <f t="shared" si="2"/>
        <v>914128823.43632531</v>
      </c>
    </row>
    <row r="174" spans="1:19" x14ac:dyDescent="0.35">
      <c r="A174" s="16" t="s">
        <v>516</v>
      </c>
      <c r="B174" s="44">
        <v>44854</v>
      </c>
      <c r="C174" s="45">
        <v>20</v>
      </c>
      <c r="D174" s="46">
        <v>44854.658333333333</v>
      </c>
      <c r="E174" s="47">
        <v>48.650000000023283</v>
      </c>
      <c r="F174" s="45">
        <v>-983</v>
      </c>
      <c r="G174" s="45">
        <v>-7540</v>
      </c>
      <c r="H174" s="47">
        <v>0.43847660000000005</v>
      </c>
      <c r="I174" s="48">
        <v>484638600</v>
      </c>
      <c r="J174" s="47">
        <v>0.26214270000000001</v>
      </c>
      <c r="K174" s="48">
        <v>21414880</v>
      </c>
      <c r="L174" s="47">
        <v>0.26351629999999998</v>
      </c>
      <c r="M174" s="49">
        <v>4.4187280000000002E-2</v>
      </c>
      <c r="N174" s="49">
        <v>3.3425789999999997E-2</v>
      </c>
      <c r="O174" s="45">
        <v>2</v>
      </c>
      <c r="P174" s="45">
        <v>-19</v>
      </c>
      <c r="Q174" s="45">
        <v>45</v>
      </c>
      <c r="R174" s="48">
        <v>8.2999999999999999E-9</v>
      </c>
      <c r="S174" s="48">
        <f t="shared" si="2"/>
        <v>1105278137.9895756</v>
      </c>
    </row>
    <row r="175" spans="1:19" x14ac:dyDescent="0.35">
      <c r="A175" s="16" t="s">
        <v>517</v>
      </c>
      <c r="B175" s="44">
        <v>44854</v>
      </c>
      <c r="C175" s="45">
        <v>20</v>
      </c>
      <c r="D175" s="46">
        <v>44854.661805555559</v>
      </c>
      <c r="E175" s="47">
        <v>48.733333333453629</v>
      </c>
      <c r="F175" s="45">
        <v>-979</v>
      </c>
      <c r="G175" s="45">
        <v>-7568</v>
      </c>
      <c r="H175" s="47">
        <v>0.4393301</v>
      </c>
      <c r="I175" s="48">
        <v>479098900</v>
      </c>
      <c r="J175" s="47">
        <v>0.2433901</v>
      </c>
      <c r="K175" s="48">
        <v>21168540</v>
      </c>
      <c r="L175" s="47">
        <v>0.24413409999999999</v>
      </c>
      <c r="M175" s="49">
        <v>4.4184059999999997E-2</v>
      </c>
      <c r="N175" s="49">
        <v>2.5034310000000001E-2</v>
      </c>
      <c r="O175" s="45">
        <v>1</v>
      </c>
      <c r="P175" s="45">
        <v>-18</v>
      </c>
      <c r="Q175" s="45">
        <v>47</v>
      </c>
      <c r="R175" s="48">
        <v>8.2000000000000006E-9</v>
      </c>
      <c r="S175" s="48">
        <f t="shared" si="2"/>
        <v>1090521455.279299</v>
      </c>
    </row>
    <row r="176" spans="1:19" x14ac:dyDescent="0.35">
      <c r="A176" s="16" t="s">
        <v>518</v>
      </c>
      <c r="B176" s="44">
        <v>44854</v>
      </c>
      <c r="C176" s="45">
        <v>20</v>
      </c>
      <c r="D176" s="46">
        <v>44854.664583333331</v>
      </c>
      <c r="E176" s="47">
        <v>48.799999999988358</v>
      </c>
      <c r="F176" s="45">
        <v>-457</v>
      </c>
      <c r="G176" s="45">
        <v>-7617</v>
      </c>
      <c r="H176" s="47">
        <v>0.28954749999999996</v>
      </c>
      <c r="I176" s="48">
        <v>425893700</v>
      </c>
      <c r="J176" s="47">
        <v>0.2533743</v>
      </c>
      <c r="K176" s="48">
        <v>18818480</v>
      </c>
      <c r="L176" s="47">
        <v>0.25495030000000002</v>
      </c>
      <c r="M176" s="49">
        <v>4.4185820000000001E-2</v>
      </c>
      <c r="N176" s="49">
        <v>3.5966079999999997E-2</v>
      </c>
      <c r="O176" s="45">
        <v>-3</v>
      </c>
      <c r="P176" s="45">
        <v>-9</v>
      </c>
      <c r="Q176" s="45">
        <v>84</v>
      </c>
      <c r="R176" s="48">
        <v>8.0000000000000005E-9</v>
      </c>
      <c r="S176" s="48">
        <f t="shared" si="2"/>
        <v>1470894067.4673414</v>
      </c>
    </row>
    <row r="177" spans="1:19" x14ac:dyDescent="0.35">
      <c r="A177" s="16" t="s">
        <v>519</v>
      </c>
      <c r="B177" s="44">
        <v>44854</v>
      </c>
      <c r="C177" s="45">
        <v>20</v>
      </c>
      <c r="D177" s="46">
        <v>44854.667361111111</v>
      </c>
      <c r="E177" s="47">
        <v>48.866666666697711</v>
      </c>
      <c r="F177" s="45">
        <v>872</v>
      </c>
      <c r="G177" s="45">
        <v>-7998</v>
      </c>
      <c r="H177" s="47">
        <v>0.39799419999999996</v>
      </c>
      <c r="I177" s="48">
        <v>480904900</v>
      </c>
      <c r="J177" s="47">
        <v>0.2532123</v>
      </c>
      <c r="K177" s="48">
        <v>21233340</v>
      </c>
      <c r="L177" s="47">
        <v>0.25544549999999999</v>
      </c>
      <c r="M177" s="49">
        <v>4.4152839999999999E-2</v>
      </c>
      <c r="N177" s="49">
        <v>3.2671989999999998E-2</v>
      </c>
      <c r="O177" s="45">
        <v>67</v>
      </c>
      <c r="P177" s="45">
        <v>9</v>
      </c>
      <c r="Q177" s="45">
        <v>31</v>
      </c>
      <c r="R177" s="48">
        <v>8.0999999999999997E-9</v>
      </c>
      <c r="S177" s="48">
        <f t="shared" si="2"/>
        <v>1208321377.547713</v>
      </c>
    </row>
    <row r="178" spans="1:19" x14ac:dyDescent="0.35">
      <c r="A178" s="16" t="s">
        <v>520</v>
      </c>
      <c r="B178" s="44">
        <v>44854</v>
      </c>
      <c r="C178" s="45">
        <v>20</v>
      </c>
      <c r="D178" s="46">
        <v>44854.670138888891</v>
      </c>
      <c r="E178" s="47">
        <v>48.933333333407063</v>
      </c>
      <c r="F178" s="45">
        <v>903</v>
      </c>
      <c r="G178" s="45">
        <v>-7974</v>
      </c>
      <c r="H178" s="47">
        <v>0.40678510000000001</v>
      </c>
      <c r="I178" s="48">
        <v>409423300</v>
      </c>
      <c r="J178" s="47">
        <v>0.15701029999999999</v>
      </c>
      <c r="K178" s="48">
        <v>18093700</v>
      </c>
      <c r="L178" s="47">
        <v>0.15720310000000001</v>
      </c>
      <c r="M178" s="49">
        <v>4.4193139999999999E-2</v>
      </c>
      <c r="N178" s="49">
        <v>2.7262089999999999E-2</v>
      </c>
      <c r="O178" s="45">
        <v>66</v>
      </c>
      <c r="P178" s="45">
        <v>6</v>
      </c>
      <c r="Q178" s="45">
        <v>34</v>
      </c>
      <c r="R178" s="48">
        <v>8.0000000000000005E-9</v>
      </c>
      <c r="S178" s="48">
        <f t="shared" si="2"/>
        <v>1006485488.283617</v>
      </c>
    </row>
    <row r="179" spans="1:19" x14ac:dyDescent="0.35">
      <c r="A179" s="16" t="s">
        <v>521</v>
      </c>
      <c r="B179" s="44">
        <v>44854</v>
      </c>
      <c r="C179" s="45">
        <v>20</v>
      </c>
      <c r="D179" s="46">
        <v>44854.67291666667</v>
      </c>
      <c r="E179" s="47">
        <v>49.000000000116415</v>
      </c>
      <c r="F179" s="45">
        <v>966</v>
      </c>
      <c r="G179" s="45">
        <v>-7998</v>
      </c>
      <c r="H179" s="47">
        <v>0.39803099999999997</v>
      </c>
      <c r="I179" s="48">
        <v>469757900</v>
      </c>
      <c r="J179" s="47">
        <v>0.27495989999999998</v>
      </c>
      <c r="K179" s="48">
        <v>20735680</v>
      </c>
      <c r="L179" s="47">
        <v>0.276619</v>
      </c>
      <c r="M179" s="49">
        <v>4.414117E-2</v>
      </c>
      <c r="N179" s="49">
        <v>3.8030460000000002E-2</v>
      </c>
      <c r="O179" s="45">
        <v>69</v>
      </c>
      <c r="P179" s="45">
        <v>9</v>
      </c>
      <c r="Q179" s="45">
        <v>33</v>
      </c>
      <c r="R179" s="48">
        <v>8.0999999999999997E-9</v>
      </c>
      <c r="S179" s="48">
        <f t="shared" si="2"/>
        <v>1180204305.6947827</v>
      </c>
    </row>
    <row r="180" spans="1:19" x14ac:dyDescent="0.35">
      <c r="A180" s="16" t="s">
        <v>522</v>
      </c>
      <c r="B180" s="44">
        <v>44854</v>
      </c>
      <c r="C180" s="45">
        <v>20</v>
      </c>
      <c r="D180" s="46">
        <v>44854.675694444442</v>
      </c>
      <c r="E180" s="47">
        <v>49.066666666651145</v>
      </c>
      <c r="F180" s="45">
        <v>945</v>
      </c>
      <c r="G180" s="45">
        <v>-7999</v>
      </c>
      <c r="H180" s="47">
        <v>0.39044489999999998</v>
      </c>
      <c r="I180" s="48">
        <v>479464600</v>
      </c>
      <c r="J180" s="47">
        <v>0.20816009999999999</v>
      </c>
      <c r="K180" s="48">
        <v>21183510</v>
      </c>
      <c r="L180" s="47">
        <v>0.20811660000000001</v>
      </c>
      <c r="M180" s="49">
        <v>4.4181600000000001E-2</v>
      </c>
      <c r="N180" s="49">
        <v>2.9009069999999998E-2</v>
      </c>
      <c r="O180" s="45">
        <v>70</v>
      </c>
      <c r="P180" s="45">
        <v>7</v>
      </c>
      <c r="Q180" s="45">
        <v>31</v>
      </c>
      <c r="R180" s="48">
        <v>8.0000000000000005E-9</v>
      </c>
      <c r="S180" s="48">
        <f t="shared" si="2"/>
        <v>1227995550.7166312</v>
      </c>
    </row>
    <row r="181" spans="1:19" x14ac:dyDescent="0.35">
      <c r="A181" s="72" t="s">
        <v>921</v>
      </c>
      <c r="B181" s="73">
        <v>44854</v>
      </c>
      <c r="C181" s="74">
        <v>20</v>
      </c>
      <c r="D181" s="75">
        <v>44854.682638888888</v>
      </c>
      <c r="E181" s="76">
        <v>49.233333333337214</v>
      </c>
      <c r="F181" s="77">
        <v>2876</v>
      </c>
      <c r="G181" s="77">
        <v>-3212</v>
      </c>
      <c r="H181" s="78">
        <v>0.6315634</v>
      </c>
      <c r="I181" s="79">
        <v>560796000</v>
      </c>
      <c r="J181" s="76">
        <v>9.8138900000000001E-2</v>
      </c>
      <c r="K181" s="79">
        <v>25252250</v>
      </c>
      <c r="L181" s="76">
        <v>9.9177630000000003E-2</v>
      </c>
      <c r="M181" s="80">
        <v>4.502929E-2</v>
      </c>
      <c r="N181" s="80">
        <v>2.9748440000000001E-2</v>
      </c>
      <c r="O181" s="74">
        <v>10</v>
      </c>
      <c r="P181" s="74">
        <v>-5</v>
      </c>
      <c r="Q181" s="74">
        <v>20</v>
      </c>
      <c r="R181" s="79">
        <v>7.8000000000000004E-9</v>
      </c>
      <c r="S181" s="79">
        <f t="shared" si="2"/>
        <v>887948858.34106278</v>
      </c>
    </row>
    <row r="182" spans="1:19" x14ac:dyDescent="0.35">
      <c r="A182" s="72" t="s">
        <v>922</v>
      </c>
      <c r="B182" s="73">
        <v>44854</v>
      </c>
      <c r="C182" s="74">
        <v>20</v>
      </c>
      <c r="D182" s="75">
        <v>44854.685416666667</v>
      </c>
      <c r="E182" s="76">
        <v>49.300000000046566</v>
      </c>
      <c r="F182" s="77">
        <v>2826</v>
      </c>
      <c r="G182" s="77">
        <v>-3212</v>
      </c>
      <c r="H182" s="78">
        <v>0.6481884</v>
      </c>
      <c r="I182" s="79">
        <v>559514300</v>
      </c>
      <c r="J182" s="76">
        <v>0.1088018</v>
      </c>
      <c r="K182" s="79">
        <v>25194380</v>
      </c>
      <c r="L182" s="76">
        <v>0.10845249999999999</v>
      </c>
      <c r="M182" s="80">
        <v>4.5029020000000003E-2</v>
      </c>
      <c r="N182" s="80">
        <v>3.1687649999999998E-2</v>
      </c>
      <c r="O182" s="74">
        <v>9</v>
      </c>
      <c r="P182" s="74">
        <v>-5</v>
      </c>
      <c r="Q182" s="74">
        <v>19</v>
      </c>
      <c r="R182" s="79">
        <v>7.6000000000000002E-9</v>
      </c>
      <c r="S182" s="79">
        <f t="shared" si="2"/>
        <v>863197027.28404272</v>
      </c>
    </row>
    <row r="184" spans="1:19" x14ac:dyDescent="0.35">
      <c r="E184" s="81"/>
      <c r="I184" s="82"/>
    </row>
    <row r="185" spans="1:19" x14ac:dyDescent="0.35">
      <c r="E185" s="81"/>
      <c r="I185" s="82"/>
    </row>
    <row r="186" spans="1:19" x14ac:dyDescent="0.35">
      <c r="E186" s="81"/>
    </row>
    <row r="187" spans="1:19" x14ac:dyDescent="0.35">
      <c r="E187" s="81"/>
    </row>
  </sheetData>
  <mergeCells count="3">
    <mergeCell ref="A9:A10"/>
    <mergeCell ref="B9:B10"/>
    <mergeCell ref="C9:C10"/>
  </mergeCells>
  <hyperlinks>
    <hyperlink ref="A103" r:id="rId1" xr:uid="{B4890127-97A4-451B-8079-E3A994B2120F}"/>
    <hyperlink ref="A105" r:id="rId2" display="39R1046@2" xr:uid="{8A150A66-E321-4CA1-ADA8-D5561740E14B}"/>
    <hyperlink ref="A107" r:id="rId3" display="39R1046@2" xr:uid="{82C06794-F092-4820-8965-DB29D6AF3AA6}"/>
    <hyperlink ref="A109" r:id="rId4" display="39R1046@2" xr:uid="{71758F86-F79A-4C3A-8CC6-A6F133EC7A9E}"/>
    <hyperlink ref="A111" r:id="rId5" display="39R1046@2" xr:uid="{6BCA00C8-13AC-41FE-B564-E6C57A63FF0C}"/>
    <hyperlink ref="A113" r:id="rId6" display="39R1046@2" xr:uid="{3F88EDE0-6D8E-44F8-979C-4A0F1F02E4BE}"/>
  </hyperlinks>
  <pageMargins left="0.7" right="0.7" top="0.78740157499999996" bottom="0.78740157499999996" header="0.3" footer="0.3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C335-DAAF-4B7C-AC47-AD91DE57C917}">
  <dimension ref="A1:AA57"/>
  <sheetViews>
    <sheetView workbookViewId="0">
      <selection activeCell="H1" sqref="H1"/>
    </sheetView>
  </sheetViews>
  <sheetFormatPr baseColWidth="10" defaultColWidth="12" defaultRowHeight="18" x14ac:dyDescent="0.35"/>
  <cols>
    <col min="1" max="1" width="13.6640625" style="16" bestFit="1" customWidth="1"/>
    <col min="2" max="2" width="18.5546875" style="16" customWidth="1"/>
    <col min="3" max="3" width="25.77734375" style="16" customWidth="1"/>
    <col min="4" max="4" width="16.33203125" style="16" bestFit="1" customWidth="1"/>
    <col min="5" max="5" width="16.109375" style="16" customWidth="1"/>
    <col min="6" max="7" width="20" style="16" bestFit="1" customWidth="1"/>
    <col min="8" max="8" width="15.5546875" style="16" bestFit="1" customWidth="1"/>
    <col min="9" max="12" width="12" style="16"/>
    <col min="13" max="14" width="12.44140625" style="16" bestFit="1" customWidth="1"/>
    <col min="15" max="16" width="12" style="16"/>
    <col min="17" max="17" width="11.44140625" style="16" bestFit="1" customWidth="1"/>
    <col min="18" max="18" width="21.88671875" style="16" bestFit="1" customWidth="1"/>
    <col min="19" max="19" width="25.33203125" style="16" bestFit="1" customWidth="1"/>
    <col min="20" max="20" width="19.44140625" style="16" bestFit="1" customWidth="1"/>
    <col min="21" max="16384" width="12" style="16"/>
  </cols>
  <sheetData>
    <row r="1" spans="1:27" s="21" customFormat="1" x14ac:dyDescent="0.35">
      <c r="A1" s="64"/>
      <c r="B1" s="83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64"/>
      <c r="V1" s="64"/>
    </row>
    <row r="2" spans="1:27" s="69" customFormat="1" ht="20.399999999999999" x14ac:dyDescent="0.35">
      <c r="A2" s="67"/>
      <c r="B2" s="18" t="s">
        <v>931</v>
      </c>
      <c r="C2" s="19"/>
      <c r="D2" s="20">
        <v>4.4163000000000001E-2</v>
      </c>
      <c r="E2" s="21" t="s">
        <v>923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67"/>
      <c r="V2" s="67"/>
    </row>
    <row r="3" spans="1:27" s="69" customFormat="1" ht="20.399999999999999" x14ac:dyDescent="0.35">
      <c r="A3" s="67"/>
      <c r="B3" s="84" t="s">
        <v>953</v>
      </c>
      <c r="C3" s="23"/>
      <c r="D3" s="20">
        <v>15.1</v>
      </c>
      <c r="E3" s="21" t="s">
        <v>924</v>
      </c>
      <c r="F3" s="24"/>
      <c r="G3" s="23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67"/>
      <c r="V3" s="67"/>
    </row>
    <row r="4" spans="1:27" s="69" customFormat="1" x14ac:dyDescent="0.35">
      <c r="A4" s="71"/>
      <c r="B4" s="23" t="s">
        <v>925</v>
      </c>
      <c r="C4" s="24"/>
      <c r="D4" s="25">
        <f>(((1+T54/1000)/(1+D3/1000))-1)*1000</f>
        <v>4.4071177569711129</v>
      </c>
      <c r="E4" s="26" t="s">
        <v>926</v>
      </c>
      <c r="F4" s="85"/>
      <c r="G4" s="86"/>
      <c r="H4" s="85"/>
      <c r="I4" s="24"/>
      <c r="J4" s="23"/>
      <c r="K4" s="24"/>
      <c r="L4" s="23"/>
      <c r="M4" s="19"/>
      <c r="N4" s="24"/>
      <c r="O4" s="23"/>
      <c r="P4" s="19"/>
      <c r="Q4" s="24"/>
      <c r="R4" s="23"/>
      <c r="S4" s="24"/>
      <c r="T4" s="23"/>
    </row>
    <row r="5" spans="1:27" s="69" customFormat="1" x14ac:dyDescent="0.3">
      <c r="A5" s="67"/>
      <c r="B5" s="24"/>
      <c r="C5" s="23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67"/>
      <c r="V5" s="67"/>
    </row>
    <row r="7" spans="1:27" s="21" customFormat="1" ht="20.399999999999999" x14ac:dyDescent="0.35">
      <c r="A7" s="102" t="s">
        <v>848</v>
      </c>
      <c r="B7" s="104" t="s">
        <v>849</v>
      </c>
      <c r="C7" s="104" t="s">
        <v>850</v>
      </c>
      <c r="D7" s="34" t="s">
        <v>851</v>
      </c>
      <c r="E7" s="34" t="s">
        <v>852</v>
      </c>
      <c r="F7" s="34" t="s">
        <v>853</v>
      </c>
      <c r="G7" s="34" t="s">
        <v>854</v>
      </c>
      <c r="H7" s="35" t="s">
        <v>855</v>
      </c>
      <c r="I7" s="34" t="s">
        <v>934</v>
      </c>
      <c r="J7" s="35" t="s">
        <v>856</v>
      </c>
      <c r="K7" s="34" t="s">
        <v>935</v>
      </c>
      <c r="L7" s="35" t="s">
        <v>856</v>
      </c>
      <c r="M7" s="35" t="s">
        <v>936</v>
      </c>
      <c r="N7" s="35" t="s">
        <v>856</v>
      </c>
      <c r="O7" s="34" t="s">
        <v>857</v>
      </c>
      <c r="P7" s="34" t="s">
        <v>858</v>
      </c>
      <c r="Q7" s="34" t="s">
        <v>859</v>
      </c>
      <c r="R7" s="34" t="s">
        <v>860</v>
      </c>
      <c r="S7" s="34" t="s">
        <v>861</v>
      </c>
      <c r="T7" s="34" t="s">
        <v>938</v>
      </c>
    </row>
    <row r="8" spans="1:27" s="21" customFormat="1" x14ac:dyDescent="0.35">
      <c r="A8" s="103"/>
      <c r="B8" s="105"/>
      <c r="C8" s="105"/>
      <c r="D8" s="40" t="s">
        <v>862</v>
      </c>
      <c r="E8" s="40" t="s">
        <v>863</v>
      </c>
      <c r="F8" s="40" t="s">
        <v>864</v>
      </c>
      <c r="G8" s="40" t="s">
        <v>864</v>
      </c>
      <c r="H8" s="41" t="s">
        <v>865</v>
      </c>
      <c r="I8" s="40" t="s">
        <v>866</v>
      </c>
      <c r="J8" s="41" t="s">
        <v>867</v>
      </c>
      <c r="K8" s="40" t="s">
        <v>868</v>
      </c>
      <c r="L8" s="41" t="s">
        <v>867</v>
      </c>
      <c r="M8" s="41" t="s">
        <v>869</v>
      </c>
      <c r="N8" s="41" t="s">
        <v>870</v>
      </c>
      <c r="O8" s="40" t="s">
        <v>871</v>
      </c>
      <c r="P8" s="40" t="s">
        <v>871</v>
      </c>
      <c r="Q8" s="40" t="s">
        <v>872</v>
      </c>
      <c r="R8" s="40" t="s">
        <v>873</v>
      </c>
      <c r="S8" s="40" t="s">
        <v>874</v>
      </c>
      <c r="T8" s="40" t="s">
        <v>870</v>
      </c>
    </row>
    <row r="9" spans="1:27" x14ac:dyDescent="0.35">
      <c r="A9" s="87" t="s">
        <v>875</v>
      </c>
      <c r="B9" s="88">
        <v>44852</v>
      </c>
      <c r="C9" s="89">
        <v>20</v>
      </c>
      <c r="D9" s="90">
        <v>44852.661111111112</v>
      </c>
      <c r="E9" s="91">
        <v>0.71666666673263535</v>
      </c>
      <c r="F9" s="92">
        <v>1973</v>
      </c>
      <c r="G9" s="92">
        <v>-3304</v>
      </c>
      <c r="H9" s="93">
        <v>0.58084369999999996</v>
      </c>
      <c r="I9" s="94">
        <v>522592000</v>
      </c>
      <c r="J9" s="91">
        <v>0.1010857</v>
      </c>
      <c r="K9" s="94">
        <v>23530300</v>
      </c>
      <c r="L9" s="91">
        <v>0.1008431</v>
      </c>
      <c r="M9" s="95">
        <v>4.5026129999999998E-2</v>
      </c>
      <c r="N9" s="95">
        <v>2.3751950000000001E-2</v>
      </c>
      <c r="O9" s="89">
        <v>7</v>
      </c>
      <c r="P9" s="89">
        <v>-4</v>
      </c>
      <c r="Q9" s="89">
        <v>17</v>
      </c>
      <c r="R9" s="94">
        <v>1E-8</v>
      </c>
      <c r="S9" s="94">
        <f>I9/H9</f>
        <v>899711919.05843174</v>
      </c>
      <c r="T9" s="47">
        <f>((M9/$D$2)-1)*1000</f>
        <v>19.544188574145636</v>
      </c>
    </row>
    <row r="10" spans="1:27" x14ac:dyDescent="0.35">
      <c r="A10" s="87" t="s">
        <v>876</v>
      </c>
      <c r="B10" s="88">
        <v>44852</v>
      </c>
      <c r="C10" s="89">
        <v>20</v>
      </c>
      <c r="D10" s="90">
        <v>44852.663888888892</v>
      </c>
      <c r="E10" s="91">
        <v>0.78333333344198763</v>
      </c>
      <c r="F10" s="92">
        <v>1923</v>
      </c>
      <c r="G10" s="92">
        <v>-3304</v>
      </c>
      <c r="H10" s="93">
        <v>0.58751050000000005</v>
      </c>
      <c r="I10" s="94">
        <v>522855500</v>
      </c>
      <c r="J10" s="91">
        <v>0.1021155</v>
      </c>
      <c r="K10" s="94">
        <v>23543660</v>
      </c>
      <c r="L10" s="91">
        <v>0.10188990000000001</v>
      </c>
      <c r="M10" s="95">
        <v>4.5029010000000001E-2</v>
      </c>
      <c r="N10" s="95">
        <v>2.740571E-2</v>
      </c>
      <c r="O10" s="89">
        <v>6</v>
      </c>
      <c r="P10" s="89">
        <v>-4</v>
      </c>
      <c r="Q10" s="89">
        <v>17</v>
      </c>
      <c r="R10" s="94">
        <v>1E-8</v>
      </c>
      <c r="S10" s="94">
        <f t="shared" ref="S10:S53" si="0">I10/H10</f>
        <v>889950903.00513768</v>
      </c>
      <c r="T10" s="47">
        <f t="shared" ref="T10:T53" si="1">((M10/$D$2)-1)*1000</f>
        <v>19.609401535221728</v>
      </c>
      <c r="Y10" s="96" t="s">
        <v>927</v>
      </c>
      <c r="Z10" s="96"/>
      <c r="AA10" s="96"/>
    </row>
    <row r="11" spans="1:27" x14ac:dyDescent="0.35">
      <c r="A11" s="87" t="s">
        <v>877</v>
      </c>
      <c r="B11" s="88">
        <v>44852</v>
      </c>
      <c r="C11" s="89">
        <v>20</v>
      </c>
      <c r="D11" s="90">
        <v>44852.666666666664</v>
      </c>
      <c r="E11" s="91">
        <v>0.84999999997671694</v>
      </c>
      <c r="F11" s="92">
        <v>1873</v>
      </c>
      <c r="G11" s="92">
        <v>-3304</v>
      </c>
      <c r="H11" s="93">
        <v>0.583484</v>
      </c>
      <c r="I11" s="94">
        <v>522526300</v>
      </c>
      <c r="J11" s="91">
        <v>0.10375570000000001</v>
      </c>
      <c r="K11" s="94">
        <v>23530390</v>
      </c>
      <c r="L11" s="91">
        <v>0.1041097</v>
      </c>
      <c r="M11" s="95">
        <v>4.5031969999999998E-2</v>
      </c>
      <c r="N11" s="95">
        <v>2.7755599999999998E-2</v>
      </c>
      <c r="O11" s="89">
        <v>6</v>
      </c>
      <c r="P11" s="89">
        <v>-4</v>
      </c>
      <c r="Q11" s="89">
        <v>17</v>
      </c>
      <c r="R11" s="94">
        <v>1E-8</v>
      </c>
      <c r="S11" s="94">
        <f t="shared" si="0"/>
        <v>895528069.32152379</v>
      </c>
      <c r="T11" s="47">
        <f t="shared" si="1"/>
        <v>19.676425967438682</v>
      </c>
    </row>
    <row r="12" spans="1:27" x14ac:dyDescent="0.35">
      <c r="A12" s="87" t="s">
        <v>878</v>
      </c>
      <c r="B12" s="88">
        <v>44852</v>
      </c>
      <c r="C12" s="89">
        <v>20</v>
      </c>
      <c r="D12" s="90">
        <v>44852.669444444444</v>
      </c>
      <c r="E12" s="91">
        <v>0.91666666668606922</v>
      </c>
      <c r="F12" s="92">
        <v>1823</v>
      </c>
      <c r="G12" s="92">
        <v>-3304</v>
      </c>
      <c r="H12" s="93">
        <v>0.58783279999999993</v>
      </c>
      <c r="I12" s="94">
        <v>522616800</v>
      </c>
      <c r="J12" s="91">
        <v>0.1026846</v>
      </c>
      <c r="K12" s="94">
        <v>23533380</v>
      </c>
      <c r="L12" s="91">
        <v>0.1029197</v>
      </c>
      <c r="M12" s="95">
        <v>4.5029880000000001E-2</v>
      </c>
      <c r="N12" s="95">
        <v>2.3750300000000002E-2</v>
      </c>
      <c r="O12" s="89">
        <v>6</v>
      </c>
      <c r="P12" s="89">
        <v>-4</v>
      </c>
      <c r="Q12" s="89">
        <v>18</v>
      </c>
      <c r="R12" s="94">
        <v>1E-8</v>
      </c>
      <c r="S12" s="94">
        <f t="shared" si="0"/>
        <v>889056888.28524041</v>
      </c>
      <c r="T12" s="47">
        <f t="shared" si="1"/>
        <v>19.629101283880289</v>
      </c>
    </row>
    <row r="13" spans="1:27" x14ac:dyDescent="0.35">
      <c r="A13" s="87" t="s">
        <v>879</v>
      </c>
      <c r="B13" s="88">
        <v>44852</v>
      </c>
      <c r="C13" s="89">
        <v>20</v>
      </c>
      <c r="D13" s="90">
        <v>44852.672222222223</v>
      </c>
      <c r="E13" s="91">
        <v>0.9833333333954215</v>
      </c>
      <c r="F13" s="92">
        <v>1773</v>
      </c>
      <c r="G13" s="92">
        <v>-3304</v>
      </c>
      <c r="H13" s="93">
        <v>0.58280489999999996</v>
      </c>
      <c r="I13" s="94">
        <v>524011200</v>
      </c>
      <c r="J13" s="91">
        <v>9.6026860000000006E-2</v>
      </c>
      <c r="K13" s="94">
        <v>23597100</v>
      </c>
      <c r="L13" s="91">
        <v>9.6794610000000003E-2</v>
      </c>
      <c r="M13" s="95">
        <v>4.5031670000000003E-2</v>
      </c>
      <c r="N13" s="95">
        <v>3.370339E-2</v>
      </c>
      <c r="O13" s="89">
        <v>6</v>
      </c>
      <c r="P13" s="89">
        <v>-5</v>
      </c>
      <c r="Q13" s="89">
        <v>17</v>
      </c>
      <c r="R13" s="94">
        <v>9.8999999999999993E-9</v>
      </c>
      <c r="S13" s="94">
        <f t="shared" si="0"/>
        <v>899119413.71803844</v>
      </c>
      <c r="T13" s="47">
        <f t="shared" si="1"/>
        <v>19.669632950660045</v>
      </c>
    </row>
    <row r="14" spans="1:27" x14ac:dyDescent="0.35">
      <c r="A14" s="87" t="s">
        <v>880</v>
      </c>
      <c r="B14" s="88">
        <v>44852</v>
      </c>
      <c r="C14" s="89">
        <v>20</v>
      </c>
      <c r="D14" s="90">
        <v>44852.750694444447</v>
      </c>
      <c r="E14" s="91">
        <v>2.8666666667559184</v>
      </c>
      <c r="F14" s="92">
        <v>2844</v>
      </c>
      <c r="G14" s="92">
        <v>-3350</v>
      </c>
      <c r="H14" s="93">
        <v>0.63136000000000003</v>
      </c>
      <c r="I14" s="94">
        <v>530538700</v>
      </c>
      <c r="J14" s="91">
        <v>9.6340049999999997E-2</v>
      </c>
      <c r="K14" s="94">
        <v>23890770</v>
      </c>
      <c r="L14" s="91">
        <v>9.7975519999999997E-2</v>
      </c>
      <c r="M14" s="95">
        <v>4.5031139999999997E-2</v>
      </c>
      <c r="N14" s="95">
        <v>3.3650989999999999E-2</v>
      </c>
      <c r="O14" s="89">
        <v>13</v>
      </c>
      <c r="P14" s="89">
        <v>-3</v>
      </c>
      <c r="Q14" s="89">
        <v>20</v>
      </c>
      <c r="R14" s="94">
        <v>9.1999999999999997E-9</v>
      </c>
      <c r="S14" s="94">
        <f t="shared" si="0"/>
        <v>840310916.11758733</v>
      </c>
      <c r="T14" s="47">
        <f t="shared" si="1"/>
        <v>19.657631954350883</v>
      </c>
    </row>
    <row r="15" spans="1:27" x14ac:dyDescent="0.35">
      <c r="A15" s="87" t="s">
        <v>881</v>
      </c>
      <c r="B15" s="88">
        <v>44852</v>
      </c>
      <c r="C15" s="89">
        <v>20</v>
      </c>
      <c r="D15" s="90">
        <v>44852.753472222219</v>
      </c>
      <c r="E15" s="91">
        <v>2.9333333332906477</v>
      </c>
      <c r="F15" s="92">
        <v>2794</v>
      </c>
      <c r="G15" s="92">
        <v>-3350</v>
      </c>
      <c r="H15" s="93">
        <v>0.59660809999999997</v>
      </c>
      <c r="I15" s="94">
        <v>529917300</v>
      </c>
      <c r="J15" s="91">
        <v>9.9325620000000003E-2</v>
      </c>
      <c r="K15" s="94">
        <v>23861320</v>
      </c>
      <c r="L15" s="91">
        <v>9.9855899999999997E-2</v>
      </c>
      <c r="M15" s="95">
        <v>4.502838E-2</v>
      </c>
      <c r="N15" s="95">
        <v>3.2289739999999997E-2</v>
      </c>
      <c r="O15" s="89">
        <v>12</v>
      </c>
      <c r="P15" s="89">
        <v>-3</v>
      </c>
      <c r="Q15" s="89">
        <v>21</v>
      </c>
      <c r="R15" s="94">
        <v>9.3000000000000006E-9</v>
      </c>
      <c r="S15" s="94">
        <f t="shared" si="0"/>
        <v>888216737.25180733</v>
      </c>
      <c r="T15" s="47">
        <f t="shared" si="1"/>
        <v>19.595136199986428</v>
      </c>
    </row>
    <row r="16" spans="1:27" x14ac:dyDescent="0.35">
      <c r="A16" s="87" t="s">
        <v>882</v>
      </c>
      <c r="B16" s="88">
        <v>44852</v>
      </c>
      <c r="C16" s="89">
        <v>20</v>
      </c>
      <c r="D16" s="90">
        <v>44852.756249999999</v>
      </c>
      <c r="E16" s="91">
        <v>3</v>
      </c>
      <c r="F16" s="92">
        <v>2744</v>
      </c>
      <c r="G16" s="92">
        <v>-3350</v>
      </c>
      <c r="H16" s="93">
        <v>0.59317759999999997</v>
      </c>
      <c r="I16" s="94">
        <v>530715200</v>
      </c>
      <c r="J16" s="91">
        <v>0.10240109999999999</v>
      </c>
      <c r="K16" s="94">
        <v>23898990</v>
      </c>
      <c r="L16" s="91">
        <v>0.1025783</v>
      </c>
      <c r="M16" s="95">
        <v>4.5031660000000001E-2</v>
      </c>
      <c r="N16" s="95">
        <v>2.3567420000000002E-2</v>
      </c>
      <c r="O16" s="89">
        <v>12</v>
      </c>
      <c r="P16" s="89">
        <v>-3</v>
      </c>
      <c r="Q16" s="89">
        <v>20</v>
      </c>
      <c r="R16" s="94">
        <v>9.1999999999999997E-9</v>
      </c>
      <c r="S16" s="94">
        <f t="shared" si="0"/>
        <v>894698653.48927546</v>
      </c>
      <c r="T16" s="47">
        <f t="shared" si="1"/>
        <v>19.669406516767516</v>
      </c>
    </row>
    <row r="17" spans="1:25" x14ac:dyDescent="0.35">
      <c r="A17" s="87" t="s">
        <v>883</v>
      </c>
      <c r="B17" s="88">
        <v>44852</v>
      </c>
      <c r="C17" s="89">
        <v>20</v>
      </c>
      <c r="D17" s="90">
        <v>44852.759027777778</v>
      </c>
      <c r="E17" s="91">
        <v>3.0666666667093523</v>
      </c>
      <c r="F17" s="92">
        <v>2694</v>
      </c>
      <c r="G17" s="92">
        <v>-3350</v>
      </c>
      <c r="H17" s="93">
        <v>0.59732700000000005</v>
      </c>
      <c r="I17" s="94">
        <v>529658100</v>
      </c>
      <c r="J17" s="91">
        <v>0.1006367</v>
      </c>
      <c r="K17" s="94">
        <v>23848660</v>
      </c>
      <c r="L17" s="91">
        <v>0.1007894</v>
      </c>
      <c r="M17" s="95">
        <v>4.502652E-2</v>
      </c>
      <c r="N17" s="95">
        <v>2.3591749999999998E-2</v>
      </c>
      <c r="O17" s="89">
        <v>11</v>
      </c>
      <c r="P17" s="89">
        <v>-3</v>
      </c>
      <c r="Q17" s="89">
        <v>20</v>
      </c>
      <c r="R17" s="94">
        <v>9.3000000000000006E-9</v>
      </c>
      <c r="S17" s="94">
        <f t="shared" si="0"/>
        <v>886713810.0236553</v>
      </c>
      <c r="T17" s="47">
        <f t="shared" si="1"/>
        <v>19.553019495958111</v>
      </c>
    </row>
    <row r="18" spans="1:25" x14ac:dyDescent="0.35">
      <c r="A18" s="87" t="s">
        <v>884</v>
      </c>
      <c r="B18" s="88">
        <v>44852</v>
      </c>
      <c r="C18" s="89">
        <v>20</v>
      </c>
      <c r="D18" s="90">
        <v>44852.761805555558</v>
      </c>
      <c r="E18" s="91">
        <v>3.1333333334187046</v>
      </c>
      <c r="F18" s="92">
        <v>2644</v>
      </c>
      <c r="G18" s="92">
        <v>-3350</v>
      </c>
      <c r="H18" s="93">
        <v>0.59638279999999999</v>
      </c>
      <c r="I18" s="94">
        <v>530033400</v>
      </c>
      <c r="J18" s="91">
        <v>0.102366</v>
      </c>
      <c r="K18" s="94">
        <v>23868720</v>
      </c>
      <c r="L18" s="91">
        <v>0.10276979999999999</v>
      </c>
      <c r="M18" s="95">
        <v>4.5032490000000001E-2</v>
      </c>
      <c r="N18" s="95">
        <v>2.7417810000000001E-2</v>
      </c>
      <c r="O18" s="89">
        <v>11</v>
      </c>
      <c r="P18" s="89">
        <v>-3</v>
      </c>
      <c r="Q18" s="89">
        <v>20</v>
      </c>
      <c r="R18" s="94">
        <v>9.1999999999999997E-9</v>
      </c>
      <c r="S18" s="94">
        <f t="shared" si="0"/>
        <v>888746959.16783655</v>
      </c>
      <c r="T18" s="47">
        <f t="shared" si="1"/>
        <v>19.688200529855315</v>
      </c>
    </row>
    <row r="19" spans="1:25" x14ac:dyDescent="0.35">
      <c r="A19" s="87" t="s">
        <v>885</v>
      </c>
      <c r="B19" s="88">
        <v>44853</v>
      </c>
      <c r="C19" s="89">
        <v>20</v>
      </c>
      <c r="D19" s="90">
        <v>44853.37222222222</v>
      </c>
      <c r="E19" s="91">
        <v>17.783333333325572</v>
      </c>
      <c r="F19" s="92">
        <v>2490</v>
      </c>
      <c r="G19" s="92">
        <v>-3239</v>
      </c>
      <c r="H19" s="93">
        <v>0.56959789999999999</v>
      </c>
      <c r="I19" s="94">
        <v>536833500</v>
      </c>
      <c r="J19" s="91">
        <v>0.10175430000000001</v>
      </c>
      <c r="K19" s="94">
        <v>24174890</v>
      </c>
      <c r="L19" s="91">
        <v>0.10255209999999999</v>
      </c>
      <c r="M19" s="95">
        <v>4.5032379999999997E-2</v>
      </c>
      <c r="N19" s="95">
        <v>2.343164E-2</v>
      </c>
      <c r="O19" s="89">
        <v>11</v>
      </c>
      <c r="P19" s="89">
        <v>-4</v>
      </c>
      <c r="Q19" s="89">
        <v>19</v>
      </c>
      <c r="R19" s="94">
        <v>7.4000000000000001E-9</v>
      </c>
      <c r="S19" s="94">
        <f t="shared" si="0"/>
        <v>942478018.26516569</v>
      </c>
      <c r="T19" s="47">
        <f t="shared" si="1"/>
        <v>19.685709757036427</v>
      </c>
    </row>
    <row r="20" spans="1:25" x14ac:dyDescent="0.35">
      <c r="A20" s="87" t="s">
        <v>887</v>
      </c>
      <c r="B20" s="88">
        <v>44853</v>
      </c>
      <c r="C20" s="89">
        <v>20</v>
      </c>
      <c r="D20" s="90">
        <v>44853.375</v>
      </c>
      <c r="E20" s="91">
        <v>17.850000000034925</v>
      </c>
      <c r="F20" s="92">
        <v>2440</v>
      </c>
      <c r="G20" s="92">
        <v>-3239</v>
      </c>
      <c r="H20" s="93">
        <v>0.56506200000000006</v>
      </c>
      <c r="I20" s="94">
        <v>535784600</v>
      </c>
      <c r="J20" s="91">
        <v>9.6804580000000001E-2</v>
      </c>
      <c r="K20" s="94">
        <v>24125820</v>
      </c>
      <c r="L20" s="91">
        <v>9.6036960000000005E-2</v>
      </c>
      <c r="M20" s="95">
        <v>4.5028970000000001E-2</v>
      </c>
      <c r="N20" s="95">
        <v>3.0249019999999998E-2</v>
      </c>
      <c r="O20" s="89">
        <v>11</v>
      </c>
      <c r="P20" s="89">
        <v>-4</v>
      </c>
      <c r="Q20" s="89">
        <v>19</v>
      </c>
      <c r="R20" s="94">
        <v>7.3E-9</v>
      </c>
      <c r="S20" s="94">
        <f t="shared" si="0"/>
        <v>948187278.56412208</v>
      </c>
      <c r="T20" s="47">
        <f t="shared" si="1"/>
        <v>19.608495799651404</v>
      </c>
    </row>
    <row r="21" spans="1:25" x14ac:dyDescent="0.35">
      <c r="A21" s="87" t="s">
        <v>888</v>
      </c>
      <c r="B21" s="88">
        <v>44853</v>
      </c>
      <c r="C21" s="89">
        <v>20</v>
      </c>
      <c r="D21" s="90">
        <v>44853.37777777778</v>
      </c>
      <c r="E21" s="91">
        <v>17.916666666744277</v>
      </c>
      <c r="F21" s="92">
        <v>2340</v>
      </c>
      <c r="G21" s="92">
        <v>-3239</v>
      </c>
      <c r="H21" s="93">
        <v>0.56365929999999997</v>
      </c>
      <c r="I21" s="94">
        <v>536374700</v>
      </c>
      <c r="J21" s="91">
        <v>0.1015315</v>
      </c>
      <c r="K21" s="94">
        <v>24151010</v>
      </c>
      <c r="L21" s="91">
        <v>0.10180169999999999</v>
      </c>
      <c r="M21" s="95">
        <v>4.5026370000000003E-2</v>
      </c>
      <c r="N21" s="95">
        <v>2.7697529999999998E-2</v>
      </c>
      <c r="O21" s="89">
        <v>11</v>
      </c>
      <c r="P21" s="89">
        <v>-4</v>
      </c>
      <c r="Q21" s="89">
        <v>17</v>
      </c>
      <c r="R21" s="94">
        <v>7.3E-9</v>
      </c>
      <c r="S21" s="94">
        <f t="shared" si="0"/>
        <v>951593808.52937233</v>
      </c>
      <c r="T21" s="47">
        <f t="shared" si="1"/>
        <v>19.549622987568902</v>
      </c>
    </row>
    <row r="22" spans="1:25" x14ac:dyDescent="0.35">
      <c r="A22" s="87" t="s">
        <v>889</v>
      </c>
      <c r="B22" s="88">
        <v>44853</v>
      </c>
      <c r="C22" s="89">
        <v>20</v>
      </c>
      <c r="D22" s="90">
        <v>44853.380555555559</v>
      </c>
      <c r="E22" s="91">
        <v>17.983333333453629</v>
      </c>
      <c r="F22" s="92">
        <v>2290</v>
      </c>
      <c r="G22" s="92">
        <v>-3239</v>
      </c>
      <c r="H22" s="93">
        <v>0.56914100000000001</v>
      </c>
      <c r="I22" s="94">
        <v>534810900</v>
      </c>
      <c r="J22" s="91">
        <v>0.1030534</v>
      </c>
      <c r="K22" s="94">
        <v>24081560</v>
      </c>
      <c r="L22" s="91">
        <v>0.1039707</v>
      </c>
      <c r="M22" s="95">
        <v>4.5028180000000001E-2</v>
      </c>
      <c r="N22" s="95">
        <v>2.7739949999999999E-2</v>
      </c>
      <c r="O22" s="89">
        <v>10</v>
      </c>
      <c r="P22" s="89">
        <v>-4</v>
      </c>
      <c r="Q22" s="89">
        <v>18</v>
      </c>
      <c r="R22" s="94">
        <v>7.3E-9</v>
      </c>
      <c r="S22" s="94">
        <f t="shared" si="0"/>
        <v>939680852.37225926</v>
      </c>
      <c r="T22" s="47">
        <f t="shared" si="1"/>
        <v>19.590607522133929</v>
      </c>
    </row>
    <row r="23" spans="1:25" x14ac:dyDescent="0.35">
      <c r="A23" s="87" t="s">
        <v>890</v>
      </c>
      <c r="B23" s="88">
        <v>44853</v>
      </c>
      <c r="C23" s="89">
        <v>20</v>
      </c>
      <c r="D23" s="90">
        <v>44853.383333333331</v>
      </c>
      <c r="E23" s="91">
        <v>18.049999999988358</v>
      </c>
      <c r="F23" s="92">
        <v>2240</v>
      </c>
      <c r="G23" s="92">
        <v>-3239</v>
      </c>
      <c r="H23" s="93">
        <v>0.5661581</v>
      </c>
      <c r="I23" s="94">
        <v>534928000</v>
      </c>
      <c r="J23" s="91">
        <v>0.1050171</v>
      </c>
      <c r="K23" s="94">
        <v>24085040</v>
      </c>
      <c r="L23" s="91">
        <v>0.10524940000000001</v>
      </c>
      <c r="M23" s="95">
        <v>4.5024830000000002E-2</v>
      </c>
      <c r="N23" s="95">
        <v>2.3475319999999997E-2</v>
      </c>
      <c r="O23" s="89">
        <v>10</v>
      </c>
      <c r="P23" s="89">
        <v>-4</v>
      </c>
      <c r="Q23" s="89">
        <v>18</v>
      </c>
      <c r="R23" s="94">
        <v>7.3E-9</v>
      </c>
      <c r="S23" s="94">
        <f t="shared" si="0"/>
        <v>944838553.04728484</v>
      </c>
      <c r="T23" s="47">
        <f t="shared" si="1"/>
        <v>19.514752168104501</v>
      </c>
    </row>
    <row r="24" spans="1:25" x14ac:dyDescent="0.35">
      <c r="A24" s="87" t="s">
        <v>891</v>
      </c>
      <c r="B24" s="88">
        <v>44853</v>
      </c>
      <c r="C24" s="89">
        <v>20</v>
      </c>
      <c r="D24" s="90">
        <v>44853.451388888891</v>
      </c>
      <c r="E24" s="91">
        <v>19.683333333407063</v>
      </c>
      <c r="F24" s="92">
        <v>2366</v>
      </c>
      <c r="G24" s="92">
        <v>-3298</v>
      </c>
      <c r="H24" s="93">
        <v>0.561145</v>
      </c>
      <c r="I24" s="94">
        <v>528469800</v>
      </c>
      <c r="J24" s="91">
        <v>9.5858470000000001E-2</v>
      </c>
      <c r="K24" s="94">
        <v>23799370</v>
      </c>
      <c r="L24" s="91">
        <v>9.5826819999999993E-2</v>
      </c>
      <c r="M24" s="95">
        <v>4.5034499999999998E-2</v>
      </c>
      <c r="N24" s="95">
        <v>2.3616769999999999E-2</v>
      </c>
      <c r="O24" s="89">
        <v>-5</v>
      </c>
      <c r="P24" s="89">
        <v>-4</v>
      </c>
      <c r="Q24" s="89">
        <v>16</v>
      </c>
      <c r="R24" s="94">
        <v>6.6999999999999996E-9</v>
      </c>
      <c r="S24" s="94">
        <f t="shared" si="0"/>
        <v>941770487.12899518</v>
      </c>
      <c r="T24" s="47">
        <f t="shared" si="1"/>
        <v>19.73371374227284</v>
      </c>
    </row>
    <row r="25" spans="1:25" x14ac:dyDescent="0.35">
      <c r="A25" s="87" t="s">
        <v>892</v>
      </c>
      <c r="B25" s="88">
        <v>44853</v>
      </c>
      <c r="C25" s="89">
        <v>20</v>
      </c>
      <c r="D25" s="90">
        <v>44853.45416666667</v>
      </c>
      <c r="E25" s="91">
        <v>19.750000000116415</v>
      </c>
      <c r="F25" s="92">
        <v>2316</v>
      </c>
      <c r="G25" s="92">
        <v>-3298</v>
      </c>
      <c r="H25" s="93">
        <v>0.56382359999999998</v>
      </c>
      <c r="I25" s="94">
        <v>528968300</v>
      </c>
      <c r="J25" s="91">
        <v>0.10342709999999999</v>
      </c>
      <c r="K25" s="94">
        <v>23820410</v>
      </c>
      <c r="L25" s="91">
        <v>0.10400239999999999</v>
      </c>
      <c r="M25" s="95">
        <v>4.5031830000000002E-2</v>
      </c>
      <c r="N25" s="95">
        <v>2.6620070000000003E-2</v>
      </c>
      <c r="O25" s="89">
        <v>-4</v>
      </c>
      <c r="P25" s="89">
        <v>-4</v>
      </c>
      <c r="Q25" s="89">
        <v>15</v>
      </c>
      <c r="R25" s="94">
        <v>6.7999999999999997E-9</v>
      </c>
      <c r="S25" s="94">
        <f t="shared" si="0"/>
        <v>938180487.65606833</v>
      </c>
      <c r="T25" s="47">
        <f t="shared" si="1"/>
        <v>19.673255892941999</v>
      </c>
    </row>
    <row r="26" spans="1:25" x14ac:dyDescent="0.35">
      <c r="A26" s="87" t="s">
        <v>893</v>
      </c>
      <c r="B26" s="88">
        <v>44853</v>
      </c>
      <c r="C26" s="89">
        <v>20</v>
      </c>
      <c r="D26" s="90">
        <v>44853.456944444442</v>
      </c>
      <c r="E26" s="91">
        <v>19.816666666651145</v>
      </c>
      <c r="F26" s="92">
        <v>2266</v>
      </c>
      <c r="G26" s="92">
        <v>-3298</v>
      </c>
      <c r="H26" s="93">
        <v>0.57154120000000008</v>
      </c>
      <c r="I26" s="94">
        <v>526727200</v>
      </c>
      <c r="J26" s="91">
        <v>9.8777009999999998E-2</v>
      </c>
      <c r="K26" s="94">
        <v>23717940</v>
      </c>
      <c r="L26" s="91">
        <v>9.925291E-2</v>
      </c>
      <c r="M26" s="95">
        <v>4.5028890000000002E-2</v>
      </c>
      <c r="N26" s="95">
        <v>3.1564840000000004E-2</v>
      </c>
      <c r="O26" s="89">
        <v>-6</v>
      </c>
      <c r="P26" s="89">
        <v>-4</v>
      </c>
      <c r="Q26" s="89">
        <v>16</v>
      </c>
      <c r="R26" s="94">
        <v>6.7999999999999997E-9</v>
      </c>
      <c r="S26" s="94">
        <f t="shared" si="0"/>
        <v>921590954.42288315</v>
      </c>
      <c r="T26" s="47">
        <f t="shared" si="1"/>
        <v>19.606684328510315</v>
      </c>
    </row>
    <row r="27" spans="1:25" x14ac:dyDescent="0.35">
      <c r="A27" s="87" t="s">
        <v>894</v>
      </c>
      <c r="B27" s="88">
        <v>44853</v>
      </c>
      <c r="C27" s="89">
        <v>20</v>
      </c>
      <c r="D27" s="90">
        <v>44853.511805555558</v>
      </c>
      <c r="E27" s="91">
        <v>21.133333333418705</v>
      </c>
      <c r="F27" s="92">
        <v>2947</v>
      </c>
      <c r="G27" s="92">
        <v>-2964</v>
      </c>
      <c r="H27" s="93">
        <v>0.57942530000000003</v>
      </c>
      <c r="I27" s="94">
        <v>518408600</v>
      </c>
      <c r="J27" s="91">
        <v>9.9418350000000003E-2</v>
      </c>
      <c r="K27" s="94">
        <v>23342840</v>
      </c>
      <c r="L27" s="91">
        <v>0.10086630000000001</v>
      </c>
      <c r="M27" s="95">
        <v>4.5027869999999998E-2</v>
      </c>
      <c r="N27" s="95">
        <v>3.1465600000000003E-2</v>
      </c>
      <c r="O27" s="89">
        <v>-6</v>
      </c>
      <c r="P27" s="89">
        <v>-4</v>
      </c>
      <c r="Q27" s="89">
        <v>17</v>
      </c>
      <c r="R27" s="94">
        <v>6.4000000000000002E-9</v>
      </c>
      <c r="S27" s="94">
        <f t="shared" si="0"/>
        <v>894694449.82813132</v>
      </c>
      <c r="T27" s="47">
        <f t="shared" si="1"/>
        <v>19.583588071462543</v>
      </c>
    </row>
    <row r="28" spans="1:25" x14ac:dyDescent="0.35">
      <c r="A28" s="87" t="s">
        <v>895</v>
      </c>
      <c r="B28" s="88">
        <v>44853</v>
      </c>
      <c r="C28" s="89">
        <v>20</v>
      </c>
      <c r="D28" s="90">
        <v>44853.51458333333</v>
      </c>
      <c r="E28" s="91">
        <v>21.199999999953434</v>
      </c>
      <c r="F28" s="92">
        <v>2897</v>
      </c>
      <c r="G28" s="92">
        <v>-2964</v>
      </c>
      <c r="H28" s="93">
        <v>0.58947100000000008</v>
      </c>
      <c r="I28" s="94">
        <v>516823900</v>
      </c>
      <c r="J28" s="91">
        <v>0.1058221</v>
      </c>
      <c r="K28" s="94">
        <v>23271210</v>
      </c>
      <c r="L28" s="91">
        <v>0.1054918</v>
      </c>
      <c r="M28" s="95">
        <v>4.5027360000000002E-2</v>
      </c>
      <c r="N28" s="95">
        <v>2.3883540000000002E-2</v>
      </c>
      <c r="O28" s="89">
        <v>-7</v>
      </c>
      <c r="P28" s="89">
        <v>-3</v>
      </c>
      <c r="Q28" s="89">
        <v>18</v>
      </c>
      <c r="R28" s="94">
        <v>6.5000000000000003E-9</v>
      </c>
      <c r="S28" s="94">
        <f t="shared" si="0"/>
        <v>876758822.74106777</v>
      </c>
      <c r="T28" s="47">
        <f t="shared" si="1"/>
        <v>19.572039942938659</v>
      </c>
    </row>
    <row r="29" spans="1:25" x14ac:dyDescent="0.35">
      <c r="A29" s="87" t="s">
        <v>896</v>
      </c>
      <c r="B29" s="88">
        <v>44853</v>
      </c>
      <c r="C29" s="89">
        <v>20</v>
      </c>
      <c r="D29" s="90">
        <v>44853.517361111109</v>
      </c>
      <c r="E29" s="91">
        <v>21.266666666662786</v>
      </c>
      <c r="F29" s="92">
        <v>2847</v>
      </c>
      <c r="G29" s="92">
        <v>-2964</v>
      </c>
      <c r="H29" s="93">
        <v>0.59683569999999997</v>
      </c>
      <c r="I29" s="94">
        <v>515830300</v>
      </c>
      <c r="J29" s="91">
        <v>0.1047439</v>
      </c>
      <c r="K29" s="94">
        <v>23225590</v>
      </c>
      <c r="L29" s="91">
        <v>0.1042083</v>
      </c>
      <c r="M29" s="95">
        <v>4.5025639999999999E-2</v>
      </c>
      <c r="N29" s="95">
        <v>2.390697E-2</v>
      </c>
      <c r="O29" s="89">
        <v>-8</v>
      </c>
      <c r="P29" s="89">
        <v>-3</v>
      </c>
      <c r="Q29" s="89">
        <v>18</v>
      </c>
      <c r="R29" s="94">
        <v>6.6000000000000004E-9</v>
      </c>
      <c r="S29" s="94">
        <f t="shared" si="0"/>
        <v>864275210.07875371</v>
      </c>
      <c r="T29" s="47">
        <f t="shared" si="1"/>
        <v>19.533093313407022</v>
      </c>
    </row>
    <row r="30" spans="1:25" x14ac:dyDescent="0.35">
      <c r="A30" s="87" t="s">
        <v>897</v>
      </c>
      <c r="B30" s="88">
        <v>44853</v>
      </c>
      <c r="C30" s="89">
        <v>20</v>
      </c>
      <c r="D30" s="90">
        <v>44853.615972222222</v>
      </c>
      <c r="E30" s="91">
        <v>23.633333333360497</v>
      </c>
      <c r="F30" s="92">
        <v>2781</v>
      </c>
      <c r="G30" s="92">
        <v>-2962</v>
      </c>
      <c r="H30" s="93">
        <v>0.6304189</v>
      </c>
      <c r="I30" s="94">
        <v>550574000</v>
      </c>
      <c r="J30" s="91">
        <v>9.3406359999999994E-2</v>
      </c>
      <c r="K30" s="94">
        <v>24790060</v>
      </c>
      <c r="L30" s="91">
        <v>9.4713930000000002E-2</v>
      </c>
      <c r="M30" s="95">
        <v>4.5025839999999998E-2</v>
      </c>
      <c r="N30" s="95">
        <v>3.030327E-2</v>
      </c>
      <c r="O30" s="89">
        <v>1</v>
      </c>
      <c r="P30" s="89">
        <v>-3</v>
      </c>
      <c r="Q30" s="89">
        <v>17</v>
      </c>
      <c r="R30" s="94">
        <v>6.8999999999999997E-9</v>
      </c>
      <c r="S30" s="94">
        <f t="shared" si="0"/>
        <v>873346278.16520095</v>
      </c>
      <c r="T30" s="47">
        <f t="shared" si="1"/>
        <v>19.537621991259524</v>
      </c>
    </row>
    <row r="31" spans="1:25" x14ac:dyDescent="0.35">
      <c r="A31" s="87" t="s">
        <v>898</v>
      </c>
      <c r="B31" s="88">
        <v>44853</v>
      </c>
      <c r="C31" s="89">
        <v>20</v>
      </c>
      <c r="D31" s="90">
        <v>44853.618750000001</v>
      </c>
      <c r="E31" s="91">
        <v>23.700000000069849</v>
      </c>
      <c r="F31" s="92">
        <v>2731</v>
      </c>
      <c r="G31" s="92">
        <v>-2962</v>
      </c>
      <c r="H31" s="93">
        <v>0.63397139999999996</v>
      </c>
      <c r="I31" s="94">
        <v>549711900</v>
      </c>
      <c r="J31" s="91">
        <v>9.684218E-2</v>
      </c>
      <c r="K31" s="94">
        <v>24751330</v>
      </c>
      <c r="L31" s="91">
        <v>9.7490149999999998E-2</v>
      </c>
      <c r="M31" s="95">
        <v>4.5025999999999997E-2</v>
      </c>
      <c r="N31" s="95">
        <v>2.3156959999999997E-2</v>
      </c>
      <c r="O31" s="89">
        <v>0</v>
      </c>
      <c r="P31" s="89">
        <v>-3</v>
      </c>
      <c r="Q31" s="89">
        <v>18</v>
      </c>
      <c r="R31" s="94">
        <v>6.8999999999999997E-9</v>
      </c>
      <c r="S31" s="94">
        <f t="shared" si="0"/>
        <v>867092584.93364215</v>
      </c>
      <c r="T31" s="47">
        <f t="shared" si="1"/>
        <v>19.541244933541478</v>
      </c>
    </row>
    <row r="32" spans="1:25" x14ac:dyDescent="0.35">
      <c r="A32" s="87" t="s">
        <v>899</v>
      </c>
      <c r="B32" s="88">
        <v>44853</v>
      </c>
      <c r="C32" s="89">
        <v>20</v>
      </c>
      <c r="D32" s="90">
        <v>44853.621527777781</v>
      </c>
      <c r="E32" s="91">
        <v>23.766666666779201</v>
      </c>
      <c r="F32" s="92">
        <v>2681</v>
      </c>
      <c r="G32" s="92">
        <v>-2962</v>
      </c>
      <c r="H32" s="93">
        <v>0.63289099999999998</v>
      </c>
      <c r="I32" s="94">
        <v>550135700</v>
      </c>
      <c r="J32" s="91">
        <v>8.7246679999999993E-2</v>
      </c>
      <c r="K32" s="94">
        <v>24770650</v>
      </c>
      <c r="L32" s="91">
        <v>8.7501109999999993E-2</v>
      </c>
      <c r="M32" s="95">
        <v>4.5026429999999999E-2</v>
      </c>
      <c r="N32" s="95">
        <v>2.314774E-2</v>
      </c>
      <c r="O32" s="89">
        <v>1</v>
      </c>
      <c r="P32" s="89">
        <v>-3</v>
      </c>
      <c r="Q32" s="89">
        <v>17</v>
      </c>
      <c r="R32" s="94">
        <v>6.8999999999999997E-9</v>
      </c>
      <c r="S32" s="94">
        <f t="shared" si="0"/>
        <v>869242412.99054658</v>
      </c>
      <c r="T32" s="47">
        <f t="shared" si="1"/>
        <v>19.550981590924501</v>
      </c>
      <c r="Y32" s="97" t="s">
        <v>928</v>
      </c>
    </row>
    <row r="33" spans="1:20" x14ac:dyDescent="0.35">
      <c r="A33" s="87" t="s">
        <v>902</v>
      </c>
      <c r="B33" s="88">
        <v>44853</v>
      </c>
      <c r="C33" s="89">
        <v>20</v>
      </c>
      <c r="D33" s="90">
        <v>44853.673611111109</v>
      </c>
      <c r="E33" s="91">
        <v>25.016666666662786</v>
      </c>
      <c r="F33" s="92">
        <v>2263</v>
      </c>
      <c r="G33" s="92">
        <v>-3168</v>
      </c>
      <c r="H33" s="93">
        <v>0.64064920000000003</v>
      </c>
      <c r="I33" s="94">
        <v>546665700</v>
      </c>
      <c r="J33" s="91">
        <v>9.401371E-2</v>
      </c>
      <c r="K33" s="94">
        <v>24612960</v>
      </c>
      <c r="L33" s="91">
        <v>9.3717040000000001E-2</v>
      </c>
      <c r="M33" s="95">
        <v>4.5023800000000003E-2</v>
      </c>
      <c r="N33" s="95">
        <v>2.3221969999999998E-2</v>
      </c>
      <c r="O33" s="89">
        <v>7</v>
      </c>
      <c r="P33" s="89">
        <v>-6</v>
      </c>
      <c r="Q33" s="89">
        <v>15</v>
      </c>
      <c r="R33" s="94">
        <v>6.2000000000000001E-9</v>
      </c>
      <c r="S33" s="94">
        <f t="shared" si="0"/>
        <v>853299590.47790897</v>
      </c>
      <c r="T33" s="47">
        <f t="shared" si="1"/>
        <v>19.491429477164203</v>
      </c>
    </row>
    <row r="34" spans="1:20" x14ac:dyDescent="0.35">
      <c r="A34" s="87" t="s">
        <v>903</v>
      </c>
      <c r="B34" s="88">
        <v>44853</v>
      </c>
      <c r="C34" s="89">
        <v>20</v>
      </c>
      <c r="D34" s="90">
        <v>44853.676388888889</v>
      </c>
      <c r="E34" s="91">
        <v>25.083333333372138</v>
      </c>
      <c r="F34" s="92">
        <v>2213</v>
      </c>
      <c r="G34" s="92">
        <v>-3168</v>
      </c>
      <c r="H34" s="93">
        <v>0.64986169999999999</v>
      </c>
      <c r="I34" s="94">
        <v>547305600</v>
      </c>
      <c r="J34" s="91">
        <v>0.10274709999999999</v>
      </c>
      <c r="K34" s="94">
        <v>24643700</v>
      </c>
      <c r="L34" s="91">
        <v>0.10406219999999999</v>
      </c>
      <c r="M34" s="95">
        <v>4.5027299999999999E-2</v>
      </c>
      <c r="N34" s="95">
        <v>3.1531860000000002E-2</v>
      </c>
      <c r="O34" s="89">
        <v>7</v>
      </c>
      <c r="P34" s="89">
        <v>-5</v>
      </c>
      <c r="Q34" s="89">
        <v>16</v>
      </c>
      <c r="R34" s="94">
        <v>6.4000000000000002E-9</v>
      </c>
      <c r="S34" s="94">
        <f t="shared" si="0"/>
        <v>842187807.03648174</v>
      </c>
      <c r="T34" s="47">
        <f t="shared" si="1"/>
        <v>19.570681339582841</v>
      </c>
    </row>
    <row r="35" spans="1:20" x14ac:dyDescent="0.35">
      <c r="A35" s="87" t="s">
        <v>904</v>
      </c>
      <c r="B35" s="88">
        <v>44853</v>
      </c>
      <c r="C35" s="89">
        <v>20</v>
      </c>
      <c r="D35" s="90">
        <v>44853.679166666669</v>
      </c>
      <c r="E35" s="91">
        <v>25.150000000081491</v>
      </c>
      <c r="F35" s="92">
        <v>2163</v>
      </c>
      <c r="G35" s="92">
        <v>-3168</v>
      </c>
      <c r="H35" s="93">
        <v>0.65865890000000005</v>
      </c>
      <c r="I35" s="94">
        <v>546568000</v>
      </c>
      <c r="J35" s="91">
        <v>0.1007668</v>
      </c>
      <c r="K35" s="94">
        <v>24609480</v>
      </c>
      <c r="L35" s="91">
        <v>0.10079109999999999</v>
      </c>
      <c r="M35" s="95">
        <v>4.5025460000000003E-2</v>
      </c>
      <c r="N35" s="95">
        <v>2.322318E-2</v>
      </c>
      <c r="O35" s="89">
        <v>7</v>
      </c>
      <c r="P35" s="89">
        <v>-7</v>
      </c>
      <c r="Q35" s="89">
        <v>16</v>
      </c>
      <c r="R35" s="94">
        <v>6.4000000000000002E-9</v>
      </c>
      <c r="S35" s="94">
        <f t="shared" si="0"/>
        <v>829819501.41416132</v>
      </c>
      <c r="T35" s="47">
        <f t="shared" si="1"/>
        <v>19.529017503340018</v>
      </c>
    </row>
    <row r="36" spans="1:20" x14ac:dyDescent="0.35">
      <c r="A36" s="87" t="s">
        <v>905</v>
      </c>
      <c r="B36" s="88">
        <v>44853</v>
      </c>
      <c r="C36" s="89">
        <v>20</v>
      </c>
      <c r="D36" s="90">
        <v>44853.775000000001</v>
      </c>
      <c r="E36" s="91">
        <v>27.450000000069849</v>
      </c>
      <c r="F36" s="92">
        <v>2352</v>
      </c>
      <c r="G36" s="92">
        <v>-2946</v>
      </c>
      <c r="H36" s="93">
        <v>0.61104019999999992</v>
      </c>
      <c r="I36" s="94">
        <v>540830000</v>
      </c>
      <c r="J36" s="91">
        <v>9.0502920000000001E-2</v>
      </c>
      <c r="K36" s="94">
        <v>24349940</v>
      </c>
      <c r="L36" s="91">
        <v>9.0863369999999999E-2</v>
      </c>
      <c r="M36" s="95">
        <v>4.5023269999999997E-2</v>
      </c>
      <c r="N36" s="95">
        <v>2.679691E-2</v>
      </c>
      <c r="O36" s="89">
        <v>2</v>
      </c>
      <c r="P36" s="89">
        <v>-3</v>
      </c>
      <c r="Q36" s="89">
        <v>17</v>
      </c>
      <c r="R36" s="94">
        <v>1.2E-8</v>
      </c>
      <c r="S36" s="94">
        <f t="shared" si="0"/>
        <v>885097248.92077494</v>
      </c>
      <c r="T36" s="47">
        <f t="shared" si="1"/>
        <v>19.479428480854821</v>
      </c>
    </row>
    <row r="37" spans="1:20" x14ac:dyDescent="0.35">
      <c r="A37" s="87" t="s">
        <v>906</v>
      </c>
      <c r="B37" s="88">
        <v>44853</v>
      </c>
      <c r="C37" s="89">
        <v>20</v>
      </c>
      <c r="D37" s="90">
        <v>44853.77847222222</v>
      </c>
      <c r="E37" s="91">
        <v>27.533333333325572</v>
      </c>
      <c r="F37" s="92">
        <v>2302</v>
      </c>
      <c r="G37" s="92">
        <v>-2946</v>
      </c>
      <c r="H37" s="93">
        <v>0.62584779999999995</v>
      </c>
      <c r="I37" s="94">
        <v>540031800</v>
      </c>
      <c r="J37" s="91">
        <v>0.1015316</v>
      </c>
      <c r="K37" s="94">
        <v>24313000</v>
      </c>
      <c r="L37" s="91">
        <v>0.10194</v>
      </c>
      <c r="M37" s="95">
        <v>4.5021419999999999E-2</v>
      </c>
      <c r="N37" s="95">
        <v>2.6863459999999999E-2</v>
      </c>
      <c r="O37" s="89">
        <v>1</v>
      </c>
      <c r="P37" s="89">
        <v>-3</v>
      </c>
      <c r="Q37" s="89">
        <v>17</v>
      </c>
      <c r="R37" s="94">
        <v>1.0999999999999999E-8</v>
      </c>
      <c r="S37" s="94">
        <f t="shared" si="0"/>
        <v>862880399.99501479</v>
      </c>
      <c r="T37" s="47">
        <f t="shared" si="1"/>
        <v>19.437538210719254</v>
      </c>
    </row>
    <row r="38" spans="1:20" x14ac:dyDescent="0.35">
      <c r="A38" s="87" t="s">
        <v>907</v>
      </c>
      <c r="B38" s="88">
        <v>44853</v>
      </c>
      <c r="C38" s="89">
        <v>20</v>
      </c>
      <c r="D38" s="90">
        <v>44853.78125</v>
      </c>
      <c r="E38" s="91">
        <v>27.600000000034925</v>
      </c>
      <c r="F38" s="92">
        <v>2252</v>
      </c>
      <c r="G38" s="92">
        <v>-2946</v>
      </c>
      <c r="H38" s="93">
        <v>0.62431140000000007</v>
      </c>
      <c r="I38" s="94">
        <v>540387800</v>
      </c>
      <c r="J38" s="91">
        <v>9.9847539999999999E-2</v>
      </c>
      <c r="K38" s="94">
        <v>24330670</v>
      </c>
      <c r="L38" s="91">
        <v>9.9953429999999996E-2</v>
      </c>
      <c r="M38" s="95">
        <v>4.5024460000000002E-2</v>
      </c>
      <c r="N38" s="95">
        <v>2.335634E-2</v>
      </c>
      <c r="O38" s="89">
        <v>2</v>
      </c>
      <c r="P38" s="89">
        <v>-3</v>
      </c>
      <c r="Q38" s="89">
        <v>17</v>
      </c>
      <c r="R38" s="94">
        <v>1E-8</v>
      </c>
      <c r="S38" s="94">
        <f t="shared" si="0"/>
        <v>865574134.95893228</v>
      </c>
      <c r="T38" s="47">
        <f t="shared" si="1"/>
        <v>19.506374114077516</v>
      </c>
    </row>
    <row r="39" spans="1:20" x14ac:dyDescent="0.35">
      <c r="A39" s="87" t="s">
        <v>908</v>
      </c>
      <c r="B39" s="88">
        <v>44853</v>
      </c>
      <c r="C39" s="89">
        <v>20</v>
      </c>
      <c r="D39" s="90">
        <v>44853.78402777778</v>
      </c>
      <c r="E39" s="91">
        <v>27.666666666744277</v>
      </c>
      <c r="F39" s="92">
        <v>2202</v>
      </c>
      <c r="G39" s="92">
        <v>-2946</v>
      </c>
      <c r="H39" s="93">
        <v>0.63019670000000005</v>
      </c>
      <c r="I39" s="94">
        <v>540017900</v>
      </c>
      <c r="J39" s="91">
        <v>0.102476</v>
      </c>
      <c r="K39" s="94">
        <v>24313050</v>
      </c>
      <c r="L39" s="91">
        <v>0.1035504</v>
      </c>
      <c r="M39" s="95">
        <v>4.5022670000000001E-2</v>
      </c>
      <c r="N39" s="95">
        <v>2.3434950000000003E-2</v>
      </c>
      <c r="O39" s="89">
        <v>2</v>
      </c>
      <c r="P39" s="89">
        <v>-3</v>
      </c>
      <c r="Q39" s="89">
        <v>17</v>
      </c>
      <c r="R39" s="94">
        <v>9.8999999999999993E-9</v>
      </c>
      <c r="S39" s="94">
        <f t="shared" si="0"/>
        <v>856903725.45587742</v>
      </c>
      <c r="T39" s="47">
        <f t="shared" si="1"/>
        <v>19.465842447297543</v>
      </c>
    </row>
    <row r="40" spans="1:20" x14ac:dyDescent="0.35">
      <c r="A40" s="87" t="s">
        <v>909</v>
      </c>
      <c r="B40" s="88">
        <v>44853</v>
      </c>
      <c r="C40" s="89">
        <v>20</v>
      </c>
      <c r="D40" s="90">
        <v>44853.786805555559</v>
      </c>
      <c r="E40" s="91">
        <v>27.733333333453629</v>
      </c>
      <c r="F40" s="92">
        <v>2152</v>
      </c>
      <c r="G40" s="92">
        <v>-2946</v>
      </c>
      <c r="H40" s="93">
        <v>0.62564829999999994</v>
      </c>
      <c r="I40" s="94">
        <v>539502600</v>
      </c>
      <c r="J40" s="91">
        <v>0.101996</v>
      </c>
      <c r="K40" s="94">
        <v>24286560</v>
      </c>
      <c r="L40" s="91">
        <v>0.1022753</v>
      </c>
      <c r="M40" s="95">
        <v>4.5016569999999999E-2</v>
      </c>
      <c r="N40" s="95">
        <v>2.3377519999999999E-2</v>
      </c>
      <c r="O40" s="89">
        <v>2</v>
      </c>
      <c r="P40" s="89">
        <v>-3</v>
      </c>
      <c r="Q40" s="89">
        <v>16</v>
      </c>
      <c r="R40" s="94">
        <v>9.5000000000000007E-9</v>
      </c>
      <c r="S40" s="94">
        <f t="shared" si="0"/>
        <v>862309703.39086676</v>
      </c>
      <c r="T40" s="47">
        <f t="shared" si="1"/>
        <v>19.327717772796184</v>
      </c>
    </row>
    <row r="41" spans="1:20" x14ac:dyDescent="0.35">
      <c r="A41" s="87" t="s">
        <v>910</v>
      </c>
      <c r="B41" s="88">
        <v>44854</v>
      </c>
      <c r="C41" s="89">
        <v>20</v>
      </c>
      <c r="D41" s="90">
        <v>44854.361805555556</v>
      </c>
      <c r="E41" s="91">
        <v>41.53333333338378</v>
      </c>
      <c r="F41" s="92">
        <v>2427</v>
      </c>
      <c r="G41" s="92">
        <v>-3413</v>
      </c>
      <c r="H41" s="93">
        <v>0.58678530000000007</v>
      </c>
      <c r="I41" s="94">
        <v>562536300</v>
      </c>
      <c r="J41" s="91">
        <v>9.4010419999999997E-2</v>
      </c>
      <c r="K41" s="94">
        <v>25330980</v>
      </c>
      <c r="L41" s="91">
        <v>9.4515929999999998E-2</v>
      </c>
      <c r="M41" s="95">
        <v>4.5029939999999997E-2</v>
      </c>
      <c r="N41" s="95">
        <v>2.7296709999999998E-2</v>
      </c>
      <c r="O41" s="89">
        <v>6</v>
      </c>
      <c r="P41" s="89">
        <v>-3</v>
      </c>
      <c r="Q41" s="89">
        <v>17</v>
      </c>
      <c r="R41" s="94">
        <v>6.2000000000000001E-9</v>
      </c>
      <c r="S41" s="94">
        <f t="shared" si="0"/>
        <v>958674833.87876272</v>
      </c>
      <c r="T41" s="47">
        <f t="shared" si="1"/>
        <v>19.630459887235887</v>
      </c>
    </row>
    <row r="42" spans="1:20" x14ac:dyDescent="0.35">
      <c r="A42" s="87" t="s">
        <v>911</v>
      </c>
      <c r="B42" s="88">
        <v>44854</v>
      </c>
      <c r="C42" s="89">
        <v>20</v>
      </c>
      <c r="D42" s="90">
        <v>44854.364583333336</v>
      </c>
      <c r="E42" s="91">
        <v>41.600000000093132</v>
      </c>
      <c r="F42" s="92">
        <v>2377</v>
      </c>
      <c r="G42" s="92">
        <v>-3413</v>
      </c>
      <c r="H42" s="93">
        <v>0.58508539999999998</v>
      </c>
      <c r="I42" s="94">
        <v>561879600</v>
      </c>
      <c r="J42" s="91">
        <v>8.0741750000000001E-2</v>
      </c>
      <c r="K42" s="94">
        <v>25302360</v>
      </c>
      <c r="L42" s="91">
        <v>8.0333050000000003E-2</v>
      </c>
      <c r="M42" s="95">
        <v>4.5031630000000003E-2</v>
      </c>
      <c r="N42" s="95">
        <v>2.6406849999999999E-2</v>
      </c>
      <c r="O42" s="89">
        <v>6</v>
      </c>
      <c r="P42" s="89">
        <v>-3</v>
      </c>
      <c r="Q42" s="89">
        <v>17</v>
      </c>
      <c r="R42" s="94">
        <v>6.2000000000000001E-9</v>
      </c>
      <c r="S42" s="94">
        <f t="shared" si="0"/>
        <v>960337755.82162881</v>
      </c>
      <c r="T42" s="47">
        <f t="shared" si="1"/>
        <v>19.668727215089497</v>
      </c>
    </row>
    <row r="43" spans="1:20" x14ac:dyDescent="0.35">
      <c r="A43" s="87" t="s">
        <v>912</v>
      </c>
      <c r="B43" s="88">
        <v>44854</v>
      </c>
      <c r="C43" s="89">
        <v>20</v>
      </c>
      <c r="D43" s="90">
        <v>44854.367361111108</v>
      </c>
      <c r="E43" s="91">
        <v>41.666666666627862</v>
      </c>
      <c r="F43" s="92">
        <v>2327</v>
      </c>
      <c r="G43" s="92">
        <v>-3413</v>
      </c>
      <c r="H43" s="93">
        <v>0.61017180000000004</v>
      </c>
      <c r="I43" s="94">
        <v>560318500</v>
      </c>
      <c r="J43" s="91">
        <v>9.3851580000000004E-2</v>
      </c>
      <c r="K43" s="94">
        <v>25230980</v>
      </c>
      <c r="L43" s="91">
        <v>9.2996190000000006E-2</v>
      </c>
      <c r="M43" s="95">
        <v>4.5029720000000002E-2</v>
      </c>
      <c r="N43" s="95">
        <v>3.0089480000000002E-2</v>
      </c>
      <c r="O43" s="89">
        <v>6</v>
      </c>
      <c r="P43" s="89">
        <v>-4</v>
      </c>
      <c r="Q43" s="89">
        <v>17</v>
      </c>
      <c r="R43" s="94">
        <v>6.2000000000000001E-9</v>
      </c>
      <c r="S43" s="94">
        <f t="shared" si="0"/>
        <v>918296289.66792619</v>
      </c>
      <c r="T43" s="47">
        <f t="shared" si="1"/>
        <v>19.625478341598111</v>
      </c>
    </row>
    <row r="44" spans="1:20" x14ac:dyDescent="0.35">
      <c r="A44" s="87" t="s">
        <v>913</v>
      </c>
      <c r="B44" s="88">
        <v>44854</v>
      </c>
      <c r="C44" s="89">
        <v>20</v>
      </c>
      <c r="D44" s="90">
        <v>44854.370138888888</v>
      </c>
      <c r="E44" s="91">
        <v>41.733333333337214</v>
      </c>
      <c r="F44" s="92">
        <v>2277</v>
      </c>
      <c r="G44" s="92">
        <v>-3413</v>
      </c>
      <c r="H44" s="93">
        <v>0.61447610000000008</v>
      </c>
      <c r="I44" s="94">
        <v>560306900</v>
      </c>
      <c r="J44" s="91">
        <v>9.7810449999999993E-2</v>
      </c>
      <c r="K44" s="94">
        <v>25231090</v>
      </c>
      <c r="L44" s="91">
        <v>9.8235199999999995E-2</v>
      </c>
      <c r="M44" s="95">
        <v>4.5030830000000001E-2</v>
      </c>
      <c r="N44" s="95">
        <v>2.8296139999999997E-2</v>
      </c>
      <c r="O44" s="89">
        <v>6</v>
      </c>
      <c r="P44" s="89">
        <v>-4</v>
      </c>
      <c r="Q44" s="89">
        <v>16</v>
      </c>
      <c r="R44" s="94">
        <v>6.1E-9</v>
      </c>
      <c r="S44" s="94">
        <f t="shared" si="0"/>
        <v>911844903.32496238</v>
      </c>
      <c r="T44" s="47">
        <f t="shared" si="1"/>
        <v>19.650612503679497</v>
      </c>
    </row>
    <row r="45" spans="1:20" x14ac:dyDescent="0.35">
      <c r="A45" s="87" t="s">
        <v>914</v>
      </c>
      <c r="B45" s="88">
        <v>44854</v>
      </c>
      <c r="C45" s="89">
        <v>20</v>
      </c>
      <c r="D45" s="90">
        <v>44854.372916666667</v>
      </c>
      <c r="E45" s="91">
        <v>41.800000000046566</v>
      </c>
      <c r="F45" s="92">
        <v>2257</v>
      </c>
      <c r="G45" s="92">
        <v>-3288</v>
      </c>
      <c r="H45" s="93">
        <v>0.61008030000000002</v>
      </c>
      <c r="I45" s="94">
        <v>559751700</v>
      </c>
      <c r="J45" s="91">
        <v>8.9145569999999993E-2</v>
      </c>
      <c r="K45" s="94">
        <v>25204890</v>
      </c>
      <c r="L45" s="91">
        <v>8.9259699999999997E-2</v>
      </c>
      <c r="M45" s="95">
        <v>4.5028699999999998E-2</v>
      </c>
      <c r="N45" s="95">
        <v>2.8463859999999997E-2</v>
      </c>
      <c r="O45" s="89">
        <v>5</v>
      </c>
      <c r="P45" s="89">
        <v>-5</v>
      </c>
      <c r="Q45" s="89">
        <v>17</v>
      </c>
      <c r="R45" s="94">
        <v>6.2000000000000001E-9</v>
      </c>
      <c r="S45" s="94">
        <f t="shared" si="0"/>
        <v>917504957.95389557</v>
      </c>
      <c r="T45" s="47">
        <f t="shared" si="1"/>
        <v>19.602382084550342</v>
      </c>
    </row>
    <row r="46" spans="1:20" x14ac:dyDescent="0.35">
      <c r="A46" s="87" t="s">
        <v>915</v>
      </c>
      <c r="B46" s="88">
        <v>44854</v>
      </c>
      <c r="C46" s="89">
        <v>20</v>
      </c>
      <c r="D46" s="90">
        <v>44854.434027777781</v>
      </c>
      <c r="E46" s="91">
        <v>43.266666666779201</v>
      </c>
      <c r="F46" s="92">
        <v>2334</v>
      </c>
      <c r="G46" s="92">
        <v>-3162</v>
      </c>
      <c r="H46" s="93">
        <v>0.56438220000000006</v>
      </c>
      <c r="I46" s="94">
        <v>541149500</v>
      </c>
      <c r="J46" s="91">
        <v>9.1872850000000006E-2</v>
      </c>
      <c r="K46" s="94">
        <v>24364680</v>
      </c>
      <c r="L46" s="91">
        <v>9.2316469999999998E-2</v>
      </c>
      <c r="M46" s="95">
        <v>4.5023929999999997E-2</v>
      </c>
      <c r="N46" s="95">
        <v>2.3339829999999999E-2</v>
      </c>
      <c r="O46" s="89">
        <v>3</v>
      </c>
      <c r="P46" s="89">
        <v>-4</v>
      </c>
      <c r="Q46" s="89">
        <v>17</v>
      </c>
      <c r="R46" s="94">
        <v>8.5E-9</v>
      </c>
      <c r="S46" s="94">
        <f t="shared" si="0"/>
        <v>958835165.2479471</v>
      </c>
      <c r="T46" s="47">
        <f t="shared" si="1"/>
        <v>19.494373117768138</v>
      </c>
    </row>
    <row r="47" spans="1:20" x14ac:dyDescent="0.35">
      <c r="A47" s="87" t="s">
        <v>916</v>
      </c>
      <c r="B47" s="88">
        <v>44854</v>
      </c>
      <c r="C47" s="89">
        <v>20</v>
      </c>
      <c r="D47" s="90">
        <v>44854.436805555553</v>
      </c>
      <c r="E47" s="91">
        <v>43.333333333313931</v>
      </c>
      <c r="F47" s="92">
        <v>2284</v>
      </c>
      <c r="G47" s="92">
        <v>-3162</v>
      </c>
      <c r="H47" s="93">
        <v>0.57068220000000003</v>
      </c>
      <c r="I47" s="94">
        <v>542603800</v>
      </c>
      <c r="J47" s="91">
        <v>0.1026567</v>
      </c>
      <c r="K47" s="94">
        <v>24431270</v>
      </c>
      <c r="L47" s="91">
        <v>0.1020098</v>
      </c>
      <c r="M47" s="95">
        <v>4.5025990000000002E-2</v>
      </c>
      <c r="N47" s="95">
        <v>2.8904429999999998E-2</v>
      </c>
      <c r="O47" s="89">
        <v>3</v>
      </c>
      <c r="P47" s="89">
        <v>-3</v>
      </c>
      <c r="Q47" s="89">
        <v>17</v>
      </c>
      <c r="R47" s="94">
        <v>8.0999999999999997E-9</v>
      </c>
      <c r="S47" s="94">
        <f t="shared" si="0"/>
        <v>950798535.50715268</v>
      </c>
      <c r="T47" s="47">
        <f t="shared" si="1"/>
        <v>19.541018499648956</v>
      </c>
    </row>
    <row r="48" spans="1:20" x14ac:dyDescent="0.35">
      <c r="A48" s="87" t="s">
        <v>917</v>
      </c>
      <c r="B48" s="88">
        <v>44854</v>
      </c>
      <c r="C48" s="89">
        <v>20</v>
      </c>
      <c r="D48" s="90">
        <v>44854.439583333333</v>
      </c>
      <c r="E48" s="91">
        <v>43.400000000023283</v>
      </c>
      <c r="F48" s="92">
        <v>2234</v>
      </c>
      <c r="G48" s="92">
        <v>-3162</v>
      </c>
      <c r="H48" s="93">
        <v>0.57871419999999996</v>
      </c>
      <c r="I48" s="94">
        <v>539718800</v>
      </c>
      <c r="J48" s="91">
        <v>9.3102560000000001E-2</v>
      </c>
      <c r="K48" s="94">
        <v>24300350</v>
      </c>
      <c r="L48" s="91">
        <v>9.4175309999999998E-2</v>
      </c>
      <c r="M48" s="95">
        <v>4.5024080000000001E-2</v>
      </c>
      <c r="N48" s="95">
        <v>3.5087359999999998E-2</v>
      </c>
      <c r="O48" s="89">
        <v>2</v>
      </c>
      <c r="P48" s="89">
        <v>-3</v>
      </c>
      <c r="Q48" s="89">
        <v>18</v>
      </c>
      <c r="R48" s="94">
        <v>7.8000000000000004E-9</v>
      </c>
      <c r="S48" s="94">
        <f t="shared" si="0"/>
        <v>932617170.96280003</v>
      </c>
      <c r="T48" s="47">
        <f t="shared" si="1"/>
        <v>19.49776962615757</v>
      </c>
    </row>
    <row r="49" spans="1:21" x14ac:dyDescent="0.35">
      <c r="A49" s="87" t="s">
        <v>918</v>
      </c>
      <c r="B49" s="88">
        <v>44854</v>
      </c>
      <c r="C49" s="89">
        <v>20</v>
      </c>
      <c r="D49" s="90">
        <v>44854.564583333333</v>
      </c>
      <c r="E49" s="91">
        <v>46.400000000023283</v>
      </c>
      <c r="F49" s="92">
        <v>2124</v>
      </c>
      <c r="G49" s="92">
        <v>-3254</v>
      </c>
      <c r="H49" s="93">
        <v>0.63518790000000003</v>
      </c>
      <c r="I49" s="94">
        <v>565863300</v>
      </c>
      <c r="J49" s="91">
        <v>0.1039542</v>
      </c>
      <c r="K49" s="94">
        <v>25476770</v>
      </c>
      <c r="L49" s="91">
        <v>0.10429099999999999</v>
      </c>
      <c r="M49" s="95">
        <v>4.502283E-2</v>
      </c>
      <c r="N49" s="95">
        <v>2.2823940000000001E-2</v>
      </c>
      <c r="O49" s="89">
        <v>-5</v>
      </c>
      <c r="P49" s="89">
        <v>-3</v>
      </c>
      <c r="Q49" s="89">
        <v>16</v>
      </c>
      <c r="R49" s="94">
        <v>7.6999999999999995E-9</v>
      </c>
      <c r="S49" s="94">
        <f t="shared" si="0"/>
        <v>890859696.79208302</v>
      </c>
      <c r="T49" s="47">
        <f t="shared" si="1"/>
        <v>19.469465389579497</v>
      </c>
    </row>
    <row r="50" spans="1:21" x14ac:dyDescent="0.35">
      <c r="A50" s="87" t="s">
        <v>919</v>
      </c>
      <c r="B50" s="88">
        <v>44854</v>
      </c>
      <c r="C50" s="89">
        <v>20</v>
      </c>
      <c r="D50" s="90">
        <v>44854.567361111112</v>
      </c>
      <c r="E50" s="91">
        <v>46.466666666732635</v>
      </c>
      <c r="F50" s="92">
        <v>2074</v>
      </c>
      <c r="G50" s="92">
        <v>-3254</v>
      </c>
      <c r="H50" s="93">
        <v>0.65418869999999996</v>
      </c>
      <c r="I50" s="94">
        <v>566096700</v>
      </c>
      <c r="J50" s="91">
        <v>0.1019983</v>
      </c>
      <c r="K50" s="94">
        <v>25489070</v>
      </c>
      <c r="L50" s="91">
        <v>0.1021619</v>
      </c>
      <c r="M50" s="95">
        <v>4.5025999999999997E-2</v>
      </c>
      <c r="N50" s="95">
        <v>3.4642619999999999E-2</v>
      </c>
      <c r="O50" s="89">
        <v>-6</v>
      </c>
      <c r="P50" s="89">
        <v>-4</v>
      </c>
      <c r="Q50" s="89">
        <v>15</v>
      </c>
      <c r="R50" s="94">
        <v>7.6000000000000002E-9</v>
      </c>
      <c r="S50" s="94">
        <f t="shared" si="0"/>
        <v>865341605.5642662</v>
      </c>
      <c r="T50" s="47">
        <f t="shared" si="1"/>
        <v>19.541244933541478</v>
      </c>
    </row>
    <row r="51" spans="1:21" x14ac:dyDescent="0.35">
      <c r="A51" s="87" t="s">
        <v>920</v>
      </c>
      <c r="B51" s="88">
        <v>44854</v>
      </c>
      <c r="C51" s="89">
        <v>20</v>
      </c>
      <c r="D51" s="90">
        <v>44854.570138888892</v>
      </c>
      <c r="E51" s="91">
        <v>46.533333333441988</v>
      </c>
      <c r="F51" s="92">
        <v>2024</v>
      </c>
      <c r="G51" s="92">
        <v>-3254</v>
      </c>
      <c r="H51" s="93">
        <v>0.65822859999999994</v>
      </c>
      <c r="I51" s="94">
        <v>565498300</v>
      </c>
      <c r="J51" s="91">
        <v>0.1006039</v>
      </c>
      <c r="K51" s="94">
        <v>25460760</v>
      </c>
      <c r="L51" s="91">
        <v>0.10134600000000001</v>
      </c>
      <c r="M51" s="95">
        <v>4.5023580000000001E-2</v>
      </c>
      <c r="N51" s="95">
        <v>2.2831180000000003E-2</v>
      </c>
      <c r="O51" s="89">
        <v>-6</v>
      </c>
      <c r="P51" s="89">
        <v>-3</v>
      </c>
      <c r="Q51" s="89">
        <v>16</v>
      </c>
      <c r="R51" s="94">
        <v>7.4999999999999993E-9</v>
      </c>
      <c r="S51" s="94">
        <f t="shared" si="0"/>
        <v>859121435.92666745</v>
      </c>
      <c r="T51" s="47">
        <f t="shared" si="1"/>
        <v>19.486447931526428</v>
      </c>
    </row>
    <row r="52" spans="1:21" x14ac:dyDescent="0.35">
      <c r="A52" s="87" t="s">
        <v>921</v>
      </c>
      <c r="B52" s="88">
        <v>44854</v>
      </c>
      <c r="C52" s="89">
        <v>20</v>
      </c>
      <c r="D52" s="90">
        <v>44854.682638888888</v>
      </c>
      <c r="E52" s="91">
        <v>49.233333333337214</v>
      </c>
      <c r="F52" s="92">
        <v>2876</v>
      </c>
      <c r="G52" s="92">
        <v>-3212</v>
      </c>
      <c r="H52" s="93">
        <v>0.6315634</v>
      </c>
      <c r="I52" s="94">
        <v>560796000</v>
      </c>
      <c r="J52" s="91">
        <v>9.8138900000000001E-2</v>
      </c>
      <c r="K52" s="94">
        <v>25252250</v>
      </c>
      <c r="L52" s="91">
        <v>9.9177630000000003E-2</v>
      </c>
      <c r="M52" s="95">
        <v>4.502929E-2</v>
      </c>
      <c r="N52" s="95">
        <v>2.9748440000000001E-2</v>
      </c>
      <c r="O52" s="89">
        <v>10</v>
      </c>
      <c r="P52" s="89">
        <v>-5</v>
      </c>
      <c r="Q52" s="89">
        <v>20</v>
      </c>
      <c r="R52" s="94">
        <v>7.8000000000000004E-9</v>
      </c>
      <c r="S52" s="94">
        <f t="shared" si="0"/>
        <v>887948858.34106278</v>
      </c>
      <c r="T52" s="47">
        <f t="shared" si="1"/>
        <v>19.615741684215315</v>
      </c>
    </row>
    <row r="53" spans="1:21" x14ac:dyDescent="0.35">
      <c r="A53" s="87" t="s">
        <v>922</v>
      </c>
      <c r="B53" s="88">
        <v>44854</v>
      </c>
      <c r="C53" s="89">
        <v>20</v>
      </c>
      <c r="D53" s="90">
        <v>44854.685416666667</v>
      </c>
      <c r="E53" s="91">
        <v>49.300000000046566</v>
      </c>
      <c r="F53" s="92">
        <v>2826</v>
      </c>
      <c r="G53" s="92">
        <v>-3212</v>
      </c>
      <c r="H53" s="93">
        <v>0.6481884</v>
      </c>
      <c r="I53" s="94">
        <v>559514300</v>
      </c>
      <c r="J53" s="91">
        <v>0.1088018</v>
      </c>
      <c r="K53" s="94">
        <v>25194380</v>
      </c>
      <c r="L53" s="91">
        <v>0.10845249999999999</v>
      </c>
      <c r="M53" s="95">
        <v>4.5029020000000003E-2</v>
      </c>
      <c r="N53" s="95">
        <v>3.1687649999999998E-2</v>
      </c>
      <c r="O53" s="89">
        <v>9</v>
      </c>
      <c r="P53" s="89">
        <v>-5</v>
      </c>
      <c r="Q53" s="89">
        <v>19</v>
      </c>
      <c r="R53" s="94">
        <v>7.6000000000000002E-9</v>
      </c>
      <c r="S53" s="94">
        <f t="shared" si="0"/>
        <v>863197027.28404272</v>
      </c>
      <c r="T53" s="47">
        <f t="shared" si="1"/>
        <v>19.609627969114474</v>
      </c>
    </row>
    <row r="54" spans="1:21" x14ac:dyDescent="0.35">
      <c r="S54" s="98">
        <f>AVERAGE(S9:S53)</f>
        <v>897316329.24633896</v>
      </c>
      <c r="T54" s="99">
        <f>AVERAGE(T9:T53)</f>
        <v>19.573665235101252</v>
      </c>
      <c r="U54" s="100" t="s">
        <v>524</v>
      </c>
    </row>
    <row r="55" spans="1:21" x14ac:dyDescent="0.35">
      <c r="I55" s="82"/>
      <c r="T55" s="99">
        <f>STDEV(T9:T53)</f>
        <v>8.0446940360724695E-2</v>
      </c>
      <c r="U55" s="100" t="s">
        <v>929</v>
      </c>
    </row>
    <row r="56" spans="1:21" x14ac:dyDescent="0.35">
      <c r="I56" s="82"/>
      <c r="T56" s="101">
        <f>COUNT(T9:T53)</f>
        <v>45</v>
      </c>
      <c r="U56" s="100" t="s">
        <v>930</v>
      </c>
    </row>
    <row r="57" spans="1:21" x14ac:dyDescent="0.35">
      <c r="I57" s="82"/>
    </row>
  </sheetData>
  <mergeCells count="3">
    <mergeCell ref="A7:A8"/>
    <mergeCell ref="B7:B8"/>
    <mergeCell ref="C7:C8"/>
  </mergeCells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2206-4C0E-4FB1-A542-405268DCDF38}">
  <dimension ref="A1:AC139"/>
  <sheetViews>
    <sheetView workbookViewId="0">
      <selection sqref="A1:XFD1048576"/>
    </sheetView>
  </sheetViews>
  <sheetFormatPr baseColWidth="10" defaultColWidth="12" defaultRowHeight="18" x14ac:dyDescent="0.35"/>
  <cols>
    <col min="1" max="1" width="17.77734375" style="16" bestFit="1" customWidth="1"/>
    <col min="2" max="2" width="21.44140625" style="16" customWidth="1"/>
    <col min="3" max="3" width="23" style="16" customWidth="1"/>
    <col min="4" max="4" width="16.33203125" style="16" bestFit="1" customWidth="1"/>
    <col min="5" max="5" width="17.5546875" style="16" customWidth="1"/>
    <col min="6" max="7" width="20" style="16" bestFit="1" customWidth="1"/>
    <col min="8" max="8" width="15.5546875" style="16" bestFit="1" customWidth="1"/>
    <col min="9" max="12" width="12" style="16"/>
    <col min="13" max="14" width="12.44140625" style="16" bestFit="1" customWidth="1"/>
    <col min="15" max="16" width="12" style="16"/>
    <col min="17" max="17" width="11.44140625" style="16" bestFit="1" customWidth="1"/>
    <col min="18" max="18" width="21.88671875" style="16" bestFit="1" customWidth="1"/>
    <col min="19" max="19" width="25.33203125" style="16" bestFit="1" customWidth="1"/>
    <col min="20" max="20" width="25.33203125" style="16" customWidth="1"/>
    <col min="21" max="21" width="19.44140625" style="16" bestFit="1" customWidth="1"/>
    <col min="22" max="22" width="16.6640625" style="16" bestFit="1" customWidth="1"/>
    <col min="23" max="23" width="14.21875" style="16" bestFit="1" customWidth="1"/>
    <col min="24" max="24" width="34.77734375" style="16" bestFit="1" customWidth="1"/>
    <col min="25" max="16384" width="12" style="16"/>
  </cols>
  <sheetData>
    <row r="1" spans="1:29" x14ac:dyDescent="0.35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3"/>
      <c r="Y1" s="13"/>
      <c r="Z1" s="13"/>
      <c r="AA1" s="13"/>
      <c r="AB1" s="13"/>
      <c r="AC1" s="13"/>
    </row>
    <row r="2" spans="1:29" ht="20.399999999999999" x14ac:dyDescent="0.35">
      <c r="A2" s="17"/>
      <c r="B2" s="18" t="s">
        <v>931</v>
      </c>
      <c r="C2" s="19"/>
      <c r="D2" s="20">
        <v>4.4163000000000001E-2</v>
      </c>
      <c r="E2" s="21" t="s">
        <v>923</v>
      </c>
      <c r="F2" s="22"/>
      <c r="G2" s="22"/>
      <c r="H2" s="22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7"/>
      <c r="Y2" s="17"/>
      <c r="Z2" s="17"/>
      <c r="AA2" s="17"/>
      <c r="AB2" s="17"/>
      <c r="AC2" s="17"/>
    </row>
    <row r="3" spans="1:29" x14ac:dyDescent="0.35">
      <c r="A3" s="17"/>
      <c r="B3" s="23" t="s">
        <v>925</v>
      </c>
      <c r="C3" s="24"/>
      <c r="D3" s="25">
        <f>[1]Calibrate!D4</f>
        <v>4.4071177569711129</v>
      </c>
      <c r="E3" s="26" t="s">
        <v>932</v>
      </c>
      <c r="F3" s="27"/>
      <c r="G3" s="27"/>
      <c r="H3" s="27"/>
      <c r="I3" s="26"/>
      <c r="J3" s="28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7"/>
      <c r="Y3" s="17"/>
      <c r="Z3" s="29"/>
      <c r="AA3" s="17"/>
      <c r="AB3" s="17"/>
      <c r="AC3" s="17"/>
    </row>
    <row r="4" spans="1:29" x14ac:dyDescent="0.35">
      <c r="A4" s="17"/>
      <c r="B4" s="23" t="s">
        <v>933</v>
      </c>
      <c r="C4" s="24"/>
      <c r="D4" s="30">
        <f>[1]Calibrate!S54</f>
        <v>897316329.24633896</v>
      </c>
      <c r="E4" s="31"/>
      <c r="F4" s="32"/>
      <c r="G4" s="32"/>
      <c r="H4" s="32"/>
      <c r="I4" s="31"/>
      <c r="J4" s="28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7"/>
      <c r="Y4" s="17"/>
      <c r="Z4" s="29"/>
      <c r="AA4" s="17"/>
      <c r="AB4" s="17"/>
      <c r="AC4" s="17"/>
    </row>
    <row r="5" spans="1:29" x14ac:dyDescent="0.35">
      <c r="A5" s="17"/>
      <c r="B5" s="33"/>
      <c r="C5" s="33"/>
      <c r="D5" s="22"/>
      <c r="E5" s="33"/>
      <c r="F5" s="22"/>
      <c r="G5" s="33"/>
      <c r="H5" s="22"/>
      <c r="I5" s="33"/>
      <c r="J5" s="22"/>
      <c r="K5" s="33"/>
      <c r="L5" s="22"/>
      <c r="M5" s="15"/>
      <c r="N5" s="33"/>
      <c r="O5" s="22"/>
      <c r="P5" s="15"/>
      <c r="Q5" s="33"/>
      <c r="R5" s="22"/>
      <c r="S5" s="22"/>
      <c r="T5" s="22"/>
      <c r="U5" s="15"/>
      <c r="V5" s="15"/>
      <c r="W5" s="15"/>
      <c r="X5" s="17"/>
      <c r="Y5" s="17"/>
      <c r="Z5" s="17"/>
      <c r="AA5" s="17"/>
      <c r="AB5" s="17"/>
      <c r="AC5" s="17"/>
    </row>
    <row r="6" spans="1:29" ht="20.399999999999999" x14ac:dyDescent="0.35">
      <c r="A6" s="102" t="s">
        <v>848</v>
      </c>
      <c r="B6" s="104" t="s">
        <v>849</v>
      </c>
      <c r="C6" s="104" t="s">
        <v>850</v>
      </c>
      <c r="D6" s="34" t="s">
        <v>851</v>
      </c>
      <c r="E6" s="34" t="s">
        <v>852</v>
      </c>
      <c r="F6" s="34" t="s">
        <v>853</v>
      </c>
      <c r="G6" s="34" t="s">
        <v>854</v>
      </c>
      <c r="H6" s="35" t="s">
        <v>855</v>
      </c>
      <c r="I6" s="34" t="s">
        <v>934</v>
      </c>
      <c r="J6" s="35" t="s">
        <v>856</v>
      </c>
      <c r="K6" s="34" t="s">
        <v>935</v>
      </c>
      <c r="L6" s="35" t="s">
        <v>856</v>
      </c>
      <c r="M6" s="35" t="s">
        <v>936</v>
      </c>
      <c r="N6" s="35" t="s">
        <v>856</v>
      </c>
      <c r="O6" s="34" t="s">
        <v>857</v>
      </c>
      <c r="P6" s="34" t="s">
        <v>858</v>
      </c>
      <c r="Q6" s="34" t="s">
        <v>859</v>
      </c>
      <c r="R6" s="34" t="s">
        <v>860</v>
      </c>
      <c r="S6" s="34" t="s">
        <v>861</v>
      </c>
      <c r="T6" s="34" t="s">
        <v>937</v>
      </c>
      <c r="U6" s="34" t="s">
        <v>938</v>
      </c>
      <c r="V6" s="36" t="s">
        <v>939</v>
      </c>
      <c r="W6" s="37" t="s">
        <v>940</v>
      </c>
      <c r="X6" s="38" t="s">
        <v>941</v>
      </c>
      <c r="Y6" s="39"/>
      <c r="Z6" s="39"/>
      <c r="AA6" s="39"/>
      <c r="AB6" s="39"/>
      <c r="AC6" s="39"/>
    </row>
    <row r="7" spans="1:29" x14ac:dyDescent="0.35">
      <c r="A7" s="103"/>
      <c r="B7" s="105"/>
      <c r="C7" s="105"/>
      <c r="D7" s="40" t="s">
        <v>862</v>
      </c>
      <c r="E7" s="40" t="s">
        <v>863</v>
      </c>
      <c r="F7" s="40" t="s">
        <v>864</v>
      </c>
      <c r="G7" s="40" t="s">
        <v>864</v>
      </c>
      <c r="H7" s="41" t="s">
        <v>865</v>
      </c>
      <c r="I7" s="40" t="s">
        <v>866</v>
      </c>
      <c r="J7" s="41" t="s">
        <v>867</v>
      </c>
      <c r="K7" s="40" t="s">
        <v>868</v>
      </c>
      <c r="L7" s="41" t="s">
        <v>867</v>
      </c>
      <c r="M7" s="41" t="s">
        <v>869</v>
      </c>
      <c r="N7" s="41" t="s">
        <v>870</v>
      </c>
      <c r="O7" s="40" t="s">
        <v>871</v>
      </c>
      <c r="P7" s="40" t="s">
        <v>871</v>
      </c>
      <c r="Q7" s="40" t="s">
        <v>872</v>
      </c>
      <c r="R7" s="40" t="s">
        <v>873</v>
      </c>
      <c r="S7" s="40" t="s">
        <v>874</v>
      </c>
      <c r="T7" s="40"/>
      <c r="U7" s="40" t="s">
        <v>870</v>
      </c>
      <c r="V7" s="42" t="s">
        <v>870</v>
      </c>
      <c r="W7" s="42" t="s">
        <v>942</v>
      </c>
      <c r="X7" s="43"/>
      <c r="Y7" s="39"/>
      <c r="Z7" s="39"/>
      <c r="AA7" s="39"/>
      <c r="AB7" s="39"/>
      <c r="AC7" s="39"/>
    </row>
    <row r="8" spans="1:29" x14ac:dyDescent="0.35">
      <c r="A8" s="16" t="s">
        <v>379</v>
      </c>
      <c r="B8" s="44">
        <v>44852</v>
      </c>
      <c r="C8" s="45">
        <v>20</v>
      </c>
      <c r="D8" s="46">
        <v>44852.6875</v>
      </c>
      <c r="E8" s="47">
        <v>1.3500000000349246</v>
      </c>
      <c r="F8" s="45">
        <v>1041</v>
      </c>
      <c r="G8" s="45">
        <v>-2692</v>
      </c>
      <c r="H8" s="47">
        <v>0.535277</v>
      </c>
      <c r="I8" s="48">
        <v>515965900</v>
      </c>
      <c r="J8" s="47">
        <v>0.1035402</v>
      </c>
      <c r="K8" s="48">
        <v>22877250</v>
      </c>
      <c r="L8" s="47">
        <v>0.1042471</v>
      </c>
      <c r="M8" s="49">
        <v>4.4338679999999998E-2</v>
      </c>
      <c r="N8" s="49">
        <v>3.0428249999999997E-2</v>
      </c>
      <c r="O8" s="45">
        <v>10</v>
      </c>
      <c r="P8" s="45">
        <v>-14</v>
      </c>
      <c r="Q8" s="45">
        <v>31</v>
      </c>
      <c r="R8" s="48">
        <v>9.1000000000000004E-9</v>
      </c>
      <c r="S8" s="48">
        <f t="shared" ref="S8:S71" si="0">I8/H8</f>
        <v>963923165.01549661</v>
      </c>
      <c r="T8" s="50">
        <f>S8/$D$4</f>
        <v>1.0742289353244034</v>
      </c>
      <c r="U8" s="47">
        <f>((M8/$D$2)-1)*1000</f>
        <v>3.9779906256367514</v>
      </c>
      <c r="V8" s="51">
        <f>(((1+U8/1000)/(1+$D$3/1000))-1)*1000</f>
        <v>-0.42724421576445515</v>
      </c>
      <c r="W8" s="51">
        <f>N8</f>
        <v>3.0428249999999997E-2</v>
      </c>
      <c r="X8" s="16" t="s">
        <v>943</v>
      </c>
    </row>
    <row r="9" spans="1:29" x14ac:dyDescent="0.35">
      <c r="A9" s="16" t="s">
        <v>381</v>
      </c>
      <c r="B9" s="44">
        <v>44852</v>
      </c>
      <c r="C9" s="45">
        <v>20</v>
      </c>
      <c r="D9" s="46">
        <v>44852.690972222219</v>
      </c>
      <c r="E9" s="47">
        <v>1.4333333332906477</v>
      </c>
      <c r="F9" s="45">
        <v>1131</v>
      </c>
      <c r="G9" s="45">
        <v>-2634</v>
      </c>
      <c r="H9" s="47">
        <v>0.54876329999999995</v>
      </c>
      <c r="I9" s="48">
        <v>515123600</v>
      </c>
      <c r="J9" s="47">
        <v>0.10635989999999999</v>
      </c>
      <c r="K9" s="48">
        <v>22830920</v>
      </c>
      <c r="L9" s="47">
        <v>0.10629329999999999</v>
      </c>
      <c r="M9" s="49">
        <v>4.432125E-2</v>
      </c>
      <c r="N9" s="49">
        <v>2.8175840000000001E-2</v>
      </c>
      <c r="O9" s="45">
        <v>9</v>
      </c>
      <c r="P9" s="45">
        <v>-9</v>
      </c>
      <c r="Q9" s="45">
        <v>36</v>
      </c>
      <c r="R9" s="48">
        <v>9.1999999999999997E-9</v>
      </c>
      <c r="S9" s="48">
        <f t="shared" si="0"/>
        <v>938699071.16602015</v>
      </c>
      <c r="T9" s="47">
        <f t="shared" ref="T9:T72" si="1">S9/$D$4</f>
        <v>1.0461183426300051</v>
      </c>
      <c r="U9" s="47">
        <f t="shared" ref="U9:U72" si="2">((M9/$D$2)-1)*1000</f>
        <v>3.5833163507914545</v>
      </c>
      <c r="V9" s="51">
        <f t="shared" ref="V9:V72" si="3">(((1+U9/1000)/(1+$D$3/1000))-1)*1000</f>
        <v>-0.8201867466046675</v>
      </c>
      <c r="W9" s="51">
        <f t="shared" ref="W9:W72" si="4">N9</f>
        <v>2.8175840000000001E-2</v>
      </c>
    </row>
    <row r="10" spans="1:29" x14ac:dyDescent="0.35">
      <c r="A10" s="16" t="s">
        <v>383</v>
      </c>
      <c r="B10" s="44">
        <v>44852</v>
      </c>
      <c r="C10" s="45">
        <v>20</v>
      </c>
      <c r="D10" s="46">
        <v>44852.695833333331</v>
      </c>
      <c r="E10" s="47">
        <v>1.5499999999883585</v>
      </c>
      <c r="F10" s="45">
        <v>690</v>
      </c>
      <c r="G10" s="45">
        <v>-2573</v>
      </c>
      <c r="H10" s="47">
        <v>0.52375510000000003</v>
      </c>
      <c r="I10" s="48">
        <v>524083200</v>
      </c>
      <c r="J10" s="47">
        <v>9.565651E-2</v>
      </c>
      <c r="K10" s="48">
        <v>23240300</v>
      </c>
      <c r="L10" s="47">
        <v>9.6661300000000006E-2</v>
      </c>
      <c r="M10" s="49">
        <v>4.4344679999999997E-2</v>
      </c>
      <c r="N10" s="49">
        <v>2.6422930000000001E-2</v>
      </c>
      <c r="O10" s="45">
        <v>15</v>
      </c>
      <c r="P10" s="45">
        <v>-11</v>
      </c>
      <c r="Q10" s="45">
        <v>12</v>
      </c>
      <c r="R10" s="48">
        <v>9.1000000000000004E-9</v>
      </c>
      <c r="S10" s="48">
        <f t="shared" si="0"/>
        <v>1000626437.8141615</v>
      </c>
      <c r="T10" s="50">
        <f t="shared" si="1"/>
        <v>1.1151323175569459</v>
      </c>
      <c r="U10" s="47">
        <f t="shared" si="2"/>
        <v>4.1138509612117513</v>
      </c>
      <c r="V10" s="51">
        <f t="shared" si="3"/>
        <v>-0.29198000549246483</v>
      </c>
      <c r="W10" s="51">
        <f t="shared" si="4"/>
        <v>2.6422930000000001E-2</v>
      </c>
      <c r="X10" s="16" t="s">
        <v>943</v>
      </c>
    </row>
    <row r="11" spans="1:29" x14ac:dyDescent="0.35">
      <c r="A11" s="16" t="s">
        <v>384</v>
      </c>
      <c r="B11" s="44">
        <v>44852</v>
      </c>
      <c r="C11" s="45">
        <v>20</v>
      </c>
      <c r="D11" s="46">
        <v>44852.699305555558</v>
      </c>
      <c r="E11" s="47">
        <v>1.6333333334187046</v>
      </c>
      <c r="F11" s="45">
        <v>721</v>
      </c>
      <c r="G11" s="45">
        <v>-2782</v>
      </c>
      <c r="H11" s="47">
        <v>0.55057829999999996</v>
      </c>
      <c r="I11" s="48">
        <v>549656000</v>
      </c>
      <c r="J11" s="47">
        <v>0.1042223</v>
      </c>
      <c r="K11" s="48">
        <v>24369460</v>
      </c>
      <c r="L11" s="47">
        <v>0.1045243</v>
      </c>
      <c r="M11" s="49">
        <v>4.4335840000000001E-2</v>
      </c>
      <c r="N11" s="49">
        <v>2.513526E-2</v>
      </c>
      <c r="O11" s="45">
        <v>6</v>
      </c>
      <c r="P11" s="45">
        <v>-21</v>
      </c>
      <c r="Q11" s="45">
        <v>-4</v>
      </c>
      <c r="R11" s="48">
        <v>9.1000000000000004E-9</v>
      </c>
      <c r="S11" s="48">
        <f t="shared" si="0"/>
        <v>998324852.25080621</v>
      </c>
      <c r="T11" s="50">
        <f t="shared" si="1"/>
        <v>1.1125673519051023</v>
      </c>
      <c r="U11" s="47">
        <f t="shared" si="2"/>
        <v>3.9136834001314291</v>
      </c>
      <c r="V11" s="51">
        <f t="shared" si="3"/>
        <v>-0.49126927529308251</v>
      </c>
      <c r="W11" s="51">
        <f t="shared" si="4"/>
        <v>2.513526E-2</v>
      </c>
      <c r="X11" s="16" t="s">
        <v>943</v>
      </c>
    </row>
    <row r="12" spans="1:29" x14ac:dyDescent="0.35">
      <c r="A12" s="16" t="s">
        <v>385</v>
      </c>
      <c r="B12" s="44">
        <v>44852</v>
      </c>
      <c r="C12" s="45">
        <v>20</v>
      </c>
      <c r="D12" s="46">
        <v>44852.703472222223</v>
      </c>
      <c r="E12" s="47">
        <v>1.7333333333954215</v>
      </c>
      <c r="F12" s="45">
        <v>381</v>
      </c>
      <c r="G12" s="45">
        <v>-2493</v>
      </c>
      <c r="H12" s="47">
        <v>0.41341359999999999</v>
      </c>
      <c r="I12" s="48">
        <v>514546900</v>
      </c>
      <c r="J12" s="47">
        <v>0.10084700000000001</v>
      </c>
      <c r="K12" s="48">
        <v>22812700</v>
      </c>
      <c r="L12" s="47">
        <v>0.1014789</v>
      </c>
      <c r="M12" s="49">
        <v>4.43355E-2</v>
      </c>
      <c r="N12" s="49">
        <v>2.4115019999999997E-2</v>
      </c>
      <c r="O12" s="45">
        <v>24</v>
      </c>
      <c r="P12" s="45">
        <v>-4</v>
      </c>
      <c r="Q12" s="45">
        <v>-13</v>
      </c>
      <c r="R12" s="48">
        <v>8.9999999999999995E-9</v>
      </c>
      <c r="S12" s="48">
        <f t="shared" si="0"/>
        <v>1244629833.1743319</v>
      </c>
      <c r="T12" s="50">
        <f t="shared" si="1"/>
        <v>1.3870580447585341</v>
      </c>
      <c r="U12" s="47">
        <f t="shared" si="2"/>
        <v>3.9059846477820237</v>
      </c>
      <c r="V12" s="51">
        <f t="shared" si="3"/>
        <v>-0.49893424720870438</v>
      </c>
      <c r="W12" s="51">
        <f t="shared" si="4"/>
        <v>2.4115019999999997E-2</v>
      </c>
      <c r="X12" s="16" t="s">
        <v>943</v>
      </c>
    </row>
    <row r="13" spans="1:29" x14ac:dyDescent="0.35">
      <c r="A13" s="16" t="s">
        <v>386</v>
      </c>
      <c r="B13" s="44">
        <v>44852</v>
      </c>
      <c r="C13" s="45">
        <v>20</v>
      </c>
      <c r="D13" s="46">
        <v>44852.706944444442</v>
      </c>
      <c r="E13" s="47">
        <v>1.8166666666511446</v>
      </c>
      <c r="F13" s="45">
        <v>560</v>
      </c>
      <c r="G13" s="45">
        <v>-2391</v>
      </c>
      <c r="H13" s="47">
        <v>0.43005500000000002</v>
      </c>
      <c r="I13" s="48">
        <v>507839700</v>
      </c>
      <c r="J13" s="47">
        <v>9.7050020000000001E-2</v>
      </c>
      <c r="K13" s="48">
        <v>22516110</v>
      </c>
      <c r="L13" s="47">
        <v>9.8122459999999995E-2</v>
      </c>
      <c r="M13" s="49">
        <v>4.4337040000000001E-2</v>
      </c>
      <c r="N13" s="49">
        <v>2.8873200000000002E-2</v>
      </c>
      <c r="O13" s="45">
        <v>21</v>
      </c>
      <c r="P13" s="45">
        <v>8</v>
      </c>
      <c r="Q13" s="45">
        <v>-3</v>
      </c>
      <c r="R13" s="48">
        <v>8.9000000000000003E-9</v>
      </c>
      <c r="S13" s="48">
        <f t="shared" si="0"/>
        <v>1180871516.4339445</v>
      </c>
      <c r="T13" s="50">
        <f t="shared" si="1"/>
        <v>1.3160035964415862</v>
      </c>
      <c r="U13" s="47">
        <f t="shared" si="2"/>
        <v>3.9408554672464291</v>
      </c>
      <c r="V13" s="51">
        <f t="shared" si="3"/>
        <v>-0.46421643323868444</v>
      </c>
      <c r="W13" s="51">
        <f t="shared" si="4"/>
        <v>2.8873200000000002E-2</v>
      </c>
      <c r="X13" s="16" t="s">
        <v>943</v>
      </c>
    </row>
    <row r="14" spans="1:29" x14ac:dyDescent="0.35">
      <c r="A14" s="16" t="s">
        <v>387</v>
      </c>
      <c r="B14" s="44">
        <v>44852</v>
      </c>
      <c r="C14" s="45">
        <v>20</v>
      </c>
      <c r="D14" s="46">
        <v>44852.710416666669</v>
      </c>
      <c r="E14" s="47">
        <v>1.9000000000814907</v>
      </c>
      <c r="F14" s="45">
        <v>1136</v>
      </c>
      <c r="G14" s="45">
        <v>-3531</v>
      </c>
      <c r="H14" s="47">
        <v>0.49780419999999997</v>
      </c>
      <c r="I14" s="48">
        <v>516958800</v>
      </c>
      <c r="J14" s="47">
        <v>0.1036352</v>
      </c>
      <c r="K14" s="48">
        <v>22904190</v>
      </c>
      <c r="L14" s="47">
        <v>0.1042908</v>
      </c>
      <c r="M14" s="49">
        <v>4.4305629999999999E-2</v>
      </c>
      <c r="N14" s="49">
        <v>2.4066709999999998E-2</v>
      </c>
      <c r="O14" s="45">
        <v>12</v>
      </c>
      <c r="P14" s="45">
        <v>-21</v>
      </c>
      <c r="Q14" s="45">
        <v>27</v>
      </c>
      <c r="R14" s="48">
        <v>8.9000000000000003E-9</v>
      </c>
      <c r="S14" s="48">
        <f t="shared" si="0"/>
        <v>1038478180.7787079</v>
      </c>
      <c r="T14" s="50">
        <f t="shared" si="1"/>
        <v>1.1573155942129478</v>
      </c>
      <c r="U14" s="47">
        <f t="shared" si="2"/>
        <v>3.2296266105109606</v>
      </c>
      <c r="V14" s="51">
        <f t="shared" si="3"/>
        <v>-1.1723245740130617</v>
      </c>
      <c r="W14" s="51">
        <f t="shared" si="4"/>
        <v>2.4066709999999998E-2</v>
      </c>
      <c r="X14" s="16" t="s">
        <v>943</v>
      </c>
    </row>
    <row r="15" spans="1:29" x14ac:dyDescent="0.35">
      <c r="A15" s="16" t="s">
        <v>388</v>
      </c>
      <c r="B15" s="44">
        <v>44852</v>
      </c>
      <c r="C15" s="45">
        <v>20</v>
      </c>
      <c r="D15" s="46">
        <v>44852.714583333334</v>
      </c>
      <c r="E15" s="47">
        <v>2.0000000000582077</v>
      </c>
      <c r="F15" s="45">
        <v>-436</v>
      </c>
      <c r="G15" s="45">
        <v>-1768</v>
      </c>
      <c r="H15" s="47">
        <v>0.3873414</v>
      </c>
      <c r="I15" s="48">
        <v>416666500</v>
      </c>
      <c r="J15" s="47">
        <v>0.2192607</v>
      </c>
      <c r="K15" s="48">
        <v>18494200</v>
      </c>
      <c r="L15" s="47">
        <v>0.2200165</v>
      </c>
      <c r="M15" s="49">
        <v>4.4386080000000001E-2</v>
      </c>
      <c r="N15" s="49">
        <v>3.6062669999999998E-2</v>
      </c>
      <c r="O15" s="45">
        <v>2</v>
      </c>
      <c r="P15" s="45">
        <v>3</v>
      </c>
      <c r="Q15" s="45">
        <v>-28</v>
      </c>
      <c r="R15" s="48">
        <v>8.7999999999999994E-9</v>
      </c>
      <c r="S15" s="48">
        <f t="shared" si="0"/>
        <v>1075708664.242965</v>
      </c>
      <c r="T15" s="50">
        <f t="shared" si="1"/>
        <v>1.1988065180385814</v>
      </c>
      <c r="U15" s="47">
        <f t="shared" si="2"/>
        <v>5.0512872766796946</v>
      </c>
      <c r="V15" s="51">
        <f t="shared" si="3"/>
        <v>0.64134304538487896</v>
      </c>
      <c r="W15" s="51">
        <f t="shared" si="4"/>
        <v>3.6062669999999998E-2</v>
      </c>
      <c r="X15" s="16" t="s">
        <v>943</v>
      </c>
    </row>
    <row r="16" spans="1:29" x14ac:dyDescent="0.35">
      <c r="A16" s="16" t="s">
        <v>389</v>
      </c>
      <c r="B16" s="44">
        <v>44852</v>
      </c>
      <c r="C16" s="45">
        <v>20</v>
      </c>
      <c r="D16" s="46">
        <v>44852.720138888886</v>
      </c>
      <c r="E16" s="47">
        <v>2.1333333333022892</v>
      </c>
      <c r="F16" s="45">
        <v>-1646</v>
      </c>
      <c r="G16" s="45">
        <v>-3912</v>
      </c>
      <c r="H16" s="47">
        <v>0.51224720000000001</v>
      </c>
      <c r="I16" s="48">
        <v>521889500</v>
      </c>
      <c r="J16" s="47">
        <v>9.8600999999999994E-2</v>
      </c>
      <c r="K16" s="48">
        <v>23118960</v>
      </c>
      <c r="L16" s="47">
        <v>9.9596030000000002E-2</v>
      </c>
      <c r="M16" s="49">
        <v>4.4298560000000001E-2</v>
      </c>
      <c r="N16" s="49">
        <v>2.9669629999999999E-2</v>
      </c>
      <c r="O16" s="45">
        <v>-26</v>
      </c>
      <c r="P16" s="45">
        <v>7</v>
      </c>
      <c r="Q16" s="45">
        <v>24</v>
      </c>
      <c r="R16" s="48">
        <v>8.5999999999999993E-9</v>
      </c>
      <c r="S16" s="48">
        <f t="shared" si="0"/>
        <v>1018823528.9524276</v>
      </c>
      <c r="T16" s="50">
        <f t="shared" si="1"/>
        <v>1.1354117781497894</v>
      </c>
      <c r="U16" s="47">
        <f t="shared" si="2"/>
        <v>3.069537848425119</v>
      </c>
      <c r="V16" s="51">
        <f t="shared" si="3"/>
        <v>-1.3317109017836337</v>
      </c>
      <c r="W16" s="51">
        <f t="shared" si="4"/>
        <v>2.9669629999999999E-2</v>
      </c>
      <c r="X16" s="16" t="s">
        <v>943</v>
      </c>
    </row>
    <row r="17" spans="1:24" x14ac:dyDescent="0.35">
      <c r="A17" s="16" t="s">
        <v>390</v>
      </c>
      <c r="B17" s="44">
        <v>44852</v>
      </c>
      <c r="C17" s="45">
        <v>20</v>
      </c>
      <c r="D17" s="46">
        <v>44852.723611111112</v>
      </c>
      <c r="E17" s="47">
        <v>2.2166666667326353</v>
      </c>
      <c r="F17" s="45">
        <v>-1637</v>
      </c>
      <c r="G17" s="45">
        <v>-3935</v>
      </c>
      <c r="H17" s="47">
        <v>0.53120899999999993</v>
      </c>
      <c r="I17" s="48">
        <v>527654600</v>
      </c>
      <c r="J17" s="47">
        <v>0.1217298</v>
      </c>
      <c r="K17" s="48">
        <v>23404260</v>
      </c>
      <c r="L17" s="47">
        <v>0.12212480000000001</v>
      </c>
      <c r="M17" s="49">
        <v>4.4355260000000001E-2</v>
      </c>
      <c r="N17" s="49">
        <v>2.6453169999999998E-2</v>
      </c>
      <c r="O17" s="45">
        <v>-26</v>
      </c>
      <c r="P17" s="45">
        <v>4</v>
      </c>
      <c r="Q17" s="45">
        <v>26</v>
      </c>
      <c r="R17" s="48">
        <v>8.7000000000000001E-9</v>
      </c>
      <c r="S17" s="48">
        <f t="shared" si="0"/>
        <v>993308848.30641055</v>
      </c>
      <c r="T17" s="50">
        <f t="shared" si="1"/>
        <v>1.1069773455930487</v>
      </c>
      <c r="U17" s="47">
        <f t="shared" si="2"/>
        <v>4.3534180196092009</v>
      </c>
      <c r="V17" s="51">
        <f t="shared" si="3"/>
        <v>-5.346411471263135E-2</v>
      </c>
      <c r="W17" s="51">
        <f t="shared" si="4"/>
        <v>2.6453169999999998E-2</v>
      </c>
      <c r="X17" s="16" t="s">
        <v>943</v>
      </c>
    </row>
    <row r="18" spans="1:24" x14ac:dyDescent="0.35">
      <c r="A18" s="16" t="s">
        <v>392</v>
      </c>
      <c r="B18" s="44">
        <v>44852</v>
      </c>
      <c r="C18" s="45">
        <v>20</v>
      </c>
      <c r="D18" s="46">
        <v>44852.727777777778</v>
      </c>
      <c r="E18" s="47">
        <v>2.3166666667093523</v>
      </c>
      <c r="F18" s="45">
        <v>-1928</v>
      </c>
      <c r="G18" s="45">
        <v>-3707</v>
      </c>
      <c r="H18" s="47">
        <v>0.43062840000000002</v>
      </c>
      <c r="I18" s="48">
        <v>493109700</v>
      </c>
      <c r="J18" s="47">
        <v>0.1131504</v>
      </c>
      <c r="K18" s="48">
        <v>21846250</v>
      </c>
      <c r="L18" s="47">
        <v>0.1143721</v>
      </c>
      <c r="M18" s="49">
        <v>4.4303009999999997E-2</v>
      </c>
      <c r="N18" s="49">
        <v>3.0775379999999998E-2</v>
      </c>
      <c r="O18" s="45">
        <v>-25</v>
      </c>
      <c r="P18" s="45">
        <v>24</v>
      </c>
      <c r="Q18" s="45">
        <v>56</v>
      </c>
      <c r="R18" s="48">
        <v>8.7000000000000001E-9</v>
      </c>
      <c r="S18" s="48">
        <f t="shared" si="0"/>
        <v>1145093310.1486106</v>
      </c>
      <c r="T18" s="50">
        <f t="shared" si="1"/>
        <v>1.2761311399630728</v>
      </c>
      <c r="U18" s="47">
        <f t="shared" si="2"/>
        <v>3.1703009306431884</v>
      </c>
      <c r="V18" s="51">
        <f t="shared" si="3"/>
        <v>-1.2313899458319399</v>
      </c>
      <c r="W18" s="51">
        <f t="shared" si="4"/>
        <v>3.0775379999999998E-2</v>
      </c>
      <c r="X18" s="16" t="s">
        <v>943</v>
      </c>
    </row>
    <row r="19" spans="1:24" x14ac:dyDescent="0.35">
      <c r="A19" s="16" t="s">
        <v>393</v>
      </c>
      <c r="B19" s="44">
        <v>44852</v>
      </c>
      <c r="C19" s="45">
        <v>20</v>
      </c>
      <c r="D19" s="46">
        <v>44852.731249999997</v>
      </c>
      <c r="E19" s="47">
        <v>2.3999999999650754</v>
      </c>
      <c r="F19" s="45">
        <v>-2201</v>
      </c>
      <c r="G19" s="45">
        <v>-3767</v>
      </c>
      <c r="H19" s="47">
        <v>0.49934689999999998</v>
      </c>
      <c r="I19" s="48">
        <v>531189700</v>
      </c>
      <c r="J19" s="47">
        <v>0.10280739999999999</v>
      </c>
      <c r="K19" s="48">
        <v>23562690</v>
      </c>
      <c r="L19" s="47">
        <v>0.102968</v>
      </c>
      <c r="M19" s="49">
        <v>4.4358340000000003E-2</v>
      </c>
      <c r="N19" s="49">
        <v>3.5606909999999999E-2</v>
      </c>
      <c r="O19" s="45">
        <v>-14</v>
      </c>
      <c r="P19" s="45">
        <v>9</v>
      </c>
      <c r="Q19" s="45">
        <v>13</v>
      </c>
      <c r="R19" s="48">
        <v>8.5E-9</v>
      </c>
      <c r="S19" s="48">
        <f t="shared" si="0"/>
        <v>1063768894.9305583</v>
      </c>
      <c r="T19" s="50">
        <f t="shared" si="1"/>
        <v>1.1855004308503154</v>
      </c>
      <c r="U19" s="47">
        <f t="shared" si="2"/>
        <v>4.4231596585377897</v>
      </c>
      <c r="V19" s="51">
        <f t="shared" si="3"/>
        <v>1.5971513227075462E-2</v>
      </c>
      <c r="W19" s="51">
        <f t="shared" si="4"/>
        <v>3.5606909999999999E-2</v>
      </c>
      <c r="X19" s="16" t="s">
        <v>943</v>
      </c>
    </row>
    <row r="20" spans="1:24" x14ac:dyDescent="0.35">
      <c r="A20" s="16" t="s">
        <v>394</v>
      </c>
      <c r="B20" s="44">
        <v>44852</v>
      </c>
      <c r="C20" s="45">
        <v>20</v>
      </c>
      <c r="D20" s="46">
        <v>44852.734722222223</v>
      </c>
      <c r="E20" s="47">
        <v>2.4833333333954215</v>
      </c>
      <c r="F20" s="45">
        <v>-2247</v>
      </c>
      <c r="G20" s="45">
        <v>-3675</v>
      </c>
      <c r="H20" s="47">
        <v>0.47329900000000003</v>
      </c>
      <c r="I20" s="48">
        <v>514058200</v>
      </c>
      <c r="J20" s="47">
        <v>0.1155858</v>
      </c>
      <c r="K20" s="48">
        <v>22790780</v>
      </c>
      <c r="L20" s="47">
        <v>0.1160122</v>
      </c>
      <c r="M20" s="49">
        <v>4.4335020000000003E-2</v>
      </c>
      <c r="N20" s="49">
        <v>3.1479970000000003E-2</v>
      </c>
      <c r="O20" s="45">
        <v>-14</v>
      </c>
      <c r="P20" s="45">
        <v>12</v>
      </c>
      <c r="Q20" s="45">
        <v>19</v>
      </c>
      <c r="R20" s="48">
        <v>8.4000000000000008E-9</v>
      </c>
      <c r="S20" s="48">
        <f t="shared" si="0"/>
        <v>1086117232.4471421</v>
      </c>
      <c r="T20" s="50">
        <f t="shared" si="1"/>
        <v>1.2104061823541963</v>
      </c>
      <c r="U20" s="47">
        <f t="shared" si="2"/>
        <v>3.8951158209361569</v>
      </c>
      <c r="V20" s="51">
        <f t="shared" si="3"/>
        <v>-0.50975538403030818</v>
      </c>
      <c r="W20" s="51">
        <f t="shared" si="4"/>
        <v>3.1479970000000003E-2</v>
      </c>
      <c r="X20" s="16" t="s">
        <v>943</v>
      </c>
    </row>
    <row r="21" spans="1:24" x14ac:dyDescent="0.35">
      <c r="A21" s="16" t="s">
        <v>395</v>
      </c>
      <c r="B21" s="44">
        <v>44852</v>
      </c>
      <c r="C21" s="45">
        <v>20</v>
      </c>
      <c r="D21" s="46">
        <v>44852.738194444442</v>
      </c>
      <c r="E21" s="47">
        <v>2.5666666666511446</v>
      </c>
      <c r="F21" s="45">
        <v>-2295</v>
      </c>
      <c r="G21" s="45">
        <v>-3590</v>
      </c>
      <c r="H21" s="47">
        <v>0.37987349999999998</v>
      </c>
      <c r="I21" s="48">
        <v>497738500</v>
      </c>
      <c r="J21" s="47">
        <v>9.9401989999999996E-2</v>
      </c>
      <c r="K21" s="48">
        <v>22037720</v>
      </c>
      <c r="L21" s="47">
        <v>0.1002487</v>
      </c>
      <c r="M21" s="49">
        <v>4.4275700000000001E-2</v>
      </c>
      <c r="N21" s="49">
        <v>3.2437930000000004E-2</v>
      </c>
      <c r="O21" s="45">
        <v>-12</v>
      </c>
      <c r="P21" s="45">
        <v>22</v>
      </c>
      <c r="Q21" s="45">
        <v>15</v>
      </c>
      <c r="R21" s="48">
        <v>8.2999999999999999E-9</v>
      </c>
      <c r="S21" s="48">
        <f t="shared" si="0"/>
        <v>1310274341.3267839</v>
      </c>
      <c r="T21" s="50">
        <f t="shared" si="1"/>
        <v>1.4602145292812077</v>
      </c>
      <c r="U21" s="47">
        <f t="shared" si="2"/>
        <v>2.5519099698843029</v>
      </c>
      <c r="V21" s="51">
        <f t="shared" si="3"/>
        <v>-1.8470675429200778</v>
      </c>
      <c r="W21" s="51">
        <f t="shared" si="4"/>
        <v>3.2437930000000004E-2</v>
      </c>
      <c r="X21" s="16" t="s">
        <v>943</v>
      </c>
    </row>
    <row r="22" spans="1:24" x14ac:dyDescent="0.35">
      <c r="A22" s="52" t="s">
        <v>396</v>
      </c>
      <c r="B22" s="53">
        <v>44852</v>
      </c>
      <c r="C22" s="54">
        <v>20</v>
      </c>
      <c r="D22" s="55">
        <v>44852.742361111108</v>
      </c>
      <c r="E22" s="56">
        <v>2.6666666666278616</v>
      </c>
      <c r="F22" s="54">
        <v>-1706</v>
      </c>
      <c r="G22" s="54">
        <v>-4033</v>
      </c>
      <c r="H22" s="56">
        <v>0.61198600000000003</v>
      </c>
      <c r="I22" s="57">
        <v>552031200</v>
      </c>
      <c r="J22" s="56">
        <v>0.1077577</v>
      </c>
      <c r="K22" s="57">
        <v>24451680</v>
      </c>
      <c r="L22" s="56">
        <v>0.1086753</v>
      </c>
      <c r="M22" s="58">
        <v>4.4294010000000002E-2</v>
      </c>
      <c r="N22" s="58">
        <v>2.6598650000000001E-2</v>
      </c>
      <c r="O22" s="54">
        <v>-24</v>
      </c>
      <c r="P22" s="54">
        <v>9</v>
      </c>
      <c r="Q22" s="54">
        <v>1</v>
      </c>
      <c r="R22" s="57">
        <v>8.2999999999999999E-9</v>
      </c>
      <c r="S22" s="57">
        <f t="shared" si="0"/>
        <v>902032399.43397391</v>
      </c>
      <c r="T22" s="56">
        <f t="shared" si="1"/>
        <v>1.0052557498776336</v>
      </c>
      <c r="U22" s="56">
        <f t="shared" si="2"/>
        <v>2.9665104272806886</v>
      </c>
      <c r="V22" s="59">
        <f t="shared" si="3"/>
        <v>-1.4342862612399809</v>
      </c>
      <c r="W22" s="59">
        <f t="shared" si="4"/>
        <v>2.6598650000000001E-2</v>
      </c>
      <c r="X22" s="52"/>
    </row>
    <row r="23" spans="1:24" x14ac:dyDescent="0.35">
      <c r="A23" s="16" t="s">
        <v>400</v>
      </c>
      <c r="B23" s="44">
        <v>44853</v>
      </c>
      <c r="C23" s="45">
        <v>20</v>
      </c>
      <c r="D23" s="46">
        <v>44853.40625</v>
      </c>
      <c r="E23" s="47">
        <v>18.600000000034925</v>
      </c>
      <c r="F23" s="45">
        <v>-272</v>
      </c>
      <c r="G23" s="45">
        <v>2412</v>
      </c>
      <c r="H23" s="47">
        <v>0.57498260000000001</v>
      </c>
      <c r="I23" s="48">
        <v>531065000</v>
      </c>
      <c r="J23" s="47">
        <v>0.1028288</v>
      </c>
      <c r="K23" s="48">
        <v>23309180</v>
      </c>
      <c r="L23" s="47">
        <v>0.1039925</v>
      </c>
      <c r="M23" s="49">
        <v>4.3891390000000002E-2</v>
      </c>
      <c r="N23" s="49">
        <v>2.7405840000000001E-2</v>
      </c>
      <c r="O23" s="45">
        <v>-2</v>
      </c>
      <c r="P23" s="45">
        <v>-3</v>
      </c>
      <c r="Q23" s="45">
        <v>-8</v>
      </c>
      <c r="R23" s="48">
        <v>6.1E-9</v>
      </c>
      <c r="S23" s="48">
        <f t="shared" si="0"/>
        <v>923619253.86959529</v>
      </c>
      <c r="T23" s="47">
        <f t="shared" si="1"/>
        <v>1.0293128785980616</v>
      </c>
      <c r="U23" s="47">
        <f t="shared" si="2"/>
        <v>-6.1501709575888519</v>
      </c>
      <c r="V23" s="51">
        <f t="shared" si="3"/>
        <v>-10.510965651195692</v>
      </c>
      <c r="W23" s="51">
        <f t="shared" si="4"/>
        <v>2.7405840000000001E-2</v>
      </c>
    </row>
    <row r="24" spans="1:24" x14ac:dyDescent="0.35">
      <c r="A24" s="16" t="s">
        <v>401</v>
      </c>
      <c r="B24" s="44">
        <v>44853</v>
      </c>
      <c r="C24" s="45">
        <v>20</v>
      </c>
      <c r="D24" s="46">
        <v>44853.40902777778</v>
      </c>
      <c r="E24" s="47">
        <v>18.666666666744277</v>
      </c>
      <c r="F24" s="45">
        <v>-248</v>
      </c>
      <c r="G24" s="45">
        <v>2433</v>
      </c>
      <c r="H24" s="47">
        <v>0.49014060000000004</v>
      </c>
      <c r="I24" s="48">
        <v>523897000</v>
      </c>
      <c r="J24" s="47">
        <v>0.1124889</v>
      </c>
      <c r="K24" s="48">
        <v>23021780</v>
      </c>
      <c r="L24" s="47">
        <v>0.1127623</v>
      </c>
      <c r="M24" s="49">
        <v>4.3943320000000001E-2</v>
      </c>
      <c r="N24" s="49">
        <v>2.4342489999999998E-2</v>
      </c>
      <c r="O24" s="45">
        <v>-3</v>
      </c>
      <c r="P24" s="45">
        <v>-2</v>
      </c>
      <c r="Q24" s="45">
        <v>-5</v>
      </c>
      <c r="R24" s="48">
        <v>6.1E-9</v>
      </c>
      <c r="S24" s="48">
        <f t="shared" si="0"/>
        <v>1068870850.5273792</v>
      </c>
      <c r="T24" s="50">
        <f t="shared" si="1"/>
        <v>1.1911862246228482</v>
      </c>
      <c r="U24" s="47">
        <f t="shared" si="2"/>
        <v>-4.9742997531870836</v>
      </c>
      <c r="V24" s="51">
        <f t="shared" si="3"/>
        <v>-9.3402539112911178</v>
      </c>
      <c r="W24" s="51">
        <f t="shared" si="4"/>
        <v>2.4342489999999998E-2</v>
      </c>
      <c r="X24" s="16" t="s">
        <v>943</v>
      </c>
    </row>
    <row r="25" spans="1:24" x14ac:dyDescent="0.35">
      <c r="A25" s="16" t="s">
        <v>402</v>
      </c>
      <c r="B25" s="44">
        <v>44853</v>
      </c>
      <c r="C25" s="45">
        <v>20</v>
      </c>
      <c r="D25" s="46">
        <v>44853.411805555559</v>
      </c>
      <c r="E25" s="47">
        <v>18.733333333453629</v>
      </c>
      <c r="F25" s="45">
        <v>-204</v>
      </c>
      <c r="G25" s="45">
        <v>2449</v>
      </c>
      <c r="H25" s="47">
        <v>0.49073049999999996</v>
      </c>
      <c r="I25" s="48">
        <v>516884700</v>
      </c>
      <c r="J25" s="47">
        <v>8.3032449999999994E-2</v>
      </c>
      <c r="K25" s="48">
        <v>22721400</v>
      </c>
      <c r="L25" s="47">
        <v>8.2824529999999993E-2</v>
      </c>
      <c r="M25" s="49">
        <v>4.3958360000000002E-2</v>
      </c>
      <c r="N25" s="49">
        <v>2.4159030000000001E-2</v>
      </c>
      <c r="O25" s="45">
        <v>-2</v>
      </c>
      <c r="P25" s="45">
        <v>-1</v>
      </c>
      <c r="Q25" s="45">
        <v>-1</v>
      </c>
      <c r="R25" s="48">
        <v>6.1E-9</v>
      </c>
      <c r="S25" s="48">
        <f t="shared" si="0"/>
        <v>1053296463.1299665</v>
      </c>
      <c r="T25" s="50">
        <f t="shared" si="1"/>
        <v>1.1738295947591149</v>
      </c>
      <c r="U25" s="47">
        <f t="shared" si="2"/>
        <v>-4.6337431786789285</v>
      </c>
      <c r="V25" s="51">
        <f t="shared" si="3"/>
        <v>-9.0011916242090919</v>
      </c>
      <c r="W25" s="51">
        <f t="shared" si="4"/>
        <v>2.4159030000000001E-2</v>
      </c>
      <c r="X25" s="16" t="s">
        <v>943</v>
      </c>
    </row>
    <row r="26" spans="1:24" x14ac:dyDescent="0.35">
      <c r="A26" s="16" t="s">
        <v>403</v>
      </c>
      <c r="B26" s="44">
        <v>44853</v>
      </c>
      <c r="C26" s="45">
        <v>20</v>
      </c>
      <c r="D26" s="46">
        <v>44853.414583333331</v>
      </c>
      <c r="E26" s="47">
        <v>18.799999999988358</v>
      </c>
      <c r="F26" s="45">
        <v>-125</v>
      </c>
      <c r="G26" s="45">
        <v>2451</v>
      </c>
      <c r="H26" s="47">
        <v>0.49691860000000004</v>
      </c>
      <c r="I26" s="48">
        <v>527512300</v>
      </c>
      <c r="J26" s="47">
        <v>0.1066515</v>
      </c>
      <c r="K26" s="48">
        <v>23143280</v>
      </c>
      <c r="L26" s="47">
        <v>0.1069042</v>
      </c>
      <c r="M26" s="49">
        <v>4.3871510000000002E-2</v>
      </c>
      <c r="N26" s="49">
        <v>2.3936780000000001E-2</v>
      </c>
      <c r="O26" s="45">
        <v>-2</v>
      </c>
      <c r="P26" s="45">
        <v>-1</v>
      </c>
      <c r="Q26" s="45">
        <v>4</v>
      </c>
      <c r="R26" s="48">
        <v>6E-9</v>
      </c>
      <c r="S26" s="48">
        <f t="shared" si="0"/>
        <v>1061566824.0230894</v>
      </c>
      <c r="T26" s="50">
        <f t="shared" si="1"/>
        <v>1.1830463677337795</v>
      </c>
      <c r="U26" s="47">
        <f t="shared" si="2"/>
        <v>-6.6003215361274403</v>
      </c>
      <c r="V26" s="51">
        <f t="shared" si="3"/>
        <v>-10.959141067897082</v>
      </c>
      <c r="W26" s="51">
        <f t="shared" si="4"/>
        <v>2.3936780000000001E-2</v>
      </c>
      <c r="X26" s="16" t="s">
        <v>943</v>
      </c>
    </row>
    <row r="27" spans="1:24" x14ac:dyDescent="0.35">
      <c r="A27" s="16" t="s">
        <v>404</v>
      </c>
      <c r="B27" s="44">
        <v>44853</v>
      </c>
      <c r="C27" s="45">
        <v>20</v>
      </c>
      <c r="D27" s="46">
        <v>44853.417361111111</v>
      </c>
      <c r="E27" s="47">
        <v>18.866666666697711</v>
      </c>
      <c r="F27" s="45">
        <v>-61</v>
      </c>
      <c r="G27" s="45">
        <v>2422</v>
      </c>
      <c r="H27" s="47">
        <v>0.50628830000000002</v>
      </c>
      <c r="I27" s="48">
        <v>517080500</v>
      </c>
      <c r="J27" s="47">
        <v>0.1156237</v>
      </c>
      <c r="K27" s="48">
        <v>22727300</v>
      </c>
      <c r="L27" s="47">
        <v>0.1152857</v>
      </c>
      <c r="M27" s="49">
        <v>4.3953119999999998E-2</v>
      </c>
      <c r="N27" s="49">
        <v>2.9586019999999998E-2</v>
      </c>
      <c r="O27" s="45">
        <v>-2</v>
      </c>
      <c r="P27" s="45">
        <v>0</v>
      </c>
      <c r="Q27" s="45">
        <v>9</v>
      </c>
      <c r="R27" s="48">
        <v>6E-9</v>
      </c>
      <c r="S27" s="48">
        <f t="shared" si="0"/>
        <v>1021316313.2547207</v>
      </c>
      <c r="T27" s="50">
        <f t="shared" si="1"/>
        <v>1.1381898222141238</v>
      </c>
      <c r="U27" s="47">
        <f t="shared" si="2"/>
        <v>-4.7523945384145838</v>
      </c>
      <c r="V27" s="51">
        <f t="shared" si="3"/>
        <v>-9.1193223678468485</v>
      </c>
      <c r="W27" s="51">
        <f t="shared" si="4"/>
        <v>2.9586019999999998E-2</v>
      </c>
      <c r="X27" s="16" t="s">
        <v>943</v>
      </c>
    </row>
    <row r="28" spans="1:24" x14ac:dyDescent="0.35">
      <c r="A28" s="16" t="s">
        <v>405</v>
      </c>
      <c r="B28" s="44">
        <v>44853</v>
      </c>
      <c r="C28" s="45">
        <v>20</v>
      </c>
      <c r="D28" s="46">
        <v>44853.420138888891</v>
      </c>
      <c r="E28" s="47">
        <v>18.933333333407063</v>
      </c>
      <c r="F28" s="45">
        <v>0</v>
      </c>
      <c r="G28" s="45">
        <v>2430</v>
      </c>
      <c r="H28" s="47">
        <v>0.49808739999999996</v>
      </c>
      <c r="I28" s="48">
        <v>535868500</v>
      </c>
      <c r="J28" s="47">
        <v>0.1250259</v>
      </c>
      <c r="K28" s="48">
        <v>23591620</v>
      </c>
      <c r="L28" s="47">
        <v>0.12541479999999999</v>
      </c>
      <c r="M28" s="49">
        <v>4.4025019999999998E-2</v>
      </c>
      <c r="N28" s="49">
        <v>2.3709170000000002E-2</v>
      </c>
      <c r="O28" s="45">
        <v>-2</v>
      </c>
      <c r="P28" s="45">
        <v>-1</v>
      </c>
      <c r="Q28" s="45">
        <v>12</v>
      </c>
      <c r="R28" s="48">
        <v>5.8999999999999999E-9</v>
      </c>
      <c r="S28" s="48">
        <f t="shared" si="0"/>
        <v>1075852350.4107914</v>
      </c>
      <c r="T28" s="50">
        <f t="shared" si="1"/>
        <v>1.1989666468171887</v>
      </c>
      <c r="U28" s="47">
        <f t="shared" si="2"/>
        <v>-3.1243348504405022</v>
      </c>
      <c r="V28" s="51">
        <f t="shared" si="3"/>
        <v>-7.4984062480867308</v>
      </c>
      <c r="W28" s="51">
        <f t="shared" si="4"/>
        <v>2.3709170000000002E-2</v>
      </c>
      <c r="X28" s="16" t="s">
        <v>943</v>
      </c>
    </row>
    <row r="29" spans="1:24" x14ac:dyDescent="0.35">
      <c r="A29" s="16" t="s">
        <v>406</v>
      </c>
      <c r="B29" s="44">
        <v>44853</v>
      </c>
      <c r="C29" s="45">
        <v>20</v>
      </c>
      <c r="D29" s="46">
        <v>44853.423611111109</v>
      </c>
      <c r="E29" s="47">
        <v>19.016666666662786</v>
      </c>
      <c r="F29" s="45">
        <v>-880</v>
      </c>
      <c r="G29" s="45">
        <v>3023</v>
      </c>
      <c r="H29" s="47">
        <v>0.52455379999999996</v>
      </c>
      <c r="I29" s="48">
        <v>529970700</v>
      </c>
      <c r="J29" s="47">
        <v>0.1028873</v>
      </c>
      <c r="K29" s="48">
        <v>23274220</v>
      </c>
      <c r="L29" s="47">
        <v>0.1040282</v>
      </c>
      <c r="M29" s="49">
        <v>4.3916040000000003E-2</v>
      </c>
      <c r="N29" s="49">
        <v>2.7592620000000002E-2</v>
      </c>
      <c r="O29" s="45">
        <v>0</v>
      </c>
      <c r="P29" s="45">
        <v>-4</v>
      </c>
      <c r="Q29" s="45">
        <v>1</v>
      </c>
      <c r="R29" s="48">
        <v>5.8999999999999999E-9</v>
      </c>
      <c r="S29" s="48">
        <f t="shared" si="0"/>
        <v>1010326681.4576504</v>
      </c>
      <c r="T29" s="50">
        <f t="shared" si="1"/>
        <v>1.1259426007617954</v>
      </c>
      <c r="U29" s="47">
        <f t="shared" si="2"/>
        <v>-5.5920114122681719</v>
      </c>
      <c r="V29" s="51">
        <f t="shared" si="3"/>
        <v>-9.9552551873279818</v>
      </c>
      <c r="W29" s="51">
        <f t="shared" si="4"/>
        <v>2.7592620000000002E-2</v>
      </c>
      <c r="X29" s="16" t="s">
        <v>943</v>
      </c>
    </row>
    <row r="30" spans="1:24" x14ac:dyDescent="0.35">
      <c r="A30" s="16" t="s">
        <v>407</v>
      </c>
      <c r="B30" s="44">
        <v>44853</v>
      </c>
      <c r="C30" s="45">
        <v>20</v>
      </c>
      <c r="D30" s="46">
        <v>44853.426388888889</v>
      </c>
      <c r="E30" s="47">
        <v>19.083333333372138</v>
      </c>
      <c r="F30" s="45">
        <v>-754</v>
      </c>
      <c r="G30" s="45">
        <v>3102</v>
      </c>
      <c r="H30" s="47">
        <v>0.52285309999999996</v>
      </c>
      <c r="I30" s="48">
        <v>526322900</v>
      </c>
      <c r="J30" s="47">
        <v>0.1055798</v>
      </c>
      <c r="K30" s="48">
        <v>23062140</v>
      </c>
      <c r="L30" s="47">
        <v>0.1054208</v>
      </c>
      <c r="M30" s="49">
        <v>4.3817479999999999E-2</v>
      </c>
      <c r="N30" s="49">
        <v>2.3977760000000001E-2</v>
      </c>
      <c r="O30" s="45">
        <v>-2</v>
      </c>
      <c r="P30" s="45">
        <v>-4</v>
      </c>
      <c r="Q30" s="45">
        <v>7</v>
      </c>
      <c r="R30" s="48">
        <v>5.7999999999999998E-9</v>
      </c>
      <c r="S30" s="48">
        <f t="shared" si="0"/>
        <v>1006636280.8215157</v>
      </c>
      <c r="T30" s="50">
        <f t="shared" si="1"/>
        <v>1.1218298921039307</v>
      </c>
      <c r="U30" s="47">
        <f t="shared" si="2"/>
        <v>-7.8237438579806806</v>
      </c>
      <c r="V30" s="51">
        <f t="shared" si="3"/>
        <v>-12.177195281397047</v>
      </c>
      <c r="W30" s="51">
        <f t="shared" si="4"/>
        <v>2.3977760000000001E-2</v>
      </c>
      <c r="X30" s="16" t="s">
        <v>943</v>
      </c>
    </row>
    <row r="31" spans="1:24" x14ac:dyDescent="0.35">
      <c r="A31" s="16" t="s">
        <v>408</v>
      </c>
      <c r="B31" s="44">
        <v>44853</v>
      </c>
      <c r="C31" s="45">
        <v>20</v>
      </c>
      <c r="D31" s="46">
        <v>44853.429166666669</v>
      </c>
      <c r="E31" s="47">
        <v>19.150000000081491</v>
      </c>
      <c r="F31" s="45">
        <v>-846</v>
      </c>
      <c r="G31" s="45">
        <v>3135</v>
      </c>
      <c r="H31" s="47">
        <v>0.52260119999999999</v>
      </c>
      <c r="I31" s="48">
        <v>524188800</v>
      </c>
      <c r="J31" s="47">
        <v>0.10854999999999999</v>
      </c>
      <c r="K31" s="48">
        <v>22968360</v>
      </c>
      <c r="L31" s="47">
        <v>0.109509</v>
      </c>
      <c r="M31" s="49">
        <v>4.3816960000000002E-2</v>
      </c>
      <c r="N31" s="49">
        <v>2.5410889999999998E-2</v>
      </c>
      <c r="O31" s="45">
        <v>0</v>
      </c>
      <c r="P31" s="45">
        <v>-4</v>
      </c>
      <c r="Q31" s="45">
        <v>1</v>
      </c>
      <c r="R31" s="48">
        <v>5.7999999999999998E-9</v>
      </c>
      <c r="S31" s="48">
        <f t="shared" si="0"/>
        <v>1003037880.5100332</v>
      </c>
      <c r="T31" s="50">
        <f t="shared" si="1"/>
        <v>1.1178197117537028</v>
      </c>
      <c r="U31" s="47">
        <f t="shared" si="2"/>
        <v>-7.8355184203970918</v>
      </c>
      <c r="V31" s="51">
        <f t="shared" si="3"/>
        <v>-12.188918179620533</v>
      </c>
      <c r="W31" s="51">
        <f t="shared" si="4"/>
        <v>2.5410889999999998E-2</v>
      </c>
      <c r="X31" s="16" t="s">
        <v>943</v>
      </c>
    </row>
    <row r="32" spans="1:24" x14ac:dyDescent="0.35">
      <c r="A32" s="16" t="s">
        <v>409</v>
      </c>
      <c r="B32" s="44">
        <v>44853</v>
      </c>
      <c r="C32" s="45">
        <v>20</v>
      </c>
      <c r="D32" s="46">
        <v>44853.431944444441</v>
      </c>
      <c r="E32" s="47">
        <v>19.21666666661622</v>
      </c>
      <c r="F32" s="45">
        <v>-671</v>
      </c>
      <c r="G32" s="45">
        <v>3934</v>
      </c>
      <c r="H32" s="47">
        <v>0.50445849999999992</v>
      </c>
      <c r="I32" s="48">
        <v>520719600</v>
      </c>
      <c r="J32" s="47">
        <v>0.10561470000000001</v>
      </c>
      <c r="K32" s="48">
        <v>22830860</v>
      </c>
      <c r="L32" s="47">
        <v>0.10496750000000001</v>
      </c>
      <c r="M32" s="49">
        <v>4.3844840000000003E-2</v>
      </c>
      <c r="N32" s="49">
        <v>2.409973E-2</v>
      </c>
      <c r="O32" s="45">
        <v>2</v>
      </c>
      <c r="P32" s="45">
        <v>-4</v>
      </c>
      <c r="Q32" s="45">
        <v>1</v>
      </c>
      <c r="R32" s="48">
        <v>5.7999999999999998E-9</v>
      </c>
      <c r="S32" s="48">
        <f t="shared" si="0"/>
        <v>1032234762.6217024</v>
      </c>
      <c r="T32" s="50">
        <f t="shared" si="1"/>
        <v>1.150357715532361</v>
      </c>
      <c r="U32" s="47">
        <f t="shared" si="2"/>
        <v>-7.2042207277585035</v>
      </c>
      <c r="V32" s="51">
        <f t="shared" si="3"/>
        <v>-11.560390482556414</v>
      </c>
      <c r="W32" s="51">
        <f t="shared" si="4"/>
        <v>2.409973E-2</v>
      </c>
      <c r="X32" s="16" t="s">
        <v>943</v>
      </c>
    </row>
    <row r="33" spans="1:24" x14ac:dyDescent="0.35">
      <c r="A33" s="16" t="s">
        <v>410</v>
      </c>
      <c r="B33" s="44">
        <v>44853</v>
      </c>
      <c r="C33" s="45">
        <v>20</v>
      </c>
      <c r="D33" s="46">
        <v>44853.43472222222</v>
      </c>
      <c r="E33" s="47">
        <v>19.283333333325572</v>
      </c>
      <c r="F33" s="45">
        <v>-661</v>
      </c>
      <c r="G33" s="45">
        <v>3856</v>
      </c>
      <c r="H33" s="47">
        <v>0.51184830000000003</v>
      </c>
      <c r="I33" s="48">
        <v>525075500</v>
      </c>
      <c r="J33" s="47">
        <v>0.1123658</v>
      </c>
      <c r="K33" s="48">
        <v>23093360</v>
      </c>
      <c r="L33" s="47">
        <v>0.1114834</v>
      </c>
      <c r="M33" s="49">
        <v>4.3981039999999999E-2</v>
      </c>
      <c r="N33" s="49">
        <v>2.3963289999999998E-2</v>
      </c>
      <c r="O33" s="45">
        <v>2</v>
      </c>
      <c r="P33" s="45">
        <v>-4</v>
      </c>
      <c r="Q33" s="45">
        <v>3</v>
      </c>
      <c r="R33" s="48">
        <v>5.7999999999999998E-9</v>
      </c>
      <c r="S33" s="48">
        <f t="shared" si="0"/>
        <v>1025842031.7113488</v>
      </c>
      <c r="T33" s="50">
        <f t="shared" si="1"/>
        <v>1.1432334376138671</v>
      </c>
      <c r="U33" s="47">
        <f t="shared" si="2"/>
        <v>-4.1201911102054511</v>
      </c>
      <c r="V33" s="51">
        <f t="shared" si="3"/>
        <v>-8.4898929093808473</v>
      </c>
      <c r="W33" s="51">
        <f t="shared" si="4"/>
        <v>2.3963289999999998E-2</v>
      </c>
      <c r="X33" s="16" t="s">
        <v>943</v>
      </c>
    </row>
    <row r="34" spans="1:24" x14ac:dyDescent="0.35">
      <c r="A34" s="16" t="s">
        <v>411</v>
      </c>
      <c r="B34" s="44">
        <v>44853</v>
      </c>
      <c r="C34" s="45">
        <v>20</v>
      </c>
      <c r="D34" s="46">
        <v>44853.4375</v>
      </c>
      <c r="E34" s="47">
        <v>19.350000000034925</v>
      </c>
      <c r="F34" s="45">
        <v>-674</v>
      </c>
      <c r="G34" s="45">
        <v>3820</v>
      </c>
      <c r="H34" s="47">
        <v>0.52190020000000004</v>
      </c>
      <c r="I34" s="48">
        <v>523729100</v>
      </c>
      <c r="J34" s="47">
        <v>0.1156129</v>
      </c>
      <c r="K34" s="48">
        <v>22942450</v>
      </c>
      <c r="L34" s="47">
        <v>0.1151499</v>
      </c>
      <c r="M34" s="49">
        <v>4.3805950000000003E-2</v>
      </c>
      <c r="N34" s="49">
        <v>2.4040079999999998E-2</v>
      </c>
      <c r="O34" s="45">
        <v>2</v>
      </c>
      <c r="P34" s="45">
        <v>-4</v>
      </c>
      <c r="Q34" s="45">
        <v>3</v>
      </c>
      <c r="R34" s="48">
        <v>5.6999999999999998E-9</v>
      </c>
      <c r="S34" s="48">
        <f t="shared" si="0"/>
        <v>1003504309.8278176</v>
      </c>
      <c r="T34" s="50">
        <f t="shared" si="1"/>
        <v>1.1183395165344494</v>
      </c>
      <c r="U34" s="47">
        <f t="shared" si="2"/>
        <v>-8.0848221361773387</v>
      </c>
      <c r="V34" s="51">
        <f t="shared" si="3"/>
        <v>-12.437128005469811</v>
      </c>
      <c r="W34" s="51">
        <f t="shared" si="4"/>
        <v>2.4040079999999998E-2</v>
      </c>
      <c r="X34" s="16" t="s">
        <v>943</v>
      </c>
    </row>
    <row r="35" spans="1:24" x14ac:dyDescent="0.35">
      <c r="A35" s="16" t="s">
        <v>412</v>
      </c>
      <c r="B35" s="44">
        <v>44853</v>
      </c>
      <c r="C35" s="45">
        <v>20</v>
      </c>
      <c r="D35" s="46">
        <v>44853.44027777778</v>
      </c>
      <c r="E35" s="47">
        <v>19.416666666744277</v>
      </c>
      <c r="F35" s="45">
        <v>-553</v>
      </c>
      <c r="G35" s="45">
        <v>3928</v>
      </c>
      <c r="H35" s="47">
        <v>0.52092860000000007</v>
      </c>
      <c r="I35" s="48">
        <v>514024200</v>
      </c>
      <c r="J35" s="47">
        <v>0.1118012</v>
      </c>
      <c r="K35" s="48">
        <v>22528210</v>
      </c>
      <c r="L35" s="47">
        <v>0.1134201</v>
      </c>
      <c r="M35" s="49">
        <v>4.3827119999999997E-2</v>
      </c>
      <c r="N35" s="49">
        <v>3.2941950000000005E-2</v>
      </c>
      <c r="O35" s="45">
        <v>2</v>
      </c>
      <c r="P35" s="45">
        <v>-4</v>
      </c>
      <c r="Q35" s="45">
        <v>8</v>
      </c>
      <c r="R35" s="48">
        <v>5.6999999999999998E-9</v>
      </c>
      <c r="S35" s="48">
        <f t="shared" si="0"/>
        <v>986745976.31997919</v>
      </c>
      <c r="T35" s="50">
        <f t="shared" si="1"/>
        <v>1.0996634566415979</v>
      </c>
      <c r="U35" s="47">
        <f t="shared" si="2"/>
        <v>-7.6054615854902474</v>
      </c>
      <c r="V35" s="51">
        <f t="shared" si="3"/>
        <v>-11.959870783560088</v>
      </c>
      <c r="W35" s="51">
        <f t="shared" si="4"/>
        <v>3.2941950000000005E-2</v>
      </c>
      <c r="X35" s="16" t="s">
        <v>943</v>
      </c>
    </row>
    <row r="36" spans="1:24" x14ac:dyDescent="0.35">
      <c r="A36" s="52" t="s">
        <v>413</v>
      </c>
      <c r="B36" s="53">
        <v>44853</v>
      </c>
      <c r="C36" s="54">
        <v>20</v>
      </c>
      <c r="D36" s="55">
        <v>44853.443055555559</v>
      </c>
      <c r="E36" s="56">
        <v>19.483333333453629</v>
      </c>
      <c r="F36" s="54">
        <v>-560</v>
      </c>
      <c r="G36" s="54">
        <v>4006</v>
      </c>
      <c r="H36" s="56">
        <v>0.5169028</v>
      </c>
      <c r="I36" s="57">
        <v>523660300</v>
      </c>
      <c r="J36" s="56">
        <v>0.10624169999999999</v>
      </c>
      <c r="K36" s="57">
        <v>23036810</v>
      </c>
      <c r="L36" s="56">
        <v>0.1070719</v>
      </c>
      <c r="M36" s="58">
        <v>4.3991879999999997E-2</v>
      </c>
      <c r="N36" s="58">
        <v>2.4330730000000002E-2</v>
      </c>
      <c r="O36" s="54">
        <v>4</v>
      </c>
      <c r="P36" s="54">
        <v>-2</v>
      </c>
      <c r="Q36" s="54">
        <v>3</v>
      </c>
      <c r="R36" s="57">
        <v>5.6999999999999998E-9</v>
      </c>
      <c r="S36" s="57">
        <f t="shared" si="0"/>
        <v>1013073057.4490987</v>
      </c>
      <c r="T36" s="60">
        <f t="shared" si="1"/>
        <v>1.1290032560757972</v>
      </c>
      <c r="U36" s="56">
        <f t="shared" si="2"/>
        <v>-3.874736770599907</v>
      </c>
      <c r="V36" s="59">
        <f t="shared" si="3"/>
        <v>-8.2455155694893811</v>
      </c>
      <c r="W36" s="59">
        <f t="shared" si="4"/>
        <v>2.4330730000000002E-2</v>
      </c>
      <c r="X36" s="52" t="s">
        <v>943</v>
      </c>
    </row>
    <row r="37" spans="1:24" x14ac:dyDescent="0.35">
      <c r="A37" s="16" t="s">
        <v>416</v>
      </c>
      <c r="B37" s="44">
        <v>44853</v>
      </c>
      <c r="C37" s="45">
        <v>20</v>
      </c>
      <c r="D37" s="46">
        <v>44853.476388888892</v>
      </c>
      <c r="E37" s="47">
        <v>20.283333333441988</v>
      </c>
      <c r="F37" s="45">
        <v>1234</v>
      </c>
      <c r="G37" s="45">
        <v>194</v>
      </c>
      <c r="H37" s="47">
        <v>0.52313549999999998</v>
      </c>
      <c r="I37" s="48">
        <v>511203200</v>
      </c>
      <c r="J37" s="47">
        <v>0.13744999999999999</v>
      </c>
      <c r="K37" s="48">
        <v>22633240</v>
      </c>
      <c r="L37" s="47">
        <v>0.13840839999999999</v>
      </c>
      <c r="M37" s="49">
        <v>4.4274439999999998E-2</v>
      </c>
      <c r="N37" s="49">
        <v>2.7872950000000001E-2</v>
      </c>
      <c r="O37" s="45">
        <v>-7</v>
      </c>
      <c r="P37" s="45">
        <v>9</v>
      </c>
      <c r="Q37" s="45">
        <v>22</v>
      </c>
      <c r="R37" s="48">
        <v>5.6999999999999998E-9</v>
      </c>
      <c r="S37" s="48">
        <f t="shared" si="0"/>
        <v>977190804.29448974</v>
      </c>
      <c r="T37" s="50">
        <f t="shared" si="1"/>
        <v>1.0890148462084022</v>
      </c>
      <c r="U37" s="47">
        <f t="shared" si="2"/>
        <v>2.5233792994134863</v>
      </c>
      <c r="V37" s="51">
        <f t="shared" si="3"/>
        <v>-1.8754730270772457</v>
      </c>
      <c r="W37" s="51">
        <f t="shared" si="4"/>
        <v>2.7872950000000001E-2</v>
      </c>
      <c r="X37" s="16" t="s">
        <v>943</v>
      </c>
    </row>
    <row r="38" spans="1:24" x14ac:dyDescent="0.35">
      <c r="A38" s="16" t="s">
        <v>417</v>
      </c>
      <c r="B38" s="44">
        <v>44853</v>
      </c>
      <c r="C38" s="45">
        <v>20</v>
      </c>
      <c r="D38" s="46">
        <v>44853.479166666664</v>
      </c>
      <c r="E38" s="47">
        <v>20.349999999976717</v>
      </c>
      <c r="F38" s="45">
        <v>1161</v>
      </c>
      <c r="G38" s="45">
        <v>330</v>
      </c>
      <c r="H38" s="47">
        <v>0.51124590000000003</v>
      </c>
      <c r="I38" s="48">
        <v>511669800</v>
      </c>
      <c r="J38" s="47">
        <v>0.16634209999999999</v>
      </c>
      <c r="K38" s="48">
        <v>22619290</v>
      </c>
      <c r="L38" s="47">
        <v>0.1674012</v>
      </c>
      <c r="M38" s="49">
        <v>4.4206040000000002E-2</v>
      </c>
      <c r="N38" s="49">
        <v>2.4216700000000001E-2</v>
      </c>
      <c r="O38" s="45">
        <v>-6</v>
      </c>
      <c r="P38" s="45">
        <v>10</v>
      </c>
      <c r="Q38" s="45">
        <v>18</v>
      </c>
      <c r="R38" s="48">
        <v>5.4999999999999996E-9</v>
      </c>
      <c r="S38" s="48">
        <f t="shared" si="0"/>
        <v>1000829150.903704</v>
      </c>
      <c r="T38" s="50">
        <f t="shared" si="1"/>
        <v>1.1153582279554703</v>
      </c>
      <c r="U38" s="47">
        <f t="shared" si="2"/>
        <v>0.97457147385826559</v>
      </c>
      <c r="V38" s="51">
        <f t="shared" si="3"/>
        <v>-3.4174850241786014</v>
      </c>
      <c r="W38" s="51">
        <f t="shared" si="4"/>
        <v>2.4216700000000001E-2</v>
      </c>
      <c r="X38" s="16" t="s">
        <v>943</v>
      </c>
    </row>
    <row r="39" spans="1:24" x14ac:dyDescent="0.35">
      <c r="A39" s="16" t="s">
        <v>418</v>
      </c>
      <c r="B39" s="44">
        <v>44853</v>
      </c>
      <c r="C39" s="45">
        <v>20</v>
      </c>
      <c r="D39" s="46">
        <v>44853.481944444444</v>
      </c>
      <c r="E39" s="47">
        <v>20.416666666686069</v>
      </c>
      <c r="F39" s="45">
        <v>1231</v>
      </c>
      <c r="G39" s="45">
        <v>391</v>
      </c>
      <c r="H39" s="47">
        <v>0.52871259999999998</v>
      </c>
      <c r="I39" s="48">
        <v>502776400</v>
      </c>
      <c r="J39" s="47">
        <v>0.13023309999999999</v>
      </c>
      <c r="K39" s="48">
        <v>22279000</v>
      </c>
      <c r="L39" s="47">
        <v>0.13102430000000001</v>
      </c>
      <c r="M39" s="49">
        <v>4.4311940000000001E-2</v>
      </c>
      <c r="N39" s="49">
        <v>2.616338E-2</v>
      </c>
      <c r="O39" s="45">
        <v>-6</v>
      </c>
      <c r="P39" s="45">
        <v>10</v>
      </c>
      <c r="Q39" s="45">
        <v>23</v>
      </c>
      <c r="R39" s="48">
        <v>5.4000000000000004E-9</v>
      </c>
      <c r="S39" s="48">
        <f t="shared" si="0"/>
        <v>950944615.27869773</v>
      </c>
      <c r="T39" s="50">
        <f t="shared" si="1"/>
        <v>1.0597651957113068</v>
      </c>
      <c r="U39" s="47">
        <f t="shared" si="2"/>
        <v>3.3725063967575686</v>
      </c>
      <c r="V39" s="51">
        <f t="shared" si="3"/>
        <v>-1.0300717128767234</v>
      </c>
      <c r="W39" s="51">
        <f t="shared" si="4"/>
        <v>2.616338E-2</v>
      </c>
      <c r="X39" s="16" t="s">
        <v>943</v>
      </c>
    </row>
    <row r="40" spans="1:24" x14ac:dyDescent="0.35">
      <c r="A40" s="16" t="s">
        <v>419</v>
      </c>
      <c r="B40" s="44">
        <v>44853</v>
      </c>
      <c r="C40" s="45">
        <v>20</v>
      </c>
      <c r="D40" s="46">
        <v>44853.484722222223</v>
      </c>
      <c r="E40" s="47">
        <v>20.483333333395422</v>
      </c>
      <c r="F40" s="45">
        <v>1066</v>
      </c>
      <c r="G40" s="45">
        <v>514</v>
      </c>
      <c r="H40" s="47">
        <v>0.51046669999999994</v>
      </c>
      <c r="I40" s="48">
        <v>508572300</v>
      </c>
      <c r="J40" s="47">
        <v>0.1336002</v>
      </c>
      <c r="K40" s="48">
        <v>22519690</v>
      </c>
      <c r="L40" s="47">
        <v>0.13391939999999999</v>
      </c>
      <c r="M40" s="49">
        <v>4.428021E-2</v>
      </c>
      <c r="N40" s="49">
        <v>2.8130210000000003E-2</v>
      </c>
      <c r="O40" s="45">
        <v>-5</v>
      </c>
      <c r="P40" s="45">
        <v>11</v>
      </c>
      <c r="Q40" s="45">
        <v>16</v>
      </c>
      <c r="R40" s="48">
        <v>5.4000000000000004E-9</v>
      </c>
      <c r="S40" s="48">
        <f t="shared" si="0"/>
        <v>996288886.22901368</v>
      </c>
      <c r="T40" s="50">
        <f t="shared" si="1"/>
        <v>1.1102984017529274</v>
      </c>
      <c r="U40" s="47">
        <f t="shared" si="2"/>
        <v>2.6540316554581889</v>
      </c>
      <c r="V40" s="51">
        <f t="shared" si="3"/>
        <v>-1.7453939448656142</v>
      </c>
      <c r="W40" s="51">
        <f t="shared" si="4"/>
        <v>2.8130210000000003E-2</v>
      </c>
      <c r="X40" s="16" t="s">
        <v>943</v>
      </c>
    </row>
    <row r="41" spans="1:24" x14ac:dyDescent="0.35">
      <c r="A41" s="16" t="s">
        <v>420</v>
      </c>
      <c r="B41" s="44">
        <v>44853</v>
      </c>
      <c r="C41" s="45">
        <v>20</v>
      </c>
      <c r="D41" s="46">
        <v>44853.488194444442</v>
      </c>
      <c r="E41" s="47">
        <v>20.566666666651145</v>
      </c>
      <c r="F41" s="45">
        <v>866</v>
      </c>
      <c r="G41" s="45">
        <v>656</v>
      </c>
      <c r="H41" s="47">
        <v>0.51558460000000006</v>
      </c>
      <c r="I41" s="48">
        <v>505216400</v>
      </c>
      <c r="J41" s="47">
        <v>0.1306051</v>
      </c>
      <c r="K41" s="48">
        <v>22365170</v>
      </c>
      <c r="L41" s="47">
        <v>0.13104379999999999</v>
      </c>
      <c r="M41" s="49">
        <v>4.4268490000000001E-2</v>
      </c>
      <c r="N41" s="49">
        <v>2.913377E-2</v>
      </c>
      <c r="O41" s="45">
        <v>-3</v>
      </c>
      <c r="P41" s="45">
        <v>12</v>
      </c>
      <c r="Q41" s="45">
        <v>14</v>
      </c>
      <c r="R41" s="48">
        <v>5.4000000000000004E-9</v>
      </c>
      <c r="S41" s="48">
        <f t="shared" si="0"/>
        <v>979890400.13995755</v>
      </c>
      <c r="T41" s="50">
        <f t="shared" si="1"/>
        <v>1.0920233681281304</v>
      </c>
      <c r="U41" s="47">
        <f t="shared" si="2"/>
        <v>2.3886511333015559</v>
      </c>
      <c r="V41" s="51">
        <f t="shared" si="3"/>
        <v>-2.0096100355970758</v>
      </c>
      <c r="W41" s="51">
        <f t="shared" si="4"/>
        <v>2.913377E-2</v>
      </c>
      <c r="X41" s="16" t="s">
        <v>943</v>
      </c>
    </row>
    <row r="42" spans="1:24" x14ac:dyDescent="0.35">
      <c r="A42" s="16" t="s">
        <v>421</v>
      </c>
      <c r="B42" s="44">
        <v>44853</v>
      </c>
      <c r="C42" s="45">
        <v>20</v>
      </c>
      <c r="D42" s="46">
        <v>44853.490972222222</v>
      </c>
      <c r="E42" s="47">
        <v>20.633333333360497</v>
      </c>
      <c r="F42" s="45">
        <v>822</v>
      </c>
      <c r="G42" s="45">
        <v>787</v>
      </c>
      <c r="H42" s="47">
        <v>0.49852079999999999</v>
      </c>
      <c r="I42" s="48">
        <v>502271000</v>
      </c>
      <c r="J42" s="47">
        <v>0.13718649999999999</v>
      </c>
      <c r="K42" s="48">
        <v>22239000</v>
      </c>
      <c r="L42" s="47">
        <v>0.1370816</v>
      </c>
      <c r="M42" s="49">
        <v>4.4276900000000001E-2</v>
      </c>
      <c r="N42" s="49">
        <v>2.4424410000000001E-2</v>
      </c>
      <c r="O42" s="45">
        <v>-1</v>
      </c>
      <c r="P42" s="45">
        <v>13</v>
      </c>
      <c r="Q42" s="45">
        <v>11</v>
      </c>
      <c r="R42" s="48">
        <v>5.3000000000000003E-9</v>
      </c>
      <c r="S42" s="48">
        <f t="shared" si="0"/>
        <v>1007522655.0226189</v>
      </c>
      <c r="T42" s="50">
        <f t="shared" si="1"/>
        <v>1.1228176978221747</v>
      </c>
      <c r="U42" s="47">
        <f t="shared" si="2"/>
        <v>2.5790820369993028</v>
      </c>
      <c r="V42" s="51">
        <f t="shared" si="3"/>
        <v>-1.8200147008656797</v>
      </c>
      <c r="W42" s="51">
        <f t="shared" si="4"/>
        <v>2.4424410000000001E-2</v>
      </c>
      <c r="X42" s="16" t="s">
        <v>943</v>
      </c>
    </row>
    <row r="43" spans="1:24" x14ac:dyDescent="0.35">
      <c r="A43" s="16" t="s">
        <v>422</v>
      </c>
      <c r="B43" s="44">
        <v>44853</v>
      </c>
      <c r="C43" s="45">
        <v>20</v>
      </c>
      <c r="D43" s="46">
        <v>44853.493750000001</v>
      </c>
      <c r="E43" s="47">
        <v>20.700000000069849</v>
      </c>
      <c r="F43" s="45">
        <v>549</v>
      </c>
      <c r="G43" s="45">
        <v>335</v>
      </c>
      <c r="H43" s="47">
        <v>0.52348360000000005</v>
      </c>
      <c r="I43" s="48">
        <v>510514800</v>
      </c>
      <c r="J43" s="47">
        <v>0.1366272</v>
      </c>
      <c r="K43" s="48">
        <v>22599720</v>
      </c>
      <c r="L43" s="47">
        <v>0.13754259999999999</v>
      </c>
      <c r="M43" s="49">
        <v>4.4268479999999999E-2</v>
      </c>
      <c r="N43" s="49">
        <v>3.111968E-2</v>
      </c>
      <c r="O43" s="45">
        <v>-6</v>
      </c>
      <c r="P43" s="45">
        <v>7</v>
      </c>
      <c r="Q43" s="45">
        <v>14</v>
      </c>
      <c r="R43" s="48">
        <v>5.2000000000000002E-9</v>
      </c>
      <c r="S43" s="48">
        <f t="shared" si="0"/>
        <v>975225966.96439004</v>
      </c>
      <c r="T43" s="50">
        <f t="shared" si="1"/>
        <v>1.0868251643024125</v>
      </c>
      <c r="U43" s="47">
        <f t="shared" si="2"/>
        <v>2.3884246994090308</v>
      </c>
      <c r="V43" s="51">
        <f t="shared" si="3"/>
        <v>-2.0098354759474635</v>
      </c>
      <c r="W43" s="51">
        <f t="shared" si="4"/>
        <v>3.111968E-2</v>
      </c>
      <c r="X43" s="16" t="s">
        <v>943</v>
      </c>
    </row>
    <row r="44" spans="1:24" x14ac:dyDescent="0.35">
      <c r="A44" s="16" t="s">
        <v>423</v>
      </c>
      <c r="B44" s="44">
        <v>44853</v>
      </c>
      <c r="C44" s="45">
        <v>20</v>
      </c>
      <c r="D44" s="46">
        <v>44853.496527777781</v>
      </c>
      <c r="E44" s="47">
        <v>20.766666666779201</v>
      </c>
      <c r="F44" s="45">
        <v>1718</v>
      </c>
      <c r="G44" s="45">
        <v>1128</v>
      </c>
      <c r="H44" s="47">
        <v>0.51357400000000009</v>
      </c>
      <c r="I44" s="48">
        <v>494645200</v>
      </c>
      <c r="J44" s="47">
        <v>0.12669849999999999</v>
      </c>
      <c r="K44" s="48">
        <v>21951680</v>
      </c>
      <c r="L44" s="47">
        <v>0.1265522</v>
      </c>
      <c r="M44" s="49">
        <v>4.4378649999999999E-2</v>
      </c>
      <c r="N44" s="49">
        <v>3.4132450000000002E-2</v>
      </c>
      <c r="O44" s="45">
        <v>-5</v>
      </c>
      <c r="P44" s="45">
        <v>14</v>
      </c>
      <c r="Q44" s="45">
        <v>29</v>
      </c>
      <c r="R44" s="48">
        <v>5.2000000000000002E-9</v>
      </c>
      <c r="S44" s="48">
        <f t="shared" si="0"/>
        <v>963142993.99891722</v>
      </c>
      <c r="T44" s="50">
        <f t="shared" si="1"/>
        <v>1.0733594860664872</v>
      </c>
      <c r="U44" s="47">
        <f t="shared" si="2"/>
        <v>4.8830468944591754</v>
      </c>
      <c r="V44" s="51">
        <f t="shared" si="3"/>
        <v>0.47384086499802081</v>
      </c>
      <c r="W44" s="51">
        <f t="shared" si="4"/>
        <v>3.4132450000000002E-2</v>
      </c>
      <c r="X44" s="16" t="s">
        <v>943</v>
      </c>
    </row>
    <row r="45" spans="1:24" x14ac:dyDescent="0.35">
      <c r="A45" s="16" t="s">
        <v>424</v>
      </c>
      <c r="B45" s="44">
        <v>44853</v>
      </c>
      <c r="C45" s="45">
        <v>20</v>
      </c>
      <c r="D45" s="46">
        <v>44853.499305555553</v>
      </c>
      <c r="E45" s="47">
        <v>20.833333333313931</v>
      </c>
      <c r="F45" s="45">
        <v>1652</v>
      </c>
      <c r="G45" s="45">
        <v>1074</v>
      </c>
      <c r="H45" s="47">
        <v>0.51205869999999998</v>
      </c>
      <c r="I45" s="48">
        <v>504023600</v>
      </c>
      <c r="J45" s="47">
        <v>0.1372256</v>
      </c>
      <c r="K45" s="48">
        <v>22343740</v>
      </c>
      <c r="L45" s="47">
        <v>0.13727410000000001</v>
      </c>
      <c r="M45" s="49">
        <v>4.4330750000000002E-2</v>
      </c>
      <c r="N45" s="49">
        <v>2.4932550000000001E-2</v>
      </c>
      <c r="O45" s="45">
        <v>-4</v>
      </c>
      <c r="P45" s="45">
        <v>12</v>
      </c>
      <c r="Q45" s="45">
        <v>22</v>
      </c>
      <c r="R45" s="48">
        <v>5.2000000000000002E-9</v>
      </c>
      <c r="S45" s="48">
        <f t="shared" si="0"/>
        <v>984308244.34776723</v>
      </c>
      <c r="T45" s="50">
        <f t="shared" si="1"/>
        <v>1.0969467647763562</v>
      </c>
      <c r="U45" s="47">
        <f t="shared" si="2"/>
        <v>3.7984285487853153</v>
      </c>
      <c r="V45" s="51">
        <f t="shared" si="3"/>
        <v>-0.60601841367380338</v>
      </c>
      <c r="W45" s="51">
        <f t="shared" si="4"/>
        <v>2.4932550000000001E-2</v>
      </c>
      <c r="X45" s="16" t="s">
        <v>943</v>
      </c>
    </row>
    <row r="46" spans="1:24" x14ac:dyDescent="0.35">
      <c r="A46" s="16" t="s">
        <v>425</v>
      </c>
      <c r="B46" s="44">
        <v>44853</v>
      </c>
      <c r="C46" s="45">
        <v>20</v>
      </c>
      <c r="D46" s="46">
        <v>44853.502083333333</v>
      </c>
      <c r="E46" s="47">
        <v>20.900000000023283</v>
      </c>
      <c r="F46" s="45">
        <v>1632</v>
      </c>
      <c r="G46" s="45">
        <v>1227</v>
      </c>
      <c r="H46" s="47">
        <v>0.51075610000000005</v>
      </c>
      <c r="I46" s="48">
        <v>496883800</v>
      </c>
      <c r="J46" s="47">
        <v>0.13482440000000001</v>
      </c>
      <c r="K46" s="48">
        <v>22022940</v>
      </c>
      <c r="L46" s="47">
        <v>0.13539979999999999</v>
      </c>
      <c r="M46" s="49">
        <v>4.4322109999999998E-2</v>
      </c>
      <c r="N46" s="49">
        <v>2.6694470000000001E-2</v>
      </c>
      <c r="O46" s="45">
        <v>-4</v>
      </c>
      <c r="P46" s="45">
        <v>13</v>
      </c>
      <c r="Q46" s="45">
        <v>25</v>
      </c>
      <c r="R46" s="48">
        <v>5.2000000000000002E-9</v>
      </c>
      <c r="S46" s="48">
        <f t="shared" si="0"/>
        <v>972839678.27305436</v>
      </c>
      <c r="T46" s="50">
        <f t="shared" si="1"/>
        <v>1.0841658025884227</v>
      </c>
      <c r="U46" s="47">
        <f t="shared" si="2"/>
        <v>3.602789665557049</v>
      </c>
      <c r="V46" s="51">
        <f t="shared" si="3"/>
        <v>-0.8007988764657803</v>
      </c>
      <c r="W46" s="51">
        <f t="shared" si="4"/>
        <v>2.6694470000000001E-2</v>
      </c>
      <c r="X46" s="16" t="s">
        <v>943</v>
      </c>
    </row>
    <row r="47" spans="1:24" x14ac:dyDescent="0.35">
      <c r="A47" s="52" t="s">
        <v>426</v>
      </c>
      <c r="B47" s="53">
        <v>44853</v>
      </c>
      <c r="C47" s="54">
        <v>20</v>
      </c>
      <c r="D47" s="55">
        <v>44853.504861111112</v>
      </c>
      <c r="E47" s="56">
        <v>20.966666666732635</v>
      </c>
      <c r="F47" s="54">
        <v>1572</v>
      </c>
      <c r="G47" s="54">
        <v>1189</v>
      </c>
      <c r="H47" s="56">
        <v>0.51656330000000006</v>
      </c>
      <c r="I47" s="57">
        <v>500578200</v>
      </c>
      <c r="J47" s="56">
        <v>0.14161770000000001</v>
      </c>
      <c r="K47" s="57">
        <v>22158540</v>
      </c>
      <c r="L47" s="56">
        <v>0.14210390000000001</v>
      </c>
      <c r="M47" s="58">
        <v>4.4265899999999997E-2</v>
      </c>
      <c r="N47" s="58">
        <v>2.5790439999999998E-2</v>
      </c>
      <c r="O47" s="54">
        <v>-3</v>
      </c>
      <c r="P47" s="54">
        <v>13</v>
      </c>
      <c r="Q47" s="54">
        <v>22</v>
      </c>
      <c r="R47" s="57">
        <v>5.2000000000000002E-9</v>
      </c>
      <c r="S47" s="57">
        <f t="shared" si="0"/>
        <v>969054905.75888753</v>
      </c>
      <c r="T47" s="60">
        <f t="shared" si="1"/>
        <v>1.0799479226827424</v>
      </c>
      <c r="U47" s="56">
        <f t="shared" si="2"/>
        <v>2.330004755111581</v>
      </c>
      <c r="V47" s="59">
        <f t="shared" si="3"/>
        <v>-2.0679990863645692</v>
      </c>
      <c r="W47" s="59">
        <f t="shared" si="4"/>
        <v>2.5790439999999998E-2</v>
      </c>
      <c r="X47" s="52" t="s">
        <v>943</v>
      </c>
    </row>
    <row r="48" spans="1:24" x14ac:dyDescent="0.35">
      <c r="A48" s="16" t="s">
        <v>429</v>
      </c>
      <c r="B48" s="44">
        <v>44853</v>
      </c>
      <c r="C48" s="45">
        <v>20</v>
      </c>
      <c r="D48" s="46">
        <v>44853.538194444445</v>
      </c>
      <c r="E48" s="47">
        <v>21.766666666720994</v>
      </c>
      <c r="F48" s="45">
        <v>4825</v>
      </c>
      <c r="G48" s="45">
        <v>6057</v>
      </c>
      <c r="H48" s="47">
        <v>0.60879030000000001</v>
      </c>
      <c r="I48" s="48">
        <v>513310900</v>
      </c>
      <c r="J48" s="47">
        <v>8.6231530000000001E-2</v>
      </c>
      <c r="K48" s="48">
        <v>22646000</v>
      </c>
      <c r="L48" s="47">
        <v>8.5966070000000006E-2</v>
      </c>
      <c r="M48" s="49">
        <v>4.411752E-2</v>
      </c>
      <c r="N48" s="49">
        <v>3.017891E-2</v>
      </c>
      <c r="O48" s="45">
        <v>12</v>
      </c>
      <c r="P48" s="45">
        <v>-43</v>
      </c>
      <c r="Q48" s="45">
        <v>17</v>
      </c>
      <c r="R48" s="48">
        <v>6.3000000000000002E-9</v>
      </c>
      <c r="S48" s="48">
        <f t="shared" si="0"/>
        <v>843165372.3786335</v>
      </c>
      <c r="T48" s="47">
        <f t="shared" si="1"/>
        <v>0.9396523220376618</v>
      </c>
      <c r="U48" s="47">
        <f t="shared" si="2"/>
        <v>-1.0298213436586989</v>
      </c>
      <c r="V48" s="51">
        <f t="shared" si="3"/>
        <v>-5.4130830063924273</v>
      </c>
      <c r="W48" s="51">
        <f t="shared" si="4"/>
        <v>3.017891E-2</v>
      </c>
    </row>
    <row r="49" spans="1:24" x14ac:dyDescent="0.35">
      <c r="A49" s="16" t="s">
        <v>430</v>
      </c>
      <c r="B49" s="44">
        <v>44853</v>
      </c>
      <c r="C49" s="45">
        <v>20</v>
      </c>
      <c r="D49" s="46">
        <v>44853.540972222225</v>
      </c>
      <c r="E49" s="47">
        <v>21.833333333430346</v>
      </c>
      <c r="F49" s="45">
        <v>4843</v>
      </c>
      <c r="G49" s="45">
        <v>5995</v>
      </c>
      <c r="H49" s="47">
        <v>0.61085480000000003</v>
      </c>
      <c r="I49" s="48">
        <v>516527300</v>
      </c>
      <c r="J49" s="47">
        <v>8.1415989999999994E-2</v>
      </c>
      <c r="K49" s="48">
        <v>22781600</v>
      </c>
      <c r="L49" s="47">
        <v>8.2100660000000006E-2</v>
      </c>
      <c r="M49" s="49">
        <v>4.4105310000000002E-2</v>
      </c>
      <c r="N49" s="49">
        <v>3.1556969999999997E-2</v>
      </c>
      <c r="O49" s="45">
        <v>12</v>
      </c>
      <c r="P49" s="45">
        <v>-40</v>
      </c>
      <c r="Q49" s="45">
        <v>16</v>
      </c>
      <c r="R49" s="48">
        <v>6.4000000000000002E-9</v>
      </c>
      <c r="S49" s="48">
        <f t="shared" si="0"/>
        <v>845581143.01467383</v>
      </c>
      <c r="T49" s="47">
        <f t="shared" si="1"/>
        <v>0.94234453943893137</v>
      </c>
      <c r="U49" s="47">
        <f t="shared" si="2"/>
        <v>-1.3062971265538348</v>
      </c>
      <c r="V49" s="51">
        <f t="shared" si="3"/>
        <v>-5.6883456742959915</v>
      </c>
      <c r="W49" s="51">
        <f t="shared" si="4"/>
        <v>3.1556969999999997E-2</v>
      </c>
    </row>
    <row r="50" spans="1:24" x14ac:dyDescent="0.35">
      <c r="A50" s="16" t="s">
        <v>431</v>
      </c>
      <c r="B50" s="44">
        <v>44853</v>
      </c>
      <c r="C50" s="45">
        <v>20</v>
      </c>
      <c r="D50" s="46">
        <v>44853.543749999997</v>
      </c>
      <c r="E50" s="47">
        <v>21.899999999965075</v>
      </c>
      <c r="F50" s="45">
        <v>5014</v>
      </c>
      <c r="G50" s="45">
        <v>5898</v>
      </c>
      <c r="H50" s="47">
        <v>0.62541599999999997</v>
      </c>
      <c r="I50" s="48">
        <v>511391500</v>
      </c>
      <c r="J50" s="47">
        <v>0.1151084</v>
      </c>
      <c r="K50" s="48">
        <v>22545980</v>
      </c>
      <c r="L50" s="47">
        <v>0.1147387</v>
      </c>
      <c r="M50" s="49">
        <v>4.4087519999999998E-2</v>
      </c>
      <c r="N50" s="49">
        <v>2.4663629999999999E-2</v>
      </c>
      <c r="O50" s="45">
        <v>16</v>
      </c>
      <c r="P50" s="45">
        <v>-36</v>
      </c>
      <c r="Q50" s="45">
        <v>15</v>
      </c>
      <c r="R50" s="48">
        <v>6.3000000000000002E-9</v>
      </c>
      <c r="S50" s="48">
        <f t="shared" si="0"/>
        <v>817682150.76045382</v>
      </c>
      <c r="T50" s="50">
        <f t="shared" si="1"/>
        <v>0.91125294849724803</v>
      </c>
      <c r="U50" s="47">
        <f t="shared" si="2"/>
        <v>-1.7091230215339204</v>
      </c>
      <c r="V50" s="51">
        <f t="shared" si="3"/>
        <v>-6.089404057752712</v>
      </c>
      <c r="W50" s="51">
        <f t="shared" si="4"/>
        <v>2.4663629999999999E-2</v>
      </c>
      <c r="X50" s="16" t="s">
        <v>944</v>
      </c>
    </row>
    <row r="51" spans="1:24" x14ac:dyDescent="0.35">
      <c r="A51" s="16" t="s">
        <v>432</v>
      </c>
      <c r="B51" s="44">
        <v>44853</v>
      </c>
      <c r="C51" s="45">
        <v>20</v>
      </c>
      <c r="D51" s="46">
        <v>44853.546527777777</v>
      </c>
      <c r="E51" s="47">
        <v>21.966666666674428</v>
      </c>
      <c r="F51" s="45">
        <v>5064</v>
      </c>
      <c r="G51" s="45">
        <v>5928</v>
      </c>
      <c r="H51" s="47">
        <v>0.63702629999999993</v>
      </c>
      <c r="I51" s="48">
        <v>507390100</v>
      </c>
      <c r="J51" s="47">
        <v>6.9056080000000006E-2</v>
      </c>
      <c r="K51" s="48">
        <v>22365360</v>
      </c>
      <c r="L51" s="47">
        <v>6.8575159999999996E-2</v>
      </c>
      <c r="M51" s="49">
        <v>4.4079229999999997E-2</v>
      </c>
      <c r="N51" s="49">
        <v>2.4352559999999999E-2</v>
      </c>
      <c r="O51" s="45">
        <v>16</v>
      </c>
      <c r="P51" s="45">
        <v>-38</v>
      </c>
      <c r="Q51" s="45">
        <v>13</v>
      </c>
      <c r="R51" s="48">
        <v>6.4000000000000002E-9</v>
      </c>
      <c r="S51" s="48">
        <f t="shared" si="0"/>
        <v>796497883.99631238</v>
      </c>
      <c r="T51" s="50">
        <f t="shared" si="1"/>
        <v>0.88764447724393403</v>
      </c>
      <c r="U51" s="47">
        <f t="shared" si="2"/>
        <v>-1.8968367185201451</v>
      </c>
      <c r="V51" s="51">
        <f t="shared" si="3"/>
        <v>-6.2762941082786794</v>
      </c>
      <c r="W51" s="51">
        <f t="shared" si="4"/>
        <v>2.4352559999999999E-2</v>
      </c>
      <c r="X51" s="16" t="s">
        <v>944</v>
      </c>
    </row>
    <row r="52" spans="1:24" x14ac:dyDescent="0.35">
      <c r="A52" s="16" t="s">
        <v>433</v>
      </c>
      <c r="B52" s="44">
        <v>44853</v>
      </c>
      <c r="C52" s="45">
        <v>20</v>
      </c>
      <c r="D52" s="46">
        <v>44853.549305555556</v>
      </c>
      <c r="E52" s="47">
        <v>22.03333333338378</v>
      </c>
      <c r="F52" s="45">
        <v>5247</v>
      </c>
      <c r="G52" s="45">
        <v>6002</v>
      </c>
      <c r="H52" s="47">
        <v>0.60870029999999997</v>
      </c>
      <c r="I52" s="48">
        <v>511864800</v>
      </c>
      <c r="J52" s="47">
        <v>0.10223740000000001</v>
      </c>
      <c r="K52" s="48">
        <v>22568700</v>
      </c>
      <c r="L52" s="47">
        <v>0.1035904</v>
      </c>
      <c r="M52" s="49">
        <v>4.4091119999999998E-2</v>
      </c>
      <c r="N52" s="49">
        <v>2.6006599999999998E-2</v>
      </c>
      <c r="O52" s="45">
        <v>21</v>
      </c>
      <c r="P52" s="45">
        <v>-43</v>
      </c>
      <c r="Q52" s="45">
        <v>18</v>
      </c>
      <c r="R52" s="48">
        <v>6.4000000000000002E-9</v>
      </c>
      <c r="S52" s="48">
        <f t="shared" si="0"/>
        <v>840914321.8756423</v>
      </c>
      <c r="T52" s="50">
        <f t="shared" si="1"/>
        <v>0.93714367438507551</v>
      </c>
      <c r="U52" s="47">
        <f t="shared" si="2"/>
        <v>-1.6276068201889204</v>
      </c>
      <c r="V52" s="51">
        <f t="shared" si="3"/>
        <v>-6.0082455315895178</v>
      </c>
      <c r="W52" s="51">
        <f t="shared" si="4"/>
        <v>2.6006599999999998E-2</v>
      </c>
      <c r="X52" s="16" t="s">
        <v>944</v>
      </c>
    </row>
    <row r="53" spans="1:24" x14ac:dyDescent="0.35">
      <c r="A53" s="16" t="s">
        <v>434</v>
      </c>
      <c r="B53" s="44">
        <v>44853</v>
      </c>
      <c r="C53" s="45">
        <v>20</v>
      </c>
      <c r="D53" s="46">
        <v>44853.552083333336</v>
      </c>
      <c r="E53" s="47">
        <v>22.100000000093132</v>
      </c>
      <c r="F53" s="45">
        <v>5996</v>
      </c>
      <c r="G53" s="45">
        <v>6278</v>
      </c>
      <c r="H53" s="47">
        <v>0.5913970999999999</v>
      </c>
      <c r="I53" s="48">
        <v>511919000</v>
      </c>
      <c r="J53" s="47">
        <v>8.8013759999999996E-2</v>
      </c>
      <c r="K53" s="48">
        <v>22563740</v>
      </c>
      <c r="L53" s="47">
        <v>8.8313390000000005E-2</v>
      </c>
      <c r="M53" s="49">
        <v>4.4076780000000003E-2</v>
      </c>
      <c r="N53" s="49">
        <v>2.6351340000000001E-2</v>
      </c>
      <c r="O53" s="45">
        <v>52</v>
      </c>
      <c r="P53" s="61">
        <v>-72</v>
      </c>
      <c r="Q53" s="45">
        <v>-1</v>
      </c>
      <c r="R53" s="48">
        <v>6.4000000000000002E-9</v>
      </c>
      <c r="S53" s="48">
        <f t="shared" si="0"/>
        <v>865609587.87251425</v>
      </c>
      <c r="T53" s="47">
        <f t="shared" si="1"/>
        <v>0.96466492323787822</v>
      </c>
      <c r="U53" s="47">
        <f t="shared" si="2"/>
        <v>-1.9523130222131035</v>
      </c>
      <c r="V53" s="51">
        <f t="shared" si="3"/>
        <v>-6.3315269941396357</v>
      </c>
      <c r="W53" s="51">
        <f t="shared" si="4"/>
        <v>2.6351340000000001E-2</v>
      </c>
      <c r="X53" s="16" t="s">
        <v>945</v>
      </c>
    </row>
    <row r="54" spans="1:24" x14ac:dyDescent="0.35">
      <c r="A54" s="16" t="s">
        <v>435</v>
      </c>
      <c r="B54" s="44">
        <v>44853</v>
      </c>
      <c r="C54" s="45">
        <v>20</v>
      </c>
      <c r="D54" s="46">
        <v>44853.554861111108</v>
      </c>
      <c r="E54" s="47">
        <v>22.166666666627862</v>
      </c>
      <c r="F54" s="45">
        <v>6138</v>
      </c>
      <c r="G54" s="45">
        <v>6392</v>
      </c>
      <c r="H54" s="47">
        <v>0.5992265</v>
      </c>
      <c r="I54" s="48">
        <v>511570300</v>
      </c>
      <c r="J54" s="47">
        <v>8.5437949999999999E-2</v>
      </c>
      <c r="K54" s="48">
        <v>22550730</v>
      </c>
      <c r="L54" s="47">
        <v>8.5532620000000004E-2</v>
      </c>
      <c r="M54" s="49">
        <v>4.4081389999999998E-2</v>
      </c>
      <c r="N54" s="49">
        <v>2.539624E-2</v>
      </c>
      <c r="O54" s="61">
        <v>60</v>
      </c>
      <c r="P54" s="61">
        <v>-80</v>
      </c>
      <c r="Q54" s="45">
        <v>-3</v>
      </c>
      <c r="R54" s="48">
        <v>6.4000000000000002E-9</v>
      </c>
      <c r="S54" s="48">
        <f t="shared" si="0"/>
        <v>853717751.13417053</v>
      </c>
      <c r="T54" s="47">
        <f t="shared" si="1"/>
        <v>0.95141225374914651</v>
      </c>
      <c r="U54" s="47">
        <f t="shared" si="2"/>
        <v>-1.8479269977130786</v>
      </c>
      <c r="V54" s="51">
        <f t="shared" si="3"/>
        <v>-6.2275989925807407</v>
      </c>
      <c r="W54" s="51">
        <f t="shared" si="4"/>
        <v>2.539624E-2</v>
      </c>
      <c r="X54" s="16" t="s">
        <v>945</v>
      </c>
    </row>
    <row r="55" spans="1:24" x14ac:dyDescent="0.35">
      <c r="A55" s="16" t="s">
        <v>436</v>
      </c>
      <c r="B55" s="44">
        <v>44853</v>
      </c>
      <c r="C55" s="45">
        <v>20</v>
      </c>
      <c r="D55" s="46">
        <v>44853.557638888888</v>
      </c>
      <c r="E55" s="47">
        <v>22.233333333337214</v>
      </c>
      <c r="F55" s="45">
        <v>6758</v>
      </c>
      <c r="G55" s="45">
        <v>6893</v>
      </c>
      <c r="H55" s="47">
        <v>0.57653310000000002</v>
      </c>
      <c r="I55" s="48">
        <v>512293800</v>
      </c>
      <c r="J55" s="47">
        <v>8.498493E-2</v>
      </c>
      <c r="K55" s="48">
        <v>22594090</v>
      </c>
      <c r="L55" s="47">
        <v>8.469902E-2</v>
      </c>
      <c r="M55" s="49">
        <v>4.410377E-2</v>
      </c>
      <c r="N55" s="49">
        <v>2.422858E-2</v>
      </c>
      <c r="O55" s="61">
        <v>102</v>
      </c>
      <c r="P55" s="61">
        <v>-123</v>
      </c>
      <c r="Q55" s="45">
        <v>-24</v>
      </c>
      <c r="R55" s="48">
        <v>6.4000000000000002E-9</v>
      </c>
      <c r="S55" s="48">
        <f t="shared" si="0"/>
        <v>888576562.2129935</v>
      </c>
      <c r="T55" s="47">
        <f t="shared" si="1"/>
        <v>0.99026010477187454</v>
      </c>
      <c r="U55" s="47">
        <f t="shared" si="2"/>
        <v>-1.3411679460181292</v>
      </c>
      <c r="V55" s="51">
        <f t="shared" si="3"/>
        <v>-5.7230634882657894</v>
      </c>
      <c r="W55" s="51">
        <f t="shared" si="4"/>
        <v>2.422858E-2</v>
      </c>
      <c r="X55" s="16" t="s">
        <v>945</v>
      </c>
    </row>
    <row r="56" spans="1:24" x14ac:dyDescent="0.35">
      <c r="A56" s="16" t="s">
        <v>438</v>
      </c>
      <c r="B56" s="44">
        <v>44853</v>
      </c>
      <c r="C56" s="45">
        <v>20</v>
      </c>
      <c r="D56" s="46">
        <v>44853.572916666664</v>
      </c>
      <c r="E56" s="47">
        <v>22.599999999976717</v>
      </c>
      <c r="F56" s="45">
        <v>-5668</v>
      </c>
      <c r="G56" s="45">
        <v>1586</v>
      </c>
      <c r="H56" s="47">
        <v>0.58520739999999993</v>
      </c>
      <c r="I56" s="48">
        <v>501513800</v>
      </c>
      <c r="J56" s="47">
        <v>0.1112013</v>
      </c>
      <c r="K56" s="48">
        <v>22160310</v>
      </c>
      <c r="L56" s="47">
        <v>0.1114932</v>
      </c>
      <c r="M56" s="49">
        <v>4.4186830000000003E-2</v>
      </c>
      <c r="N56" s="49">
        <v>2.661351E-2</v>
      </c>
      <c r="O56" s="45">
        <v>-8</v>
      </c>
      <c r="P56" s="45">
        <v>-22</v>
      </c>
      <c r="Q56" s="45">
        <v>31</v>
      </c>
      <c r="R56" s="48">
        <v>6.2000000000000001E-9</v>
      </c>
      <c r="S56" s="48">
        <f t="shared" si="0"/>
        <v>856984720.28890967</v>
      </c>
      <c r="T56" s="47">
        <f t="shared" si="1"/>
        <v>0.95505307588539701</v>
      </c>
      <c r="U56" s="47">
        <f t="shared" si="2"/>
        <v>0.53959196612551885</v>
      </c>
      <c r="V56" s="51">
        <f t="shared" si="3"/>
        <v>-3.8505559373996912</v>
      </c>
      <c r="W56" s="51">
        <f t="shared" si="4"/>
        <v>2.661351E-2</v>
      </c>
    </row>
    <row r="57" spans="1:24" x14ac:dyDescent="0.35">
      <c r="A57" s="16" t="s">
        <v>439</v>
      </c>
      <c r="B57" s="44">
        <v>44853</v>
      </c>
      <c r="C57" s="45">
        <v>20</v>
      </c>
      <c r="D57" s="46">
        <v>44853.575694444444</v>
      </c>
      <c r="E57" s="47">
        <v>22.666666666686069</v>
      </c>
      <c r="F57" s="45">
        <v>-5578</v>
      </c>
      <c r="G57" s="45">
        <v>1628</v>
      </c>
      <c r="H57" s="47">
        <v>0.59125780000000006</v>
      </c>
      <c r="I57" s="48">
        <v>485661400</v>
      </c>
      <c r="J57" s="47">
        <v>0.14658180000000001</v>
      </c>
      <c r="K57" s="48">
        <v>21466270</v>
      </c>
      <c r="L57" s="47">
        <v>0.1449782</v>
      </c>
      <c r="M57" s="49">
        <v>4.4200099999999999E-2</v>
      </c>
      <c r="N57" s="49">
        <v>2.8973760000000001E-2</v>
      </c>
      <c r="O57" s="45">
        <v>-9</v>
      </c>
      <c r="P57" s="45">
        <v>-20</v>
      </c>
      <c r="Q57" s="45">
        <v>31</v>
      </c>
      <c r="R57" s="48">
        <v>6.1E-9</v>
      </c>
      <c r="S57" s="48">
        <f t="shared" si="0"/>
        <v>821403793.74276328</v>
      </c>
      <c r="T57" s="50">
        <f t="shared" si="1"/>
        <v>0.91540047469398556</v>
      </c>
      <c r="U57" s="47">
        <f t="shared" si="2"/>
        <v>0.84006974163886028</v>
      </c>
      <c r="V57" s="51">
        <f t="shared" si="3"/>
        <v>-3.5513965923480439</v>
      </c>
      <c r="W57" s="51">
        <f t="shared" si="4"/>
        <v>2.8973760000000001E-2</v>
      </c>
      <c r="X57" s="16" t="s">
        <v>944</v>
      </c>
    </row>
    <row r="58" spans="1:24" x14ac:dyDescent="0.35">
      <c r="A58" s="16" t="s">
        <v>440</v>
      </c>
      <c r="B58" s="44">
        <v>44853</v>
      </c>
      <c r="C58" s="45">
        <v>20</v>
      </c>
      <c r="D58" s="46">
        <v>44853.578472222223</v>
      </c>
      <c r="E58" s="47">
        <v>22.733333333395422</v>
      </c>
      <c r="F58" s="45">
        <v>-5558</v>
      </c>
      <c r="G58" s="45">
        <v>1454</v>
      </c>
      <c r="H58" s="47">
        <v>0.58833590000000002</v>
      </c>
      <c r="I58" s="48">
        <v>508991300</v>
      </c>
      <c r="J58" s="47">
        <v>0.1290673</v>
      </c>
      <c r="K58" s="48">
        <v>22516850</v>
      </c>
      <c r="L58" s="47">
        <v>0.1301554</v>
      </c>
      <c r="M58" s="49">
        <v>4.4238159999999999E-2</v>
      </c>
      <c r="N58" s="49">
        <v>2.9154099999999999E-2</v>
      </c>
      <c r="O58" s="45">
        <v>-6</v>
      </c>
      <c r="P58" s="45">
        <v>-22</v>
      </c>
      <c r="Q58" s="45">
        <v>26</v>
      </c>
      <c r="R58" s="48">
        <v>6.1E-9</v>
      </c>
      <c r="S58" s="48">
        <f t="shared" si="0"/>
        <v>865137245.57688892</v>
      </c>
      <c r="T58" s="47">
        <f t="shared" si="1"/>
        <v>0.96413852883243811</v>
      </c>
      <c r="U58" s="47">
        <f t="shared" si="2"/>
        <v>1.7018771369698982</v>
      </c>
      <c r="V58" s="51">
        <f t="shared" si="3"/>
        <v>-2.6933706185222617</v>
      </c>
      <c r="W58" s="51">
        <f t="shared" si="4"/>
        <v>2.9154099999999999E-2</v>
      </c>
    </row>
    <row r="59" spans="1:24" x14ac:dyDescent="0.35">
      <c r="A59" s="16" t="s">
        <v>441</v>
      </c>
      <c r="B59" s="44">
        <v>44853</v>
      </c>
      <c r="C59" s="45">
        <v>20</v>
      </c>
      <c r="D59" s="46">
        <v>44853.581944444442</v>
      </c>
      <c r="E59" s="47">
        <v>22.816666666651145</v>
      </c>
      <c r="F59" s="45">
        <v>-6122</v>
      </c>
      <c r="G59" s="45">
        <v>1207</v>
      </c>
      <c r="H59" s="47">
        <v>0.56799260000000007</v>
      </c>
      <c r="I59" s="48">
        <v>501830000</v>
      </c>
      <c r="J59" s="47">
        <v>0.1286986</v>
      </c>
      <c r="K59" s="48">
        <v>22178370</v>
      </c>
      <c r="L59" s="47">
        <v>0.12933749999999999</v>
      </c>
      <c r="M59" s="49">
        <v>4.4194990000000003E-2</v>
      </c>
      <c r="N59" s="49">
        <v>2.9378140000000001E-2</v>
      </c>
      <c r="O59" s="45">
        <v>-5</v>
      </c>
      <c r="P59" s="45">
        <v>-18</v>
      </c>
      <c r="Q59" s="45">
        <v>31</v>
      </c>
      <c r="R59" s="48">
        <v>6.1E-9</v>
      </c>
      <c r="S59" s="48">
        <f t="shared" si="0"/>
        <v>883515031.70992005</v>
      </c>
      <c r="T59" s="47">
        <f t="shared" si="1"/>
        <v>0.9846193621061029</v>
      </c>
      <c r="U59" s="47">
        <f t="shared" si="2"/>
        <v>0.72436202250769632</v>
      </c>
      <c r="V59" s="51">
        <f t="shared" si="3"/>
        <v>-3.6665966114295401</v>
      </c>
      <c r="W59" s="51">
        <f t="shared" si="4"/>
        <v>2.9378140000000001E-2</v>
      </c>
    </row>
    <row r="60" spans="1:24" x14ac:dyDescent="0.35">
      <c r="A60" s="16" t="s">
        <v>442</v>
      </c>
      <c r="B60" s="44">
        <v>44853</v>
      </c>
      <c r="C60" s="45">
        <v>20</v>
      </c>
      <c r="D60" s="46">
        <v>44853.584722222222</v>
      </c>
      <c r="E60" s="47">
        <v>22.883333333360497</v>
      </c>
      <c r="F60" s="45">
        <v>-6473</v>
      </c>
      <c r="G60" s="45">
        <v>716</v>
      </c>
      <c r="H60" s="47">
        <v>0.58821069999999998</v>
      </c>
      <c r="I60" s="48">
        <v>507054900</v>
      </c>
      <c r="J60" s="47">
        <v>0.12857499999999999</v>
      </c>
      <c r="K60" s="48">
        <v>22414560</v>
      </c>
      <c r="L60" s="47">
        <v>0.1292528</v>
      </c>
      <c r="M60" s="49">
        <v>4.4205389999999997E-2</v>
      </c>
      <c r="N60" s="49">
        <v>2.7378550000000001E-2</v>
      </c>
      <c r="O60" s="45">
        <v>-3</v>
      </c>
      <c r="P60" s="45">
        <v>-15</v>
      </c>
      <c r="Q60" s="45">
        <v>29</v>
      </c>
      <c r="R60" s="48">
        <v>6.1E-9</v>
      </c>
      <c r="S60" s="48">
        <f t="shared" si="0"/>
        <v>862029371.44802022</v>
      </c>
      <c r="T60" s="47">
        <f t="shared" si="1"/>
        <v>0.96067500763308689</v>
      </c>
      <c r="U60" s="47">
        <f t="shared" si="2"/>
        <v>0.95985327083747407</v>
      </c>
      <c r="V60" s="51">
        <f t="shared" si="3"/>
        <v>-3.4321386469582382</v>
      </c>
      <c r="W60" s="51">
        <f t="shared" si="4"/>
        <v>2.7378550000000001E-2</v>
      </c>
    </row>
    <row r="61" spans="1:24" x14ac:dyDescent="0.35">
      <c r="A61" s="16" t="s">
        <v>443</v>
      </c>
      <c r="B61" s="44">
        <v>44853</v>
      </c>
      <c r="C61" s="45">
        <v>20</v>
      </c>
      <c r="D61" s="46">
        <v>44853.587500000001</v>
      </c>
      <c r="E61" s="47">
        <v>22.950000000069849</v>
      </c>
      <c r="F61" s="45">
        <v>-6421</v>
      </c>
      <c r="G61" s="45">
        <v>672</v>
      </c>
      <c r="H61" s="47">
        <v>0.59977720000000001</v>
      </c>
      <c r="I61" s="48">
        <v>506234100</v>
      </c>
      <c r="J61" s="47">
        <v>0.12777069999999999</v>
      </c>
      <c r="K61" s="48">
        <v>22393190</v>
      </c>
      <c r="L61" s="47">
        <v>0.1298223</v>
      </c>
      <c r="M61" s="49">
        <v>4.4234839999999997E-2</v>
      </c>
      <c r="N61" s="49">
        <v>3.1814200000000001E-2</v>
      </c>
      <c r="O61" s="45">
        <v>-4</v>
      </c>
      <c r="P61" s="45">
        <v>-17</v>
      </c>
      <c r="Q61" s="45">
        <v>31</v>
      </c>
      <c r="R61" s="48">
        <v>6E-9</v>
      </c>
      <c r="S61" s="48">
        <f t="shared" si="0"/>
        <v>844036919.04260445</v>
      </c>
      <c r="T61" s="50">
        <f t="shared" si="1"/>
        <v>0.94062360344151519</v>
      </c>
      <c r="U61" s="47">
        <f t="shared" si="2"/>
        <v>1.626701084618265</v>
      </c>
      <c r="V61" s="51">
        <f t="shared" si="3"/>
        <v>-2.7682168148728259</v>
      </c>
      <c r="W61" s="51">
        <f t="shared" si="4"/>
        <v>3.1814200000000001E-2</v>
      </c>
      <c r="X61" s="16" t="s">
        <v>944</v>
      </c>
    </row>
    <row r="62" spans="1:24" x14ac:dyDescent="0.35">
      <c r="A62" s="52" t="s">
        <v>444</v>
      </c>
      <c r="B62" s="53">
        <v>44853</v>
      </c>
      <c r="C62" s="54">
        <v>20</v>
      </c>
      <c r="D62" s="55">
        <v>44853.590277777781</v>
      </c>
      <c r="E62" s="56">
        <v>23.016666666779201</v>
      </c>
      <c r="F62" s="54">
        <v>-5879</v>
      </c>
      <c r="G62" s="54">
        <v>1234</v>
      </c>
      <c r="H62" s="56">
        <v>0.5972558</v>
      </c>
      <c r="I62" s="57">
        <v>495546200</v>
      </c>
      <c r="J62" s="56">
        <v>0.13483220000000001</v>
      </c>
      <c r="K62" s="57">
        <v>21890270</v>
      </c>
      <c r="L62" s="56">
        <v>0.13467509999999999</v>
      </c>
      <c r="M62" s="58">
        <v>4.4174030000000003E-2</v>
      </c>
      <c r="N62" s="58">
        <v>2.4616680000000002E-2</v>
      </c>
      <c r="O62" s="54">
        <v>-6</v>
      </c>
      <c r="P62" s="54">
        <v>-17</v>
      </c>
      <c r="Q62" s="54">
        <v>43</v>
      </c>
      <c r="R62" s="57">
        <v>6.1E-9</v>
      </c>
      <c r="S62" s="57">
        <f t="shared" si="0"/>
        <v>829705128.02052319</v>
      </c>
      <c r="T62" s="60">
        <f t="shared" si="1"/>
        <v>0.92465176546758843</v>
      </c>
      <c r="U62" s="56">
        <f t="shared" si="2"/>
        <v>0.24975658356551911</v>
      </c>
      <c r="V62" s="59">
        <f t="shared" si="3"/>
        <v>-4.1391195859800112</v>
      </c>
      <c r="W62" s="59">
        <f t="shared" si="4"/>
        <v>2.4616680000000002E-2</v>
      </c>
      <c r="X62" s="52" t="s">
        <v>944</v>
      </c>
    </row>
    <row r="63" spans="1:24" x14ac:dyDescent="0.35">
      <c r="A63" s="16" t="s">
        <v>445</v>
      </c>
      <c r="B63" s="44">
        <v>44853</v>
      </c>
      <c r="C63" s="45">
        <v>20</v>
      </c>
      <c r="D63" s="46">
        <v>44853.642361111109</v>
      </c>
      <c r="E63" s="47">
        <v>24.266666666662786</v>
      </c>
      <c r="F63" s="45">
        <v>929</v>
      </c>
      <c r="G63" s="45">
        <v>3724</v>
      </c>
      <c r="H63" s="47">
        <v>0.59989460000000006</v>
      </c>
      <c r="I63" s="48">
        <v>520875900</v>
      </c>
      <c r="J63" s="47">
        <v>9.4112039999999994E-2</v>
      </c>
      <c r="K63" s="48">
        <v>23044270</v>
      </c>
      <c r="L63" s="47">
        <v>9.3191850000000007E-2</v>
      </c>
      <c r="M63" s="49">
        <v>4.4241379999999997E-2</v>
      </c>
      <c r="N63" s="49">
        <v>2.3992240000000001E-2</v>
      </c>
      <c r="O63" s="45">
        <v>6</v>
      </c>
      <c r="P63" s="45">
        <v>-15</v>
      </c>
      <c r="Q63" s="45">
        <v>2</v>
      </c>
      <c r="R63" s="48">
        <v>5.6999999999999998E-9</v>
      </c>
      <c r="S63" s="48">
        <f t="shared" si="0"/>
        <v>868279027.68252945</v>
      </c>
      <c r="T63" s="47">
        <f t="shared" si="1"/>
        <v>0.96763983824054767</v>
      </c>
      <c r="U63" s="47">
        <f t="shared" si="2"/>
        <v>1.7747888503949483</v>
      </c>
      <c r="V63" s="51">
        <f t="shared" si="3"/>
        <v>-2.6207788256764619</v>
      </c>
      <c r="W63" s="51">
        <f t="shared" si="4"/>
        <v>2.3992240000000001E-2</v>
      </c>
    </row>
    <row r="64" spans="1:24" x14ac:dyDescent="0.35">
      <c r="A64" s="16" t="s">
        <v>446</v>
      </c>
      <c r="B64" s="44">
        <v>44853</v>
      </c>
      <c r="C64" s="45">
        <v>20</v>
      </c>
      <c r="D64" s="46">
        <v>44853.645138888889</v>
      </c>
      <c r="E64" s="47">
        <v>24.333333333372138</v>
      </c>
      <c r="F64" s="45">
        <v>1113</v>
      </c>
      <c r="G64" s="45">
        <v>3712</v>
      </c>
      <c r="H64" s="47">
        <v>0.59885559999999993</v>
      </c>
      <c r="I64" s="48">
        <v>544680700</v>
      </c>
      <c r="J64" s="47">
        <v>0.1166454</v>
      </c>
      <c r="K64" s="48">
        <v>24139780</v>
      </c>
      <c r="L64" s="47">
        <v>0.1172908</v>
      </c>
      <c r="M64" s="49">
        <v>4.4319129999999998E-2</v>
      </c>
      <c r="N64" s="49">
        <v>2.3440860000000001E-2</v>
      </c>
      <c r="O64" s="45">
        <v>6</v>
      </c>
      <c r="P64" s="45">
        <v>-16</v>
      </c>
      <c r="Q64" s="45">
        <v>-2</v>
      </c>
      <c r="R64" s="48">
        <v>5.5999999999999997E-9</v>
      </c>
      <c r="S64" s="48">
        <f t="shared" si="0"/>
        <v>909535954.91133428</v>
      </c>
      <c r="T64" s="47">
        <f t="shared" si="1"/>
        <v>1.0136179686769533</v>
      </c>
      <c r="U64" s="47">
        <f t="shared" si="2"/>
        <v>3.5353123655548213</v>
      </c>
      <c r="V64" s="51">
        <f t="shared" si="3"/>
        <v>-0.86798010090094468</v>
      </c>
      <c r="W64" s="51">
        <f t="shared" si="4"/>
        <v>2.3440860000000001E-2</v>
      </c>
    </row>
    <row r="65" spans="1:24" x14ac:dyDescent="0.35">
      <c r="A65" s="16" t="s">
        <v>900</v>
      </c>
      <c r="B65" s="44">
        <v>44853</v>
      </c>
      <c r="C65" s="45">
        <v>20</v>
      </c>
      <c r="D65" s="46">
        <v>44853.647916666669</v>
      </c>
      <c r="E65" s="47">
        <v>24.400000000081491</v>
      </c>
      <c r="F65" s="45">
        <v>942</v>
      </c>
      <c r="G65" s="45">
        <v>3486</v>
      </c>
      <c r="H65" s="47">
        <v>0.6081527000000001</v>
      </c>
      <c r="I65" s="48">
        <v>552979900</v>
      </c>
      <c r="J65" s="47">
        <v>0.12108770000000001</v>
      </c>
      <c r="K65" s="48">
        <v>24509150</v>
      </c>
      <c r="L65" s="47">
        <v>0.1212792</v>
      </c>
      <c r="M65" s="49">
        <v>4.4321949999999999E-2</v>
      </c>
      <c r="N65" s="49">
        <v>2.9267920000000003E-2</v>
      </c>
      <c r="O65" s="45">
        <v>5</v>
      </c>
      <c r="P65" s="45">
        <v>-17</v>
      </c>
      <c r="Q65" s="45">
        <v>-3</v>
      </c>
      <c r="R65" s="48">
        <v>5.5999999999999997E-9</v>
      </c>
      <c r="S65" s="48">
        <f t="shared" si="0"/>
        <v>909278048.0954864</v>
      </c>
      <c r="T65" s="47">
        <f t="shared" si="1"/>
        <v>1.0133305485025488</v>
      </c>
      <c r="U65" s="47">
        <f t="shared" si="2"/>
        <v>3.5991667232750935</v>
      </c>
      <c r="V65" s="51">
        <f t="shared" si="3"/>
        <v>-0.80440592207309258</v>
      </c>
      <c r="W65" s="51">
        <f t="shared" si="4"/>
        <v>2.9267920000000003E-2</v>
      </c>
    </row>
    <row r="66" spans="1:24" x14ac:dyDescent="0.35">
      <c r="A66" s="16" t="s">
        <v>447</v>
      </c>
      <c r="B66" s="44">
        <v>44853</v>
      </c>
      <c r="C66" s="45">
        <v>20</v>
      </c>
      <c r="D66" s="46">
        <v>44853.650694444441</v>
      </c>
      <c r="E66" s="47">
        <v>24.46666666661622</v>
      </c>
      <c r="F66" s="45">
        <v>593</v>
      </c>
      <c r="G66" s="45">
        <v>3837</v>
      </c>
      <c r="H66" s="47">
        <v>0.63351999999999997</v>
      </c>
      <c r="I66" s="48">
        <v>549764100</v>
      </c>
      <c r="J66" s="47">
        <v>0.1199757</v>
      </c>
      <c r="K66" s="48">
        <v>24362230</v>
      </c>
      <c r="L66" s="47">
        <v>0.1204838</v>
      </c>
      <c r="M66" s="49">
        <v>4.4313970000000001E-2</v>
      </c>
      <c r="N66" s="49">
        <v>2.6877970000000001E-2</v>
      </c>
      <c r="O66" s="45">
        <v>4</v>
      </c>
      <c r="P66" s="45">
        <v>-19</v>
      </c>
      <c r="Q66" s="45">
        <v>-4</v>
      </c>
      <c r="R66" s="48">
        <v>5.4999999999999996E-9</v>
      </c>
      <c r="S66" s="48">
        <f t="shared" si="0"/>
        <v>867792808.43540859</v>
      </c>
      <c r="T66" s="47">
        <f t="shared" si="1"/>
        <v>0.96709797888585469</v>
      </c>
      <c r="U66" s="47">
        <f t="shared" si="2"/>
        <v>3.4184724769603658</v>
      </c>
      <c r="V66" s="51">
        <f t="shared" si="3"/>
        <v>-0.98430732173482305</v>
      </c>
      <c r="W66" s="51">
        <f t="shared" si="4"/>
        <v>2.6877970000000001E-2</v>
      </c>
    </row>
    <row r="67" spans="1:24" x14ac:dyDescent="0.35">
      <c r="A67" s="16" t="s">
        <v>448</v>
      </c>
      <c r="B67" s="44">
        <v>44853</v>
      </c>
      <c r="C67" s="45">
        <v>20</v>
      </c>
      <c r="D67" s="46">
        <v>44853.65347222222</v>
      </c>
      <c r="E67" s="47">
        <v>24.533333333325572</v>
      </c>
      <c r="F67" s="45">
        <v>268</v>
      </c>
      <c r="G67" s="45">
        <v>3668</v>
      </c>
      <c r="H67" s="47">
        <v>0.64284750000000002</v>
      </c>
      <c r="I67" s="48">
        <v>547936600</v>
      </c>
      <c r="J67" s="47">
        <v>0.11721959999999999</v>
      </c>
      <c r="K67" s="48">
        <v>24253330</v>
      </c>
      <c r="L67" s="47">
        <v>0.11827799999999999</v>
      </c>
      <c r="M67" s="49">
        <v>4.4263009999999998E-2</v>
      </c>
      <c r="N67" s="49">
        <v>2.3553649999999999E-2</v>
      </c>
      <c r="O67" s="45">
        <v>2</v>
      </c>
      <c r="P67" s="45">
        <v>-18</v>
      </c>
      <c r="Q67" s="45">
        <v>7</v>
      </c>
      <c r="R67" s="48">
        <v>5.4999999999999996E-9</v>
      </c>
      <c r="S67" s="48">
        <f t="shared" si="0"/>
        <v>852358607.60133624</v>
      </c>
      <c r="T67" s="47">
        <f t="shared" si="1"/>
        <v>0.94989757772182415</v>
      </c>
      <c r="U67" s="47">
        <f t="shared" si="2"/>
        <v>2.2645653601429672</v>
      </c>
      <c r="V67" s="51">
        <f t="shared" si="3"/>
        <v>-2.1331513476455788</v>
      </c>
      <c r="W67" s="51">
        <f t="shared" si="4"/>
        <v>2.3553649999999999E-2</v>
      </c>
    </row>
    <row r="68" spans="1:24" x14ac:dyDescent="0.35">
      <c r="A68" s="16" t="s">
        <v>449</v>
      </c>
      <c r="B68" s="44">
        <v>44853</v>
      </c>
      <c r="C68" s="45">
        <v>20</v>
      </c>
      <c r="D68" s="46">
        <v>44853.65625</v>
      </c>
      <c r="E68" s="47">
        <v>24.600000000034925</v>
      </c>
      <c r="F68" s="45">
        <v>16</v>
      </c>
      <c r="G68" s="45">
        <v>3547</v>
      </c>
      <c r="H68" s="47">
        <v>0.64004059999999996</v>
      </c>
      <c r="I68" s="48">
        <v>547549200</v>
      </c>
      <c r="J68" s="47">
        <v>0.11519219999999999</v>
      </c>
      <c r="K68" s="48">
        <v>24246690</v>
      </c>
      <c r="L68" s="47">
        <v>0.1154679</v>
      </c>
      <c r="M68" s="49">
        <v>4.4282200000000001E-2</v>
      </c>
      <c r="N68" s="49">
        <v>2.7078710000000002E-2</v>
      </c>
      <c r="O68" s="45">
        <v>1</v>
      </c>
      <c r="P68" s="45">
        <v>-18</v>
      </c>
      <c r="Q68" s="45">
        <v>9</v>
      </c>
      <c r="R68" s="48">
        <v>5.4999999999999996E-9</v>
      </c>
      <c r="S68" s="48">
        <f t="shared" si="0"/>
        <v>855491354.76718199</v>
      </c>
      <c r="T68" s="47">
        <f t="shared" si="1"/>
        <v>0.95338881828408717</v>
      </c>
      <c r="U68" s="47">
        <f t="shared" si="2"/>
        <v>2.6990920000906637</v>
      </c>
      <c r="V68" s="51">
        <f t="shared" si="3"/>
        <v>-1.7005313151252643</v>
      </c>
      <c r="W68" s="51">
        <f t="shared" si="4"/>
        <v>2.7078710000000002E-2</v>
      </c>
    </row>
    <row r="69" spans="1:24" x14ac:dyDescent="0.35">
      <c r="A69" s="16" t="s">
        <v>450</v>
      </c>
      <c r="B69" s="44">
        <v>44853</v>
      </c>
      <c r="C69" s="45">
        <v>20</v>
      </c>
      <c r="D69" s="46">
        <v>44853.65902777778</v>
      </c>
      <c r="E69" s="47">
        <v>24.666666666744277</v>
      </c>
      <c r="F69" s="45">
        <v>-546</v>
      </c>
      <c r="G69" s="45">
        <v>3558</v>
      </c>
      <c r="H69" s="47">
        <v>0.65261939999999996</v>
      </c>
      <c r="I69" s="48">
        <v>555142500</v>
      </c>
      <c r="J69" s="47">
        <v>0.11801440000000001</v>
      </c>
      <c r="K69" s="48">
        <v>24590850</v>
      </c>
      <c r="L69" s="47">
        <v>0.1190848</v>
      </c>
      <c r="M69" s="49">
        <v>4.4296450000000001E-2</v>
      </c>
      <c r="N69" s="49">
        <v>2.8689980000000004E-2</v>
      </c>
      <c r="O69" s="45">
        <v>0</v>
      </c>
      <c r="P69" s="45">
        <v>-18</v>
      </c>
      <c r="Q69" s="45">
        <v>0</v>
      </c>
      <c r="R69" s="48">
        <v>5.4000000000000004E-9</v>
      </c>
      <c r="S69" s="48">
        <f t="shared" si="0"/>
        <v>850637446.57299495</v>
      </c>
      <c r="T69" s="47">
        <f t="shared" si="1"/>
        <v>0.94797945701874176</v>
      </c>
      <c r="U69" s="47">
        <f t="shared" si="2"/>
        <v>3.0217602970812329</v>
      </c>
      <c r="V69" s="51">
        <f t="shared" si="3"/>
        <v>-1.3792788157293012</v>
      </c>
      <c r="W69" s="51">
        <f t="shared" si="4"/>
        <v>2.8689980000000004E-2</v>
      </c>
    </row>
    <row r="70" spans="1:24" x14ac:dyDescent="0.35">
      <c r="A70" s="16" t="s">
        <v>451</v>
      </c>
      <c r="B70" s="44">
        <v>44853</v>
      </c>
      <c r="C70" s="45">
        <v>20</v>
      </c>
      <c r="D70" s="46">
        <v>44853.661805555559</v>
      </c>
      <c r="E70" s="47">
        <v>24.733333333453629</v>
      </c>
      <c r="F70" s="45">
        <v>-953</v>
      </c>
      <c r="G70" s="45">
        <v>3018</v>
      </c>
      <c r="H70" s="47">
        <v>0.65011050000000004</v>
      </c>
      <c r="I70" s="48">
        <v>551894600</v>
      </c>
      <c r="J70" s="47">
        <v>6.7339979999999994E-2</v>
      </c>
      <c r="K70" s="48">
        <v>24452990</v>
      </c>
      <c r="L70" s="47">
        <v>6.6483730000000005E-2</v>
      </c>
      <c r="M70" s="49">
        <v>4.4307359999999997E-2</v>
      </c>
      <c r="N70" s="49">
        <v>2.6362740000000003E-2</v>
      </c>
      <c r="O70" s="45">
        <v>0</v>
      </c>
      <c r="P70" s="45">
        <v>-16</v>
      </c>
      <c r="Q70" s="45">
        <v>2</v>
      </c>
      <c r="R70" s="48">
        <v>5.4000000000000004E-9</v>
      </c>
      <c r="S70" s="48">
        <f t="shared" si="0"/>
        <v>848924298.25391221</v>
      </c>
      <c r="T70" s="47">
        <f t="shared" si="1"/>
        <v>0.94607026595284238</v>
      </c>
      <c r="U70" s="47">
        <f t="shared" si="2"/>
        <v>3.2687996739351188</v>
      </c>
      <c r="V70" s="51">
        <f t="shared" si="3"/>
        <v>-1.1333233933845666</v>
      </c>
      <c r="W70" s="51">
        <f t="shared" si="4"/>
        <v>2.6362740000000003E-2</v>
      </c>
    </row>
    <row r="71" spans="1:24" x14ac:dyDescent="0.35">
      <c r="A71" s="52" t="s">
        <v>901</v>
      </c>
      <c r="B71" s="53">
        <v>44853</v>
      </c>
      <c r="C71" s="54">
        <v>20</v>
      </c>
      <c r="D71" s="55">
        <v>44853.664583333331</v>
      </c>
      <c r="E71" s="56">
        <v>24.799999999988358</v>
      </c>
      <c r="F71" s="54">
        <v>-995</v>
      </c>
      <c r="G71" s="54">
        <v>3099</v>
      </c>
      <c r="H71" s="56">
        <v>0.63984659999999993</v>
      </c>
      <c r="I71" s="57">
        <v>547602600</v>
      </c>
      <c r="J71" s="56">
        <v>0.114606</v>
      </c>
      <c r="K71" s="57">
        <v>24267110</v>
      </c>
      <c r="L71" s="56">
        <v>0.114213</v>
      </c>
      <c r="M71" s="58">
        <v>4.4315180000000003E-2</v>
      </c>
      <c r="N71" s="58">
        <v>2.337881E-2</v>
      </c>
      <c r="O71" s="54">
        <v>0</v>
      </c>
      <c r="P71" s="54">
        <v>-16</v>
      </c>
      <c r="Q71" s="54">
        <v>4</v>
      </c>
      <c r="R71" s="57">
        <v>5.3000000000000003E-9</v>
      </c>
      <c r="S71" s="57">
        <f t="shared" si="0"/>
        <v>855834195.25867617</v>
      </c>
      <c r="T71" s="56">
        <f t="shared" si="1"/>
        <v>0.95377089145084004</v>
      </c>
      <c r="U71" s="56">
        <f t="shared" si="2"/>
        <v>3.4458709779681129</v>
      </c>
      <c r="V71" s="59">
        <f t="shared" si="3"/>
        <v>-0.95702903932981531</v>
      </c>
      <c r="W71" s="59">
        <f t="shared" si="4"/>
        <v>2.337881E-2</v>
      </c>
      <c r="X71" s="52"/>
    </row>
    <row r="72" spans="1:24" x14ac:dyDescent="0.35">
      <c r="A72" s="16" t="s">
        <v>455</v>
      </c>
      <c r="B72" s="44">
        <v>44853</v>
      </c>
      <c r="C72" s="45">
        <v>20</v>
      </c>
      <c r="D72" s="46">
        <v>44853.722222222219</v>
      </c>
      <c r="E72" s="47">
        <v>26.183333333290648</v>
      </c>
      <c r="F72" s="45">
        <v>160</v>
      </c>
      <c r="G72" s="45">
        <v>582</v>
      </c>
      <c r="H72" s="47">
        <v>0.55013780000000001</v>
      </c>
      <c r="I72" s="48">
        <v>509169300</v>
      </c>
      <c r="J72" s="47">
        <v>8.3574389999999998E-2</v>
      </c>
      <c r="K72" s="48">
        <v>22677780</v>
      </c>
      <c r="L72" s="47">
        <v>8.2632109999999995E-2</v>
      </c>
      <c r="M72" s="49">
        <v>4.4538800000000003E-2</v>
      </c>
      <c r="N72" s="49">
        <v>2.887054E-2</v>
      </c>
      <c r="O72" s="45">
        <v>-6</v>
      </c>
      <c r="P72" s="45">
        <v>9</v>
      </c>
      <c r="Q72" s="45">
        <v>19</v>
      </c>
      <c r="R72" s="48">
        <v>3.2999999999999998E-8</v>
      </c>
      <c r="S72" s="48">
        <f t="shared" ref="S72:S134" si="5">I72/H72</f>
        <v>925530476.18251276</v>
      </c>
      <c r="T72" s="47">
        <f t="shared" si="1"/>
        <v>1.0314428100956003</v>
      </c>
      <c r="U72" s="47">
        <f t="shared" si="2"/>
        <v>8.5093856848492688</v>
      </c>
      <c r="V72" s="51">
        <f t="shared" si="3"/>
        <v>4.0842680775095008</v>
      </c>
      <c r="W72" s="51">
        <f t="shared" si="4"/>
        <v>2.887054E-2</v>
      </c>
    </row>
    <row r="73" spans="1:24" x14ac:dyDescent="0.35">
      <c r="A73" s="16" t="s">
        <v>456</v>
      </c>
      <c r="B73" s="44">
        <v>44853</v>
      </c>
      <c r="C73" s="45">
        <v>20</v>
      </c>
      <c r="D73" s="46">
        <v>44853.738888888889</v>
      </c>
      <c r="E73" s="47">
        <v>26.583333333372138</v>
      </c>
      <c r="F73" s="45">
        <v>274</v>
      </c>
      <c r="G73" s="45">
        <v>589</v>
      </c>
      <c r="H73" s="47">
        <v>0.57007980000000003</v>
      </c>
      <c r="I73" s="48">
        <v>518204200</v>
      </c>
      <c r="J73" s="47">
        <v>4.4040790000000003E-2</v>
      </c>
      <c r="K73" s="48">
        <v>23072070</v>
      </c>
      <c r="L73" s="47">
        <v>4.4243150000000002E-2</v>
      </c>
      <c r="M73" s="49">
        <v>4.4523130000000001E-2</v>
      </c>
      <c r="N73" s="49">
        <v>2.3980910000000001E-2</v>
      </c>
      <c r="O73" s="45">
        <v>-6</v>
      </c>
      <c r="P73" s="45">
        <v>10</v>
      </c>
      <c r="Q73" s="45">
        <v>25</v>
      </c>
      <c r="R73" s="48">
        <v>2.9000000000000002E-8</v>
      </c>
      <c r="S73" s="48">
        <f t="shared" si="5"/>
        <v>909002915.03049219</v>
      </c>
      <c r="T73" s="47">
        <f t="shared" ref="T73:T134" si="6">S73/$D$4</f>
        <v>1.0130239308070643</v>
      </c>
      <c r="U73" s="47">
        <f t="shared" ref="U73:U134" si="7">((M73/$D$2)-1)*1000</f>
        <v>8.1545637751059274</v>
      </c>
      <c r="V73" s="51">
        <f t="shared" ref="V73:V133" si="8">(((1+U73/1000)/(1+$D$3/1000))-1)*1000</f>
        <v>3.7310030483490575</v>
      </c>
      <c r="W73" s="51">
        <f t="shared" ref="W73:W134" si="9">N73</f>
        <v>2.3980910000000001E-2</v>
      </c>
    </row>
    <row r="74" spans="1:24" x14ac:dyDescent="0.35">
      <c r="A74" s="16" t="s">
        <v>457</v>
      </c>
      <c r="B74" s="44">
        <v>44853</v>
      </c>
      <c r="C74" s="45">
        <v>20</v>
      </c>
      <c r="D74" s="46">
        <v>44853.742361111108</v>
      </c>
      <c r="E74" s="47">
        <v>26.666666666627862</v>
      </c>
      <c r="F74" s="45">
        <v>406</v>
      </c>
      <c r="G74" s="45">
        <v>604</v>
      </c>
      <c r="H74" s="47">
        <v>0.52439029999999998</v>
      </c>
      <c r="I74" s="48">
        <v>511224900</v>
      </c>
      <c r="J74" s="47">
        <v>8.2039829999999994E-2</v>
      </c>
      <c r="K74" s="48">
        <v>22771610</v>
      </c>
      <c r="L74" s="47">
        <v>8.2333210000000004E-2</v>
      </c>
      <c r="M74" s="49">
        <v>4.4543230000000003E-2</v>
      </c>
      <c r="N74" s="49">
        <v>2.4139069999999999E-2</v>
      </c>
      <c r="O74" s="45">
        <v>-6</v>
      </c>
      <c r="P74" s="45">
        <v>11</v>
      </c>
      <c r="Q74" s="45">
        <v>28</v>
      </c>
      <c r="R74" s="48">
        <v>2.7999999999999999E-8</v>
      </c>
      <c r="S74" s="48">
        <f t="shared" si="5"/>
        <v>974893891.05786288</v>
      </c>
      <c r="T74" s="50">
        <f t="shared" si="6"/>
        <v>1.0864550875572294</v>
      </c>
      <c r="U74" s="47">
        <f t="shared" si="7"/>
        <v>8.6096958992822881</v>
      </c>
      <c r="V74" s="51">
        <f t="shared" si="8"/>
        <v>4.1841381527605304</v>
      </c>
      <c r="W74" s="51">
        <f t="shared" si="9"/>
        <v>2.4139069999999999E-2</v>
      </c>
      <c r="X74" s="16" t="s">
        <v>943</v>
      </c>
    </row>
    <row r="75" spans="1:24" x14ac:dyDescent="0.35">
      <c r="A75" s="16" t="s">
        <v>458</v>
      </c>
      <c r="B75" s="44">
        <v>44853</v>
      </c>
      <c r="C75" s="45">
        <v>20</v>
      </c>
      <c r="D75" s="46">
        <v>44853.745138888888</v>
      </c>
      <c r="E75" s="47">
        <v>26.733333333337214</v>
      </c>
      <c r="F75" s="45">
        <v>829</v>
      </c>
      <c r="G75" s="45">
        <v>431</v>
      </c>
      <c r="H75" s="47">
        <v>0.5246712</v>
      </c>
      <c r="I75" s="48">
        <v>518574600</v>
      </c>
      <c r="J75" s="47">
        <v>8.5383039999999993E-2</v>
      </c>
      <c r="K75" s="48">
        <v>23089390</v>
      </c>
      <c r="L75" s="47">
        <v>8.6661440000000006E-2</v>
      </c>
      <c r="M75" s="49">
        <v>4.4524710000000002E-2</v>
      </c>
      <c r="N75" s="49">
        <v>2.3971729999999997E-2</v>
      </c>
      <c r="O75" s="45">
        <v>-5</v>
      </c>
      <c r="P75" s="45">
        <v>9</v>
      </c>
      <c r="Q75" s="45">
        <v>27</v>
      </c>
      <c r="R75" s="48">
        <v>2.7999999999999999E-8</v>
      </c>
      <c r="S75" s="48">
        <f t="shared" si="5"/>
        <v>988380151.22613931</v>
      </c>
      <c r="T75" s="50">
        <f t="shared" si="6"/>
        <v>1.1014846370357323</v>
      </c>
      <c r="U75" s="47">
        <f t="shared" si="7"/>
        <v>8.1903403301406552</v>
      </c>
      <c r="V75" s="51">
        <f t="shared" si="8"/>
        <v>3.766622623720739</v>
      </c>
      <c r="W75" s="51">
        <f t="shared" si="9"/>
        <v>2.3971729999999997E-2</v>
      </c>
      <c r="X75" s="16" t="s">
        <v>943</v>
      </c>
    </row>
    <row r="76" spans="1:24" x14ac:dyDescent="0.35">
      <c r="A76" s="16" t="s">
        <v>459</v>
      </c>
      <c r="B76" s="44">
        <v>44853</v>
      </c>
      <c r="C76" s="45">
        <v>20</v>
      </c>
      <c r="D76" s="46">
        <v>44853.747916666667</v>
      </c>
      <c r="E76" s="47">
        <v>26.800000000046566</v>
      </c>
      <c r="F76" s="45">
        <v>462</v>
      </c>
      <c r="G76" s="45">
        <v>-72</v>
      </c>
      <c r="H76" s="47">
        <v>0.54142830000000008</v>
      </c>
      <c r="I76" s="48">
        <v>519458700</v>
      </c>
      <c r="J76" s="47">
        <v>8.9358380000000001E-2</v>
      </c>
      <c r="K76" s="48">
        <v>23126350</v>
      </c>
      <c r="L76" s="47">
        <v>8.9995850000000002E-2</v>
      </c>
      <c r="M76" s="49">
        <v>4.45201E-2</v>
      </c>
      <c r="N76" s="49">
        <v>2.3952580000000001E-2</v>
      </c>
      <c r="O76" s="45">
        <v>-10</v>
      </c>
      <c r="P76" s="45">
        <v>9</v>
      </c>
      <c r="Q76" s="45">
        <v>29</v>
      </c>
      <c r="R76" s="48">
        <v>2.7999999999999999E-8</v>
      </c>
      <c r="S76" s="48">
        <f t="shared" si="5"/>
        <v>959422882.03257918</v>
      </c>
      <c r="T76" s="50">
        <f t="shared" si="6"/>
        <v>1.0692136660862996</v>
      </c>
      <c r="U76" s="47">
        <f t="shared" si="7"/>
        <v>8.0859543056404082</v>
      </c>
      <c r="V76" s="51">
        <f t="shared" si="8"/>
        <v>3.6626946221616219</v>
      </c>
      <c r="W76" s="51">
        <f t="shared" si="9"/>
        <v>2.3952580000000001E-2</v>
      </c>
      <c r="X76" s="16" t="s">
        <v>943</v>
      </c>
    </row>
    <row r="77" spans="1:24" x14ac:dyDescent="0.35">
      <c r="A77" s="16" t="s">
        <v>460</v>
      </c>
      <c r="B77" s="44">
        <v>44853</v>
      </c>
      <c r="C77" s="45">
        <v>20</v>
      </c>
      <c r="D77" s="46">
        <v>44853.750694444447</v>
      </c>
      <c r="E77" s="47">
        <v>26.866666666755918</v>
      </c>
      <c r="F77" s="45">
        <v>766</v>
      </c>
      <c r="G77" s="45">
        <v>-289</v>
      </c>
      <c r="H77" s="47">
        <v>0.52789980000000003</v>
      </c>
      <c r="I77" s="48">
        <v>516823400</v>
      </c>
      <c r="J77" s="47">
        <v>8.4116850000000007E-2</v>
      </c>
      <c r="K77" s="48">
        <v>23012280</v>
      </c>
      <c r="L77" s="47">
        <v>8.5500359999999997E-2</v>
      </c>
      <c r="M77" s="49">
        <v>4.4526379999999997E-2</v>
      </c>
      <c r="N77" s="49">
        <v>2.7321860000000003E-2</v>
      </c>
      <c r="O77" s="45">
        <v>-7</v>
      </c>
      <c r="P77" s="45">
        <v>10</v>
      </c>
      <c r="Q77" s="45">
        <v>21</v>
      </c>
      <c r="R77" s="48">
        <v>2.7E-8</v>
      </c>
      <c r="S77" s="48">
        <f t="shared" si="5"/>
        <v>979017987.88330662</v>
      </c>
      <c r="T77" s="50">
        <f t="shared" si="6"/>
        <v>1.0910511220781967</v>
      </c>
      <c r="U77" s="47">
        <f t="shared" si="7"/>
        <v>8.2281547902089969</v>
      </c>
      <c r="V77" s="51">
        <f t="shared" si="8"/>
        <v>3.8042711622463532</v>
      </c>
      <c r="W77" s="51">
        <f t="shared" si="9"/>
        <v>2.7321860000000003E-2</v>
      </c>
      <c r="X77" s="16" t="s">
        <v>943</v>
      </c>
    </row>
    <row r="78" spans="1:24" x14ac:dyDescent="0.35">
      <c r="A78" s="16" t="s">
        <v>461</v>
      </c>
      <c r="B78" s="44">
        <v>44853</v>
      </c>
      <c r="C78" s="45">
        <v>20</v>
      </c>
      <c r="D78" s="46">
        <v>44853.753472222219</v>
      </c>
      <c r="E78" s="47">
        <v>26.933333333290648</v>
      </c>
      <c r="F78" s="45">
        <v>-175</v>
      </c>
      <c r="G78" s="45">
        <v>1016</v>
      </c>
      <c r="H78" s="47">
        <v>0.52056479999999994</v>
      </c>
      <c r="I78" s="48">
        <v>512146200</v>
      </c>
      <c r="J78" s="47">
        <v>8.4748900000000002E-2</v>
      </c>
      <c r="K78" s="48">
        <v>22803940</v>
      </c>
      <c r="L78" s="47">
        <v>8.494517E-2</v>
      </c>
      <c r="M78" s="49">
        <v>4.452623E-2</v>
      </c>
      <c r="N78" s="49">
        <v>2.4122190000000002E-2</v>
      </c>
      <c r="O78" s="45">
        <v>-2</v>
      </c>
      <c r="P78" s="45">
        <v>10</v>
      </c>
      <c r="Q78" s="45">
        <v>22</v>
      </c>
      <c r="R78" s="48">
        <v>2.6000000000000001E-8</v>
      </c>
      <c r="S78" s="48">
        <f t="shared" si="5"/>
        <v>983827949.94974697</v>
      </c>
      <c r="T78" s="50">
        <f t="shared" si="6"/>
        <v>1.0964115082760943</v>
      </c>
      <c r="U78" s="47">
        <f t="shared" si="7"/>
        <v>8.2247582818195664</v>
      </c>
      <c r="V78" s="51">
        <f t="shared" si="8"/>
        <v>3.8008895569896506</v>
      </c>
      <c r="W78" s="51">
        <f t="shared" si="9"/>
        <v>2.4122190000000002E-2</v>
      </c>
      <c r="X78" s="16" t="s">
        <v>943</v>
      </c>
    </row>
    <row r="79" spans="1:24" x14ac:dyDescent="0.35">
      <c r="A79" s="16" t="s">
        <v>462</v>
      </c>
      <c r="B79" s="44">
        <v>44853</v>
      </c>
      <c r="C79" s="45">
        <v>20</v>
      </c>
      <c r="D79" s="46">
        <v>44853.756249999999</v>
      </c>
      <c r="E79" s="47">
        <v>27</v>
      </c>
      <c r="F79" s="45">
        <v>-10</v>
      </c>
      <c r="G79" s="45">
        <v>851</v>
      </c>
      <c r="H79" s="47">
        <v>0.53486630000000002</v>
      </c>
      <c r="I79" s="48">
        <v>512339500</v>
      </c>
      <c r="J79" s="47">
        <v>8.8955569999999998E-2</v>
      </c>
      <c r="K79" s="48">
        <v>22817200</v>
      </c>
      <c r="L79" s="47">
        <v>9.0117199999999995E-2</v>
      </c>
      <c r="M79" s="49">
        <v>4.4535310000000002E-2</v>
      </c>
      <c r="N79" s="49">
        <v>2.4115069999999999E-2</v>
      </c>
      <c r="O79" s="45">
        <v>-4</v>
      </c>
      <c r="P79" s="45">
        <v>10</v>
      </c>
      <c r="Q79" s="45">
        <v>27</v>
      </c>
      <c r="R79" s="48">
        <v>2.6000000000000001E-8</v>
      </c>
      <c r="S79" s="48">
        <f t="shared" si="5"/>
        <v>957883306.53847516</v>
      </c>
      <c r="T79" s="50">
        <f t="shared" si="6"/>
        <v>1.0674979105116773</v>
      </c>
      <c r="U79" s="47">
        <f t="shared" si="7"/>
        <v>8.430360256323155</v>
      </c>
      <c r="V79" s="51">
        <f t="shared" si="8"/>
        <v>4.0055893952013477</v>
      </c>
      <c r="W79" s="51">
        <f t="shared" si="9"/>
        <v>2.4115069999999999E-2</v>
      </c>
      <c r="X79" s="16" t="s">
        <v>943</v>
      </c>
    </row>
    <row r="80" spans="1:24" x14ac:dyDescent="0.35">
      <c r="A80" s="16" t="s">
        <v>463</v>
      </c>
      <c r="B80" s="44">
        <v>44853</v>
      </c>
      <c r="C80" s="45">
        <v>20</v>
      </c>
      <c r="D80" s="46">
        <v>44853.759027777778</v>
      </c>
      <c r="E80" s="47">
        <v>27.066666666709352</v>
      </c>
      <c r="F80" s="45">
        <v>-432</v>
      </c>
      <c r="G80" s="45">
        <v>819</v>
      </c>
      <c r="H80" s="47">
        <v>0.51593349999999993</v>
      </c>
      <c r="I80" s="48">
        <v>514067600</v>
      </c>
      <c r="J80" s="47">
        <v>7.8588530000000004E-2</v>
      </c>
      <c r="K80" s="48">
        <v>22886700</v>
      </c>
      <c r="L80" s="47">
        <v>7.8822690000000001E-2</v>
      </c>
      <c r="M80" s="49">
        <v>4.4520789999999998E-2</v>
      </c>
      <c r="N80" s="49">
        <v>2.4078410000000001E-2</v>
      </c>
      <c r="O80" s="45">
        <v>-7</v>
      </c>
      <c r="P80" s="45">
        <v>11</v>
      </c>
      <c r="Q80" s="45">
        <v>25</v>
      </c>
      <c r="R80" s="48">
        <v>2.4999999999999999E-8</v>
      </c>
      <c r="S80" s="48">
        <f t="shared" si="5"/>
        <v>996383448.64212167</v>
      </c>
      <c r="T80" s="50">
        <f t="shared" si="6"/>
        <v>1.1104037853395465</v>
      </c>
      <c r="U80" s="47">
        <f t="shared" si="7"/>
        <v>8.1015782442315221</v>
      </c>
      <c r="V80" s="51">
        <f t="shared" si="8"/>
        <v>3.6782500063428092</v>
      </c>
      <c r="W80" s="51">
        <f t="shared" si="9"/>
        <v>2.4078410000000001E-2</v>
      </c>
      <c r="X80" s="16" t="s">
        <v>943</v>
      </c>
    </row>
    <row r="81" spans="1:24" x14ac:dyDescent="0.35">
      <c r="A81" s="16" t="s">
        <v>464</v>
      </c>
      <c r="B81" s="44">
        <v>44853</v>
      </c>
      <c r="C81" s="45">
        <v>20</v>
      </c>
      <c r="D81" s="46">
        <v>44853.761805555558</v>
      </c>
      <c r="E81" s="47">
        <v>27.133333333418705</v>
      </c>
      <c r="F81" s="45">
        <v>-424</v>
      </c>
      <c r="G81" s="45">
        <v>944</v>
      </c>
      <c r="H81" s="47">
        <v>0.39619409999999999</v>
      </c>
      <c r="I81" s="48">
        <v>496635100</v>
      </c>
      <c r="J81" s="47">
        <v>4.0683259999999999E-2</v>
      </c>
      <c r="K81" s="48">
        <v>22115380</v>
      </c>
      <c r="L81" s="47">
        <v>4.15979E-2</v>
      </c>
      <c r="M81" s="49">
        <v>4.4530439999999998E-2</v>
      </c>
      <c r="N81" s="49">
        <v>2.449554E-2</v>
      </c>
      <c r="O81" s="45">
        <v>-7</v>
      </c>
      <c r="P81" s="45">
        <v>14</v>
      </c>
      <c r="Q81" s="45">
        <v>29</v>
      </c>
      <c r="R81" s="48">
        <v>2.4999999999999999E-8</v>
      </c>
      <c r="S81" s="48">
        <f t="shared" si="5"/>
        <v>1253514628.3097098</v>
      </c>
      <c r="T81" s="50">
        <f t="shared" si="6"/>
        <v>1.3969595642626316</v>
      </c>
      <c r="U81" s="47">
        <f t="shared" si="7"/>
        <v>8.3200869506145914</v>
      </c>
      <c r="V81" s="51">
        <f t="shared" si="8"/>
        <v>3.8957999445303759</v>
      </c>
      <c r="W81" s="51">
        <f t="shared" si="9"/>
        <v>2.449554E-2</v>
      </c>
      <c r="X81" s="16" t="s">
        <v>943</v>
      </c>
    </row>
    <row r="82" spans="1:24" x14ac:dyDescent="0.35">
      <c r="A82" s="16" t="s">
        <v>465</v>
      </c>
      <c r="B82" s="44">
        <v>44853</v>
      </c>
      <c r="C82" s="45">
        <v>20</v>
      </c>
      <c r="D82" s="46">
        <v>44853.76458333333</v>
      </c>
      <c r="E82" s="47">
        <v>27.199999999953434</v>
      </c>
      <c r="F82" s="45">
        <v>449</v>
      </c>
      <c r="G82" s="45">
        <v>1024</v>
      </c>
      <c r="H82" s="47">
        <v>0.52641650000000006</v>
      </c>
      <c r="I82" s="48">
        <v>511726300</v>
      </c>
      <c r="J82" s="47">
        <v>7.7134190000000005E-2</v>
      </c>
      <c r="K82" s="48">
        <v>22784030</v>
      </c>
      <c r="L82" s="47">
        <v>7.7035960000000001E-2</v>
      </c>
      <c r="M82" s="49">
        <v>4.4523859999999998E-2</v>
      </c>
      <c r="N82" s="49">
        <v>2.4132319999999999E-2</v>
      </c>
      <c r="O82" s="45">
        <v>-1</v>
      </c>
      <c r="P82" s="45">
        <v>9</v>
      </c>
      <c r="Q82" s="45">
        <v>26</v>
      </c>
      <c r="R82" s="48">
        <v>2.4999999999999999E-8</v>
      </c>
      <c r="S82" s="48">
        <f t="shared" si="5"/>
        <v>972093959.82078815</v>
      </c>
      <c r="T82" s="50">
        <f t="shared" si="6"/>
        <v>1.0833347484462423</v>
      </c>
      <c r="U82" s="47">
        <f t="shared" si="7"/>
        <v>8.1710934492673637</v>
      </c>
      <c r="V82" s="51">
        <f t="shared" si="8"/>
        <v>3.7474601939320173</v>
      </c>
      <c r="W82" s="51">
        <f t="shared" si="9"/>
        <v>2.4132319999999999E-2</v>
      </c>
      <c r="X82" s="16" t="s">
        <v>943</v>
      </c>
    </row>
    <row r="83" spans="1:24" x14ac:dyDescent="0.35">
      <c r="A83" s="52" t="s">
        <v>466</v>
      </c>
      <c r="B83" s="53">
        <v>44853</v>
      </c>
      <c r="C83" s="54">
        <v>20</v>
      </c>
      <c r="D83" s="55">
        <v>44853.767361111109</v>
      </c>
      <c r="E83" s="56">
        <v>27.266666666662786</v>
      </c>
      <c r="F83" s="54">
        <v>406</v>
      </c>
      <c r="G83" s="54">
        <v>944</v>
      </c>
      <c r="H83" s="56">
        <v>0.53008010000000005</v>
      </c>
      <c r="I83" s="57">
        <v>516748100</v>
      </c>
      <c r="J83" s="56">
        <v>8.5906759999999999E-2</v>
      </c>
      <c r="K83" s="57">
        <v>23018370</v>
      </c>
      <c r="L83" s="56">
        <v>8.6746190000000001E-2</v>
      </c>
      <c r="M83" s="58">
        <v>4.454367E-2</v>
      </c>
      <c r="N83" s="58">
        <v>2.4008889999999998E-2</v>
      </c>
      <c r="O83" s="54">
        <v>-2</v>
      </c>
      <c r="P83" s="54">
        <v>8</v>
      </c>
      <c r="Q83" s="54">
        <v>21</v>
      </c>
      <c r="R83" s="57">
        <v>2.4999999999999999E-8</v>
      </c>
      <c r="S83" s="57">
        <f t="shared" si="5"/>
        <v>974849084.12898338</v>
      </c>
      <c r="T83" s="60">
        <f t="shared" si="6"/>
        <v>1.0864051531835652</v>
      </c>
      <c r="U83" s="56">
        <f t="shared" si="7"/>
        <v>8.6196589905576104</v>
      </c>
      <c r="V83" s="59">
        <f t="shared" si="8"/>
        <v>4.1940575281802506</v>
      </c>
      <c r="W83" s="59">
        <f t="shared" si="9"/>
        <v>2.4008889999999998E-2</v>
      </c>
      <c r="X83" s="52" t="s">
        <v>943</v>
      </c>
    </row>
    <row r="84" spans="1:24" x14ac:dyDescent="0.35">
      <c r="A84" s="16" t="s">
        <v>468</v>
      </c>
      <c r="B84" s="44">
        <v>44854</v>
      </c>
      <c r="C84" s="45">
        <v>20</v>
      </c>
      <c r="D84" s="46">
        <v>44854.396527777775</v>
      </c>
      <c r="E84" s="47">
        <v>42.366666666639503</v>
      </c>
      <c r="F84" s="45">
        <v>1139</v>
      </c>
      <c r="G84" s="45">
        <v>-6433</v>
      </c>
      <c r="H84" s="47">
        <v>0.56679170000000001</v>
      </c>
      <c r="I84" s="48">
        <v>526471300</v>
      </c>
      <c r="J84" s="47">
        <v>8.1623650000000006E-2</v>
      </c>
      <c r="K84" s="48">
        <v>23298520</v>
      </c>
      <c r="L84" s="47">
        <v>8.2090850000000007E-2</v>
      </c>
      <c r="M84" s="49">
        <v>4.4254109999999999E-2</v>
      </c>
      <c r="N84" s="49">
        <v>2.386015E-2</v>
      </c>
      <c r="O84" s="45">
        <v>5</v>
      </c>
      <c r="P84" s="45">
        <v>15</v>
      </c>
      <c r="Q84" s="45">
        <v>25</v>
      </c>
      <c r="R84" s="48">
        <v>1.0999999999999999E-8</v>
      </c>
      <c r="S84" s="48">
        <f t="shared" si="5"/>
        <v>928862049.32076454</v>
      </c>
      <c r="T84" s="47">
        <f t="shared" si="6"/>
        <v>1.0351556291201354</v>
      </c>
      <c r="U84" s="47">
        <f t="shared" si="7"/>
        <v>2.0630391957068284</v>
      </c>
      <c r="V84" s="51">
        <f t="shared" si="8"/>
        <v>-2.3337932595490773</v>
      </c>
      <c r="W84" s="51">
        <f t="shared" si="9"/>
        <v>2.386015E-2</v>
      </c>
    </row>
    <row r="85" spans="1:24" x14ac:dyDescent="0.35">
      <c r="A85" s="16" t="s">
        <v>469</v>
      </c>
      <c r="B85" s="44">
        <v>44854</v>
      </c>
      <c r="C85" s="45">
        <v>20</v>
      </c>
      <c r="D85" s="46">
        <v>44854.399305555555</v>
      </c>
      <c r="E85" s="47">
        <v>42.433333333348855</v>
      </c>
      <c r="F85" s="45">
        <v>1200</v>
      </c>
      <c r="G85" s="45">
        <v>-6322</v>
      </c>
      <c r="H85" s="47">
        <v>0.56401690000000004</v>
      </c>
      <c r="I85" s="48">
        <v>528942900</v>
      </c>
      <c r="J85" s="47">
        <v>9.4630190000000003E-2</v>
      </c>
      <c r="K85" s="48">
        <v>23384150</v>
      </c>
      <c r="L85" s="47">
        <v>9.4889459999999995E-2</v>
      </c>
      <c r="M85" s="49">
        <v>4.4209209999999999E-2</v>
      </c>
      <c r="N85" s="49">
        <v>2.381579E-2</v>
      </c>
      <c r="O85" s="45">
        <v>5</v>
      </c>
      <c r="P85" s="45">
        <v>16</v>
      </c>
      <c r="Q85" s="45">
        <v>25</v>
      </c>
      <c r="R85" s="48">
        <v>1.0999999999999999E-8</v>
      </c>
      <c r="S85" s="48">
        <f t="shared" si="5"/>
        <v>937813920.11480498</v>
      </c>
      <c r="T85" s="47">
        <f t="shared" si="6"/>
        <v>1.0451319000318207</v>
      </c>
      <c r="U85" s="47">
        <f t="shared" si="7"/>
        <v>1.0463510178202462</v>
      </c>
      <c r="V85" s="51">
        <f t="shared" si="8"/>
        <v>-3.3460204330850729</v>
      </c>
      <c r="W85" s="51">
        <f t="shared" si="9"/>
        <v>2.381579E-2</v>
      </c>
    </row>
    <row r="86" spans="1:24" x14ac:dyDescent="0.35">
      <c r="A86" s="16" t="s">
        <v>470</v>
      </c>
      <c r="B86" s="44">
        <v>44854</v>
      </c>
      <c r="C86" s="45">
        <v>20</v>
      </c>
      <c r="D86" s="46">
        <v>44854.402083333334</v>
      </c>
      <c r="E86" s="47">
        <v>42.500000000058208</v>
      </c>
      <c r="F86" s="45">
        <v>1021</v>
      </c>
      <c r="G86" s="45">
        <v>-6663</v>
      </c>
      <c r="H86" s="47">
        <v>0.56307499999999999</v>
      </c>
      <c r="I86" s="48">
        <v>526182400</v>
      </c>
      <c r="J86" s="47">
        <v>8.1172560000000005E-2</v>
      </c>
      <c r="K86" s="48">
        <v>23278950</v>
      </c>
      <c r="L86" s="47">
        <v>8.1439269999999994E-2</v>
      </c>
      <c r="M86" s="49">
        <v>4.4241219999999998E-2</v>
      </c>
      <c r="N86" s="49">
        <v>2.5828900000000002E-2</v>
      </c>
      <c r="O86" s="45">
        <v>3</v>
      </c>
      <c r="P86" s="45">
        <v>14</v>
      </c>
      <c r="Q86" s="45">
        <v>26</v>
      </c>
      <c r="R86" s="48">
        <v>1.0999999999999999E-8</v>
      </c>
      <c r="S86" s="48">
        <f t="shared" si="5"/>
        <v>934480131.42121387</v>
      </c>
      <c r="T86" s="47">
        <f t="shared" si="6"/>
        <v>1.041416611916657</v>
      </c>
      <c r="U86" s="47">
        <f t="shared" si="7"/>
        <v>1.7711659081129927</v>
      </c>
      <c r="V86" s="51">
        <f t="shared" si="8"/>
        <v>-2.6243858712836632</v>
      </c>
      <c r="W86" s="51">
        <f t="shared" si="9"/>
        <v>2.5828900000000002E-2</v>
      </c>
    </row>
    <row r="87" spans="1:24" x14ac:dyDescent="0.35">
      <c r="A87" s="16" t="s">
        <v>471</v>
      </c>
      <c r="B87" s="44">
        <v>44854</v>
      </c>
      <c r="C87" s="45">
        <v>20</v>
      </c>
      <c r="D87" s="46">
        <v>44854.404861111114</v>
      </c>
      <c r="E87" s="47">
        <v>42.56666666676756</v>
      </c>
      <c r="F87" s="45">
        <v>1158</v>
      </c>
      <c r="G87" s="45">
        <v>-6719</v>
      </c>
      <c r="H87" s="47">
        <v>0.56795030000000002</v>
      </c>
      <c r="I87" s="48">
        <v>529539200</v>
      </c>
      <c r="J87" s="47">
        <v>8.3201269999999994E-2</v>
      </c>
      <c r="K87" s="48">
        <v>23407910</v>
      </c>
      <c r="L87" s="47">
        <v>8.3870089999999994E-2</v>
      </c>
      <c r="M87" s="49">
        <v>4.4204309999999997E-2</v>
      </c>
      <c r="N87" s="49">
        <v>2.5155300000000002E-2</v>
      </c>
      <c r="O87" s="45">
        <v>4</v>
      </c>
      <c r="P87" s="45">
        <v>13</v>
      </c>
      <c r="Q87" s="45">
        <v>24</v>
      </c>
      <c r="R87" s="48">
        <v>1.0999999999999999E-8</v>
      </c>
      <c r="S87" s="48">
        <f t="shared" si="5"/>
        <v>932368906.22295642</v>
      </c>
      <c r="T87" s="47">
        <f t="shared" si="6"/>
        <v>1.0390637903648297</v>
      </c>
      <c r="U87" s="47">
        <f t="shared" si="7"/>
        <v>0.93539841043388527</v>
      </c>
      <c r="V87" s="51">
        <f t="shared" si="8"/>
        <v>-3.4564862048073186</v>
      </c>
      <c r="W87" s="51">
        <f t="shared" si="9"/>
        <v>2.5155300000000002E-2</v>
      </c>
    </row>
    <row r="88" spans="1:24" x14ac:dyDescent="0.35">
      <c r="A88" s="16" t="s">
        <v>472</v>
      </c>
      <c r="B88" s="44">
        <v>44854</v>
      </c>
      <c r="C88" s="45">
        <v>20</v>
      </c>
      <c r="D88" s="46">
        <v>44854.408333333333</v>
      </c>
      <c r="E88" s="47">
        <v>42.650000000023283</v>
      </c>
      <c r="F88" s="45">
        <v>1172</v>
      </c>
      <c r="G88" s="45">
        <v>-6038</v>
      </c>
      <c r="H88" s="47">
        <v>0.55039210000000005</v>
      </c>
      <c r="I88" s="48">
        <v>528436300</v>
      </c>
      <c r="J88" s="47">
        <v>8.2364839999999995E-2</v>
      </c>
      <c r="K88" s="48">
        <v>23369550</v>
      </c>
      <c r="L88" s="47">
        <v>8.4466780000000005E-2</v>
      </c>
      <c r="M88" s="49">
        <v>4.422396E-2</v>
      </c>
      <c r="N88" s="49">
        <v>3.0875239999999998E-2</v>
      </c>
      <c r="O88" s="45">
        <v>5</v>
      </c>
      <c r="P88" s="45">
        <v>15</v>
      </c>
      <c r="Q88" s="45">
        <v>23</v>
      </c>
      <c r="R88" s="48">
        <v>1.0999999999999999E-8</v>
      </c>
      <c r="S88" s="48">
        <f t="shared" si="5"/>
        <v>960108802.43375576</v>
      </c>
      <c r="T88" s="50">
        <f t="shared" si="6"/>
        <v>1.0699780792356208</v>
      </c>
      <c r="U88" s="47">
        <f t="shared" si="7"/>
        <v>1.3803410094421764</v>
      </c>
      <c r="V88" s="51">
        <f t="shared" si="8"/>
        <v>-3.0134959161662866</v>
      </c>
      <c r="W88" s="51">
        <f t="shared" si="9"/>
        <v>3.0875239999999998E-2</v>
      </c>
      <c r="X88" s="16" t="s">
        <v>943</v>
      </c>
    </row>
    <row r="89" spans="1:24" x14ac:dyDescent="0.35">
      <c r="A89" s="16" t="s">
        <v>473</v>
      </c>
      <c r="B89" s="44">
        <v>44854</v>
      </c>
      <c r="C89" s="45">
        <v>20</v>
      </c>
      <c r="D89" s="46">
        <v>44854.411111111112</v>
      </c>
      <c r="E89" s="47">
        <v>42.716666666732635</v>
      </c>
      <c r="F89" s="45">
        <v>1851</v>
      </c>
      <c r="G89" s="45">
        <v>-5938</v>
      </c>
      <c r="H89" s="47">
        <v>0.56674170000000001</v>
      </c>
      <c r="I89" s="48">
        <v>528529800</v>
      </c>
      <c r="J89" s="47">
        <v>7.7820959999999995E-2</v>
      </c>
      <c r="K89" s="48">
        <v>23361580</v>
      </c>
      <c r="L89" s="47">
        <v>7.8926460000000004E-2</v>
      </c>
      <c r="M89" s="49">
        <v>4.4201070000000002E-2</v>
      </c>
      <c r="N89" s="49">
        <v>2.7329220000000001E-2</v>
      </c>
      <c r="O89" s="45">
        <v>10</v>
      </c>
      <c r="P89" s="45">
        <v>15</v>
      </c>
      <c r="Q89" s="45">
        <v>27</v>
      </c>
      <c r="R89" s="48">
        <v>1.0999999999999999E-8</v>
      </c>
      <c r="S89" s="48">
        <f t="shared" si="5"/>
        <v>932576163.00335765</v>
      </c>
      <c r="T89" s="47">
        <f t="shared" si="6"/>
        <v>1.0392947644078132</v>
      </c>
      <c r="U89" s="47">
        <f t="shared" si="7"/>
        <v>0.86203382922356298</v>
      </c>
      <c r="V89" s="51">
        <f t="shared" si="8"/>
        <v>-3.5295288783540046</v>
      </c>
      <c r="W89" s="51">
        <f t="shared" si="9"/>
        <v>2.7329220000000001E-2</v>
      </c>
    </row>
    <row r="90" spans="1:24" x14ac:dyDescent="0.35">
      <c r="A90" s="16" t="s">
        <v>474</v>
      </c>
      <c r="B90" s="44">
        <v>44854</v>
      </c>
      <c r="C90" s="45">
        <v>20</v>
      </c>
      <c r="D90" s="46">
        <v>44854.413888888892</v>
      </c>
      <c r="E90" s="47">
        <v>42.783333333441988</v>
      </c>
      <c r="F90" s="45">
        <v>1874</v>
      </c>
      <c r="G90" s="45">
        <v>-6094</v>
      </c>
      <c r="H90" s="47">
        <v>0.55993160000000008</v>
      </c>
      <c r="I90" s="48">
        <v>526881000</v>
      </c>
      <c r="J90" s="47">
        <v>6.9493079999999999E-2</v>
      </c>
      <c r="K90" s="48">
        <v>23300260</v>
      </c>
      <c r="L90" s="47">
        <v>7.0434010000000005E-2</v>
      </c>
      <c r="M90" s="49">
        <v>4.4222989999999997E-2</v>
      </c>
      <c r="N90" s="49">
        <v>2.722641E-2</v>
      </c>
      <c r="O90" s="45">
        <v>10</v>
      </c>
      <c r="P90" s="45">
        <v>16</v>
      </c>
      <c r="Q90" s="45">
        <v>28</v>
      </c>
      <c r="R90" s="48">
        <v>1.0999999999999999E-8</v>
      </c>
      <c r="S90" s="48">
        <f t="shared" si="5"/>
        <v>940973861.80740631</v>
      </c>
      <c r="T90" s="47">
        <f t="shared" si="6"/>
        <v>1.0486534471045852</v>
      </c>
      <c r="U90" s="47">
        <f t="shared" si="7"/>
        <v>1.3583769218574737</v>
      </c>
      <c r="V90" s="51">
        <f t="shared" si="8"/>
        <v>-3.035363630160326</v>
      </c>
      <c r="W90" s="51">
        <f t="shared" si="9"/>
        <v>2.722641E-2</v>
      </c>
    </row>
    <row r="91" spans="1:24" x14ac:dyDescent="0.35">
      <c r="A91" s="16" t="s">
        <v>475</v>
      </c>
      <c r="B91" s="44">
        <v>44854</v>
      </c>
      <c r="C91" s="45">
        <v>20</v>
      </c>
      <c r="D91" s="46">
        <v>44854.416666666664</v>
      </c>
      <c r="E91" s="47">
        <v>42.849999999976717</v>
      </c>
      <c r="F91" s="45">
        <v>1930</v>
      </c>
      <c r="G91" s="45">
        <v>-5755</v>
      </c>
      <c r="H91" s="47">
        <v>0.56693330000000008</v>
      </c>
      <c r="I91" s="48">
        <v>521462000</v>
      </c>
      <c r="J91" s="47">
        <v>9.8309530000000006E-2</v>
      </c>
      <c r="K91" s="48">
        <v>23064290</v>
      </c>
      <c r="L91" s="47">
        <v>0.10026259999999999</v>
      </c>
      <c r="M91" s="49">
        <v>4.4230039999999998E-2</v>
      </c>
      <c r="N91" s="49">
        <v>3.8915659999999998E-2</v>
      </c>
      <c r="O91" s="45">
        <v>10</v>
      </c>
      <c r="P91" s="45">
        <v>13</v>
      </c>
      <c r="Q91" s="45">
        <v>23</v>
      </c>
      <c r="R91" s="48">
        <v>1.0999999999999999E-8</v>
      </c>
      <c r="S91" s="48">
        <f t="shared" si="5"/>
        <v>919794268.56739569</v>
      </c>
      <c r="T91" s="47">
        <f t="shared" si="6"/>
        <v>1.0250501841863684</v>
      </c>
      <c r="U91" s="47">
        <f t="shared" si="7"/>
        <v>1.5180128161582651</v>
      </c>
      <c r="V91" s="51">
        <f t="shared" si="8"/>
        <v>-2.8764281830905292</v>
      </c>
      <c r="W91" s="51">
        <f t="shared" si="9"/>
        <v>3.8915659999999998E-2</v>
      </c>
    </row>
    <row r="92" spans="1:24" x14ac:dyDescent="0.35">
      <c r="A92" s="16" t="s">
        <v>476</v>
      </c>
      <c r="B92" s="44">
        <v>44854</v>
      </c>
      <c r="C92" s="45">
        <v>20</v>
      </c>
      <c r="D92" s="46">
        <v>44854.419444444444</v>
      </c>
      <c r="E92" s="47">
        <v>42.916666666686069</v>
      </c>
      <c r="F92" s="45">
        <v>1943</v>
      </c>
      <c r="G92" s="45">
        <v>-5693</v>
      </c>
      <c r="H92" s="47">
        <v>0.56791199999999997</v>
      </c>
      <c r="I92" s="48">
        <v>524592900</v>
      </c>
      <c r="J92" s="47">
        <v>8.5932990000000001E-2</v>
      </c>
      <c r="K92" s="48">
        <v>23197630</v>
      </c>
      <c r="L92" s="47">
        <v>8.6895790000000001E-2</v>
      </c>
      <c r="M92" s="49">
        <v>4.4219519999999998E-2</v>
      </c>
      <c r="N92" s="49">
        <v>2.3911679999999998E-2</v>
      </c>
      <c r="O92" s="45">
        <v>10</v>
      </c>
      <c r="P92" s="45">
        <v>13</v>
      </c>
      <c r="Q92" s="45">
        <v>24</v>
      </c>
      <c r="R92" s="48">
        <v>1.0999999999999999E-8</v>
      </c>
      <c r="S92" s="48">
        <f t="shared" si="5"/>
        <v>923722161.17990112</v>
      </c>
      <c r="T92" s="47">
        <f t="shared" si="6"/>
        <v>1.0294275620234623</v>
      </c>
      <c r="U92" s="47">
        <f t="shared" si="7"/>
        <v>1.2798043611166321</v>
      </c>
      <c r="V92" s="51">
        <f t="shared" si="8"/>
        <v>-3.1135914317675928</v>
      </c>
      <c r="W92" s="51">
        <f t="shared" si="9"/>
        <v>2.3911679999999998E-2</v>
      </c>
    </row>
    <row r="93" spans="1:24" x14ac:dyDescent="0.35">
      <c r="A93" s="16" t="s">
        <v>477</v>
      </c>
      <c r="B93" s="44">
        <v>44854</v>
      </c>
      <c r="C93" s="45">
        <v>20</v>
      </c>
      <c r="D93" s="46">
        <v>44854.422222222223</v>
      </c>
      <c r="E93" s="47">
        <v>42.983333333395422</v>
      </c>
      <c r="F93" s="45">
        <v>1963</v>
      </c>
      <c r="G93" s="45">
        <v>-5595</v>
      </c>
      <c r="H93" s="47">
        <v>0.57237199999999999</v>
      </c>
      <c r="I93" s="48">
        <v>517753400</v>
      </c>
      <c r="J93" s="47">
        <v>8.8268639999999995E-2</v>
      </c>
      <c r="K93" s="48">
        <v>22908120</v>
      </c>
      <c r="L93" s="47">
        <v>8.7379830000000006E-2</v>
      </c>
      <c r="M93" s="49">
        <v>4.424525E-2</v>
      </c>
      <c r="N93" s="49">
        <v>2.931692E-2</v>
      </c>
      <c r="O93" s="45">
        <v>11</v>
      </c>
      <c r="P93" s="45">
        <v>13</v>
      </c>
      <c r="Q93" s="45">
        <v>23</v>
      </c>
      <c r="R93" s="48">
        <v>1.0999999999999999E-8</v>
      </c>
      <c r="S93" s="48">
        <f t="shared" si="5"/>
        <v>904574996.68048048</v>
      </c>
      <c r="T93" s="47">
        <f t="shared" si="6"/>
        <v>1.008089307190295</v>
      </c>
      <c r="U93" s="47">
        <f t="shared" si="7"/>
        <v>1.8624187668410119</v>
      </c>
      <c r="V93" s="51">
        <f t="shared" si="8"/>
        <v>-2.5335334100508033</v>
      </c>
      <c r="W93" s="51">
        <f t="shared" si="9"/>
        <v>2.931692E-2</v>
      </c>
    </row>
    <row r="94" spans="1:24" x14ac:dyDescent="0.35">
      <c r="A94" s="52" t="s">
        <v>478</v>
      </c>
      <c r="B94" s="53">
        <v>44854</v>
      </c>
      <c r="C94" s="54">
        <v>20</v>
      </c>
      <c r="D94" s="55">
        <v>44854.425000000003</v>
      </c>
      <c r="E94" s="56">
        <v>43.050000000104774</v>
      </c>
      <c r="F94" s="54">
        <v>1568</v>
      </c>
      <c r="G94" s="54">
        <v>-5858</v>
      </c>
      <c r="H94" s="56">
        <v>0.55516259999999995</v>
      </c>
      <c r="I94" s="57">
        <v>517921000</v>
      </c>
      <c r="J94" s="56">
        <v>7.2966710000000004E-2</v>
      </c>
      <c r="K94" s="57">
        <v>22906810</v>
      </c>
      <c r="L94" s="56">
        <v>7.2612330000000003E-2</v>
      </c>
      <c r="M94" s="58">
        <v>4.4228389999999999E-2</v>
      </c>
      <c r="N94" s="58">
        <v>2.6313729999999997E-2</v>
      </c>
      <c r="O94" s="54">
        <v>7</v>
      </c>
      <c r="P94" s="54">
        <v>16</v>
      </c>
      <c r="Q94" s="54">
        <v>24</v>
      </c>
      <c r="R94" s="57">
        <v>1.0999999999999999E-8</v>
      </c>
      <c r="S94" s="57">
        <f t="shared" si="5"/>
        <v>932917671.32728326</v>
      </c>
      <c r="T94" s="56">
        <f t="shared" si="6"/>
        <v>1.0396753529614757</v>
      </c>
      <c r="U94" s="56">
        <f t="shared" si="7"/>
        <v>1.4806512238751957</v>
      </c>
      <c r="V94" s="59">
        <f t="shared" si="8"/>
        <v>-2.9136258409152571</v>
      </c>
      <c r="W94" s="59">
        <f t="shared" si="9"/>
        <v>2.6313729999999997E-2</v>
      </c>
      <c r="X94" s="52"/>
    </row>
    <row r="95" spans="1:24" x14ac:dyDescent="0.35">
      <c r="A95" s="16" t="s">
        <v>480</v>
      </c>
      <c r="B95" s="44">
        <v>44854</v>
      </c>
      <c r="C95" s="45">
        <v>20</v>
      </c>
      <c r="D95" s="46">
        <v>44854.456944444442</v>
      </c>
      <c r="E95" s="47">
        <v>43.816666666651145</v>
      </c>
      <c r="F95" s="45">
        <v>-615</v>
      </c>
      <c r="G95" s="45">
        <v>-498</v>
      </c>
      <c r="H95" s="47">
        <v>0.46836179999999999</v>
      </c>
      <c r="I95" s="48">
        <v>502259500</v>
      </c>
      <c r="J95" s="47">
        <v>0.1308252</v>
      </c>
      <c r="K95" s="48">
        <v>22154220</v>
      </c>
      <c r="L95" s="47">
        <v>0.1320598</v>
      </c>
      <c r="M95" s="49">
        <v>4.410911E-2</v>
      </c>
      <c r="N95" s="49">
        <v>2.4813970000000001E-2</v>
      </c>
      <c r="O95" s="45">
        <v>-2</v>
      </c>
      <c r="P95" s="45">
        <v>16</v>
      </c>
      <c r="Q95" s="45">
        <v>35</v>
      </c>
      <c r="R95" s="48">
        <v>8.9000000000000003E-9</v>
      </c>
      <c r="S95" s="48">
        <f t="shared" si="5"/>
        <v>1072375031.4393702</v>
      </c>
      <c r="T95" s="50">
        <f t="shared" si="6"/>
        <v>1.1950914036525602</v>
      </c>
      <c r="U95" s="47">
        <f t="shared" si="7"/>
        <v>-1.2202522473564459</v>
      </c>
      <c r="V95" s="51">
        <f t="shared" si="8"/>
        <v>-5.6026783411238235</v>
      </c>
      <c r="W95" s="51">
        <f t="shared" si="9"/>
        <v>2.4813970000000001E-2</v>
      </c>
      <c r="X95" s="16" t="s">
        <v>943</v>
      </c>
    </row>
    <row r="96" spans="1:24" x14ac:dyDescent="0.35">
      <c r="A96" s="16" t="s">
        <v>481</v>
      </c>
      <c r="B96" s="44">
        <v>44854</v>
      </c>
      <c r="C96" s="45">
        <v>20</v>
      </c>
      <c r="D96" s="46">
        <v>44854.463194444441</v>
      </c>
      <c r="E96" s="47">
        <v>43.96666666661622</v>
      </c>
      <c r="F96" s="45">
        <v>-2789</v>
      </c>
      <c r="G96" s="45">
        <v>-948</v>
      </c>
      <c r="H96" s="47">
        <v>0.46203910000000004</v>
      </c>
      <c r="I96" s="48">
        <v>523830300</v>
      </c>
      <c r="J96" s="47">
        <v>9.7902030000000001E-2</v>
      </c>
      <c r="K96" s="48">
        <v>23140040</v>
      </c>
      <c r="L96" s="47">
        <v>9.735721E-2</v>
      </c>
      <c r="M96" s="49">
        <v>4.4174680000000001E-2</v>
      </c>
      <c r="N96" s="49">
        <v>2.916214E-2</v>
      </c>
      <c r="O96" s="45">
        <v>-30</v>
      </c>
      <c r="P96" s="45">
        <v>18</v>
      </c>
      <c r="Q96" s="45">
        <v>25</v>
      </c>
      <c r="R96" s="48">
        <v>8.9000000000000003E-9</v>
      </c>
      <c r="S96" s="48">
        <f t="shared" si="5"/>
        <v>1133735867.8085902</v>
      </c>
      <c r="T96" s="50">
        <f t="shared" si="6"/>
        <v>1.2634740178648274</v>
      </c>
      <c r="U96" s="47">
        <f t="shared" si="7"/>
        <v>0.26447478658608858</v>
      </c>
      <c r="V96" s="51">
        <f t="shared" si="8"/>
        <v>-4.1244659632005964</v>
      </c>
      <c r="W96" s="51">
        <f t="shared" si="9"/>
        <v>2.916214E-2</v>
      </c>
      <c r="X96" s="16" t="s">
        <v>943</v>
      </c>
    </row>
    <row r="97" spans="1:24" x14ac:dyDescent="0.35">
      <c r="A97" s="16" t="s">
        <v>482</v>
      </c>
      <c r="B97" s="44">
        <v>44854</v>
      </c>
      <c r="C97" s="45">
        <v>20</v>
      </c>
      <c r="D97" s="46">
        <v>44854.479166666664</v>
      </c>
      <c r="E97" s="47">
        <v>44.349999999976717</v>
      </c>
      <c r="F97" s="45">
        <v>1087</v>
      </c>
      <c r="G97" s="45">
        <v>634</v>
      </c>
      <c r="H97" s="47">
        <v>0.41462069999999995</v>
      </c>
      <c r="I97" s="48">
        <v>494431300</v>
      </c>
      <c r="J97" s="47">
        <v>0.13791390000000001</v>
      </c>
      <c r="K97" s="48">
        <v>21818140</v>
      </c>
      <c r="L97" s="47">
        <v>0.13846449999999999</v>
      </c>
      <c r="M97" s="49">
        <v>4.4127739999999999E-2</v>
      </c>
      <c r="N97" s="49">
        <v>2.465728E-2</v>
      </c>
      <c r="O97" s="45">
        <v>24</v>
      </c>
      <c r="P97" s="45">
        <v>18</v>
      </c>
      <c r="Q97" s="45">
        <v>51</v>
      </c>
      <c r="R97" s="48">
        <v>8.7999999999999994E-9</v>
      </c>
      <c r="S97" s="48">
        <f t="shared" si="5"/>
        <v>1192490630.5932145</v>
      </c>
      <c r="T97" s="50">
        <f t="shared" si="6"/>
        <v>1.328952334562767</v>
      </c>
      <c r="U97" s="47">
        <f t="shared" si="7"/>
        <v>-0.79840590539592693</v>
      </c>
      <c r="V97" s="51">
        <f t="shared" si="8"/>
        <v>-5.182682968228991</v>
      </c>
      <c r="W97" s="51">
        <f t="shared" si="9"/>
        <v>2.465728E-2</v>
      </c>
      <c r="X97" s="16" t="s">
        <v>943</v>
      </c>
    </row>
    <row r="98" spans="1:24" x14ac:dyDescent="0.35">
      <c r="A98" s="16" t="s">
        <v>483</v>
      </c>
      <c r="B98" s="44">
        <v>44854</v>
      </c>
      <c r="C98" s="45">
        <v>20</v>
      </c>
      <c r="D98" s="46">
        <v>44854.48333333333</v>
      </c>
      <c r="E98" s="47">
        <v>44.449999999953434</v>
      </c>
      <c r="F98" s="45">
        <v>871</v>
      </c>
      <c r="G98" s="45">
        <v>1168</v>
      </c>
      <c r="H98" s="47">
        <v>0.43125740000000001</v>
      </c>
      <c r="I98" s="48">
        <v>500734100</v>
      </c>
      <c r="J98" s="47">
        <v>0.13177420000000001</v>
      </c>
      <c r="K98" s="48">
        <v>22093820</v>
      </c>
      <c r="L98" s="47">
        <v>0.1324545</v>
      </c>
      <c r="M98" s="49">
        <v>4.4122849999999998E-2</v>
      </c>
      <c r="N98" s="49">
        <v>3.059854E-2</v>
      </c>
      <c r="O98" s="45">
        <v>26</v>
      </c>
      <c r="P98" s="45">
        <v>15</v>
      </c>
      <c r="Q98" s="45">
        <v>34</v>
      </c>
      <c r="R98" s="48">
        <v>8.7999999999999994E-9</v>
      </c>
      <c r="S98" s="48">
        <f t="shared" si="5"/>
        <v>1161102626.8766634</v>
      </c>
      <c r="T98" s="50">
        <f t="shared" si="6"/>
        <v>1.2939724699447741</v>
      </c>
      <c r="U98" s="47">
        <f t="shared" si="7"/>
        <v>-0.90913207888965175</v>
      </c>
      <c r="V98" s="51">
        <f t="shared" si="8"/>
        <v>-5.2929232996008491</v>
      </c>
      <c r="W98" s="51">
        <f t="shared" si="9"/>
        <v>3.059854E-2</v>
      </c>
      <c r="X98" s="16" t="s">
        <v>943</v>
      </c>
    </row>
    <row r="99" spans="1:24" x14ac:dyDescent="0.35">
      <c r="A99" s="52" t="s">
        <v>484</v>
      </c>
      <c r="B99" s="53">
        <v>44854</v>
      </c>
      <c r="C99" s="54">
        <v>20</v>
      </c>
      <c r="D99" s="55">
        <v>44854.487500000003</v>
      </c>
      <c r="E99" s="56">
        <v>44.550000000104774</v>
      </c>
      <c r="F99" s="54">
        <v>-833</v>
      </c>
      <c r="G99" s="54">
        <v>1711</v>
      </c>
      <c r="H99" s="56">
        <v>0.47039969999999998</v>
      </c>
      <c r="I99" s="57">
        <v>505663300</v>
      </c>
      <c r="J99" s="56">
        <v>0.1483737</v>
      </c>
      <c r="K99" s="57">
        <v>22316450</v>
      </c>
      <c r="L99" s="56">
        <v>0.14895620000000001</v>
      </c>
      <c r="M99" s="58">
        <v>4.4133029999999997E-2</v>
      </c>
      <c r="N99" s="58">
        <v>3.3521599999999999E-2</v>
      </c>
      <c r="O99" s="54">
        <v>8</v>
      </c>
      <c r="P99" s="54">
        <v>6</v>
      </c>
      <c r="Q99" s="54">
        <v>42</v>
      </c>
      <c r="R99" s="57">
        <v>8.5999999999999993E-9</v>
      </c>
      <c r="S99" s="57">
        <f t="shared" si="5"/>
        <v>1074965183.8638504</v>
      </c>
      <c r="T99" s="60">
        <f t="shared" si="6"/>
        <v>1.1979779580816496</v>
      </c>
      <c r="U99" s="56">
        <f t="shared" si="7"/>
        <v>-0.67862237619731314</v>
      </c>
      <c r="V99" s="59">
        <f t="shared" si="8"/>
        <v>-5.0634250228391853</v>
      </c>
      <c r="W99" s="59">
        <f t="shared" si="9"/>
        <v>3.3521599999999999E-2</v>
      </c>
      <c r="X99" s="52" t="s">
        <v>943</v>
      </c>
    </row>
    <row r="100" spans="1:24" x14ac:dyDescent="0.35">
      <c r="A100" s="16" t="s">
        <v>486</v>
      </c>
      <c r="B100" s="44">
        <v>44854</v>
      </c>
      <c r="C100" s="45">
        <v>20</v>
      </c>
      <c r="D100" s="46">
        <v>44854.508333333331</v>
      </c>
      <c r="E100" s="47">
        <v>45.049999999988358</v>
      </c>
      <c r="F100" s="45">
        <v>-1130</v>
      </c>
      <c r="G100" s="45">
        <v>2559</v>
      </c>
      <c r="H100" s="47">
        <v>0.49765470000000001</v>
      </c>
      <c r="I100" s="48">
        <v>493896600</v>
      </c>
      <c r="J100" s="47">
        <v>0.1815725</v>
      </c>
      <c r="K100" s="48">
        <v>21968900</v>
      </c>
      <c r="L100" s="47">
        <v>0.18183260000000001</v>
      </c>
      <c r="M100" s="49">
        <v>4.4480749999999999E-2</v>
      </c>
      <c r="N100" s="49">
        <v>2.8705340000000003E-2</v>
      </c>
      <c r="O100" s="45">
        <v>7</v>
      </c>
      <c r="P100" s="45">
        <v>12</v>
      </c>
      <c r="Q100" s="45">
        <v>34</v>
      </c>
      <c r="R100" s="48">
        <v>9.5999999999999999E-9</v>
      </c>
      <c r="S100" s="48">
        <f t="shared" si="5"/>
        <v>992448378.36355209</v>
      </c>
      <c r="T100" s="50">
        <f t="shared" si="6"/>
        <v>1.1060184084659588</v>
      </c>
      <c r="U100" s="47">
        <f t="shared" si="7"/>
        <v>7.1949369381609785</v>
      </c>
      <c r="V100" s="51">
        <f t="shared" si="8"/>
        <v>2.7755868431273978</v>
      </c>
      <c r="W100" s="51">
        <f t="shared" si="9"/>
        <v>2.8705340000000003E-2</v>
      </c>
      <c r="X100" s="16" t="s">
        <v>943</v>
      </c>
    </row>
    <row r="101" spans="1:24" x14ac:dyDescent="0.35">
      <c r="A101" s="16" t="s">
        <v>487</v>
      </c>
      <c r="B101" s="44">
        <v>44854</v>
      </c>
      <c r="C101" s="45">
        <v>20</v>
      </c>
      <c r="D101" s="46">
        <v>44854.511111111111</v>
      </c>
      <c r="E101" s="47">
        <v>45.116666666697711</v>
      </c>
      <c r="F101" s="45">
        <v>-1190</v>
      </c>
      <c r="G101" s="45">
        <v>2565</v>
      </c>
      <c r="H101" s="47">
        <v>0.51032979999999994</v>
      </c>
      <c r="I101" s="48">
        <v>511616000</v>
      </c>
      <c r="J101" s="47">
        <v>0.1682401</v>
      </c>
      <c r="K101" s="48">
        <v>22764140</v>
      </c>
      <c r="L101" s="47">
        <v>0.1685159</v>
      </c>
      <c r="M101" s="49">
        <v>4.4494579999999999E-2</v>
      </c>
      <c r="N101" s="49">
        <v>2.660933E-2</v>
      </c>
      <c r="O101" s="45">
        <v>5</v>
      </c>
      <c r="P101" s="45">
        <v>10</v>
      </c>
      <c r="Q101" s="45">
        <v>32</v>
      </c>
      <c r="R101" s="48">
        <v>9.5999999999999999E-9</v>
      </c>
      <c r="S101" s="48">
        <f t="shared" si="5"/>
        <v>1002520330.9702864</v>
      </c>
      <c r="T101" s="50">
        <f t="shared" si="6"/>
        <v>1.1172429368496044</v>
      </c>
      <c r="U101" s="47">
        <f t="shared" si="7"/>
        <v>7.5080950116612755</v>
      </c>
      <c r="V101" s="51">
        <f t="shared" si="8"/>
        <v>3.087370847804527</v>
      </c>
      <c r="W101" s="51">
        <f t="shared" si="9"/>
        <v>2.660933E-2</v>
      </c>
      <c r="X101" s="16" t="s">
        <v>943</v>
      </c>
    </row>
    <row r="102" spans="1:24" x14ac:dyDescent="0.35">
      <c r="A102" s="16" t="s">
        <v>488</v>
      </c>
      <c r="B102" s="44">
        <v>44854</v>
      </c>
      <c r="C102" s="45">
        <v>20</v>
      </c>
      <c r="D102" s="46">
        <v>44854.513888888891</v>
      </c>
      <c r="E102" s="47">
        <v>45.183333333407063</v>
      </c>
      <c r="F102" s="45">
        <v>-1134</v>
      </c>
      <c r="G102" s="45">
        <v>2333</v>
      </c>
      <c r="H102" s="47">
        <v>0.49213789999999996</v>
      </c>
      <c r="I102" s="48">
        <v>491813000</v>
      </c>
      <c r="J102" s="47">
        <v>0.1642759</v>
      </c>
      <c r="K102" s="48">
        <v>21880280</v>
      </c>
      <c r="L102" s="47">
        <v>0.16441739999999999</v>
      </c>
      <c r="M102" s="49">
        <v>4.4489019999999997E-2</v>
      </c>
      <c r="N102" s="49">
        <v>2.4626290000000002E-2</v>
      </c>
      <c r="O102" s="45">
        <v>6</v>
      </c>
      <c r="P102" s="45">
        <v>14</v>
      </c>
      <c r="Q102" s="45">
        <v>37</v>
      </c>
      <c r="R102" s="48">
        <v>9.5000000000000007E-9</v>
      </c>
      <c r="S102" s="48">
        <f t="shared" si="5"/>
        <v>999339819.18482614</v>
      </c>
      <c r="T102" s="50">
        <f t="shared" si="6"/>
        <v>1.1136984657619875</v>
      </c>
      <c r="U102" s="47">
        <f t="shared" si="7"/>
        <v>7.38219776736182</v>
      </c>
      <c r="V102" s="51">
        <f t="shared" si="8"/>
        <v>2.9620260129523679</v>
      </c>
      <c r="W102" s="51">
        <f t="shared" si="9"/>
        <v>2.4626290000000002E-2</v>
      </c>
      <c r="X102" s="16" t="s">
        <v>943</v>
      </c>
    </row>
    <row r="103" spans="1:24" x14ac:dyDescent="0.35">
      <c r="A103" s="16" t="s">
        <v>489</v>
      </c>
      <c r="B103" s="44">
        <v>44854</v>
      </c>
      <c r="C103" s="45">
        <v>20</v>
      </c>
      <c r="D103" s="46">
        <v>44854.51666666667</v>
      </c>
      <c r="E103" s="47">
        <v>45.250000000116415</v>
      </c>
      <c r="F103" s="45">
        <v>-1210</v>
      </c>
      <c r="G103" s="45">
        <v>2192</v>
      </c>
      <c r="H103" s="47">
        <v>0.50614749999999997</v>
      </c>
      <c r="I103" s="48">
        <v>510370000</v>
      </c>
      <c r="J103" s="47">
        <v>0.182671</v>
      </c>
      <c r="K103" s="48">
        <v>22707660</v>
      </c>
      <c r="L103" s="47">
        <v>0.18301509999999999</v>
      </c>
      <c r="M103" s="49">
        <v>4.4492549999999999E-2</v>
      </c>
      <c r="N103" s="49">
        <v>3.1803859999999996E-2</v>
      </c>
      <c r="O103" s="45">
        <v>5</v>
      </c>
      <c r="P103" s="45">
        <v>17</v>
      </c>
      <c r="Q103" s="45">
        <v>34</v>
      </c>
      <c r="R103" s="48">
        <v>9.5999999999999999E-9</v>
      </c>
      <c r="S103" s="48">
        <f t="shared" si="5"/>
        <v>1008342429.8252981</v>
      </c>
      <c r="T103" s="50">
        <f t="shared" si="6"/>
        <v>1.123731282893526</v>
      </c>
      <c r="U103" s="47">
        <f t="shared" si="7"/>
        <v>7.4621289314584782</v>
      </c>
      <c r="V103" s="51">
        <f t="shared" si="8"/>
        <v>3.0416064566625156</v>
      </c>
      <c r="W103" s="51">
        <f t="shared" si="9"/>
        <v>3.1803859999999996E-2</v>
      </c>
      <c r="X103" s="16" t="s">
        <v>943</v>
      </c>
    </row>
    <row r="104" spans="1:24" x14ac:dyDescent="0.35">
      <c r="A104" s="16" t="s">
        <v>490</v>
      </c>
      <c r="B104" s="44">
        <v>44854</v>
      </c>
      <c r="C104" s="45">
        <v>20</v>
      </c>
      <c r="D104" s="46">
        <v>44854.527777777781</v>
      </c>
      <c r="E104" s="47">
        <v>45.516666666779201</v>
      </c>
      <c r="F104" s="45">
        <v>-1559</v>
      </c>
      <c r="G104" s="45">
        <v>1828</v>
      </c>
      <c r="H104" s="47">
        <v>0.46084759999999997</v>
      </c>
      <c r="I104" s="48">
        <v>492467400</v>
      </c>
      <c r="J104" s="47">
        <v>0.16760510000000001</v>
      </c>
      <c r="K104" s="48">
        <v>21912650</v>
      </c>
      <c r="L104" s="47">
        <v>0.16897760000000001</v>
      </c>
      <c r="M104" s="49">
        <v>4.4494699999999998E-2</v>
      </c>
      <c r="N104" s="49">
        <v>2.460832E-2</v>
      </c>
      <c r="O104" s="45">
        <v>4</v>
      </c>
      <c r="P104" s="45">
        <v>20</v>
      </c>
      <c r="Q104" s="45">
        <v>27</v>
      </c>
      <c r="R104" s="48">
        <v>9.3999999999999998E-9</v>
      </c>
      <c r="S104" s="48">
        <f t="shared" si="5"/>
        <v>1068612270.0866839</v>
      </c>
      <c r="T104" s="50">
        <f t="shared" si="6"/>
        <v>1.1908980537378802</v>
      </c>
      <c r="U104" s="47">
        <f t="shared" si="7"/>
        <v>7.5108122183726866</v>
      </c>
      <c r="V104" s="51">
        <f t="shared" si="8"/>
        <v>3.0900761320098447</v>
      </c>
      <c r="W104" s="51">
        <f t="shared" si="9"/>
        <v>2.460832E-2</v>
      </c>
      <c r="X104" s="16" t="s">
        <v>943</v>
      </c>
    </row>
    <row r="105" spans="1:24" x14ac:dyDescent="0.35">
      <c r="A105" s="16" t="s">
        <v>491</v>
      </c>
      <c r="B105" s="44">
        <v>44854</v>
      </c>
      <c r="C105" s="45">
        <v>20</v>
      </c>
      <c r="D105" s="46">
        <v>44854.530555555553</v>
      </c>
      <c r="E105" s="47">
        <v>45.583333333313931</v>
      </c>
      <c r="F105" s="45">
        <v>-1437</v>
      </c>
      <c r="G105" s="45">
        <v>1699</v>
      </c>
      <c r="H105" s="47">
        <v>0.46824290000000002</v>
      </c>
      <c r="I105" s="48">
        <v>497441700</v>
      </c>
      <c r="J105" s="47">
        <v>0.15496270000000001</v>
      </c>
      <c r="K105" s="48">
        <v>22128920</v>
      </c>
      <c r="L105" s="47">
        <v>0.15620100000000001</v>
      </c>
      <c r="M105" s="49">
        <v>4.4485429999999999E-2</v>
      </c>
      <c r="N105" s="49">
        <v>3.2280459999999997E-2</v>
      </c>
      <c r="O105" s="45">
        <v>2</v>
      </c>
      <c r="P105" s="45">
        <v>19</v>
      </c>
      <c r="Q105" s="45">
        <v>31</v>
      </c>
      <c r="R105" s="48">
        <v>9.3999999999999998E-9</v>
      </c>
      <c r="S105" s="48">
        <f t="shared" si="5"/>
        <v>1062358233.3015621</v>
      </c>
      <c r="T105" s="50">
        <f t="shared" si="6"/>
        <v>1.1839283412950288</v>
      </c>
      <c r="U105" s="47">
        <f t="shared" si="7"/>
        <v>7.3009079999093451</v>
      </c>
      <c r="V105" s="51">
        <f t="shared" si="8"/>
        <v>2.8810929271394503</v>
      </c>
      <c r="W105" s="51">
        <f t="shared" si="9"/>
        <v>3.2280459999999997E-2</v>
      </c>
      <c r="X105" s="16" t="s">
        <v>943</v>
      </c>
    </row>
    <row r="106" spans="1:24" x14ac:dyDescent="0.35">
      <c r="A106" s="16" t="s">
        <v>492</v>
      </c>
      <c r="B106" s="44">
        <v>44854</v>
      </c>
      <c r="C106" s="45">
        <v>20</v>
      </c>
      <c r="D106" s="46">
        <v>44854.533333333333</v>
      </c>
      <c r="E106" s="47">
        <v>45.650000000023283</v>
      </c>
      <c r="F106" s="45">
        <v>-1796</v>
      </c>
      <c r="G106" s="45">
        <v>1721</v>
      </c>
      <c r="H106" s="47">
        <v>0.48459010000000002</v>
      </c>
      <c r="I106" s="48">
        <v>492380400</v>
      </c>
      <c r="J106" s="47">
        <v>0.1646098</v>
      </c>
      <c r="K106" s="48">
        <v>21901560</v>
      </c>
      <c r="L106" s="47">
        <v>0.16557050000000001</v>
      </c>
      <c r="M106" s="49">
        <v>4.448096E-2</v>
      </c>
      <c r="N106" s="49">
        <v>2.5688260000000001E-2</v>
      </c>
      <c r="O106" s="45">
        <v>-2</v>
      </c>
      <c r="P106" s="45">
        <v>21</v>
      </c>
      <c r="Q106" s="45">
        <v>34</v>
      </c>
      <c r="R106" s="48">
        <v>9.3000000000000006E-9</v>
      </c>
      <c r="S106" s="48">
        <f t="shared" si="5"/>
        <v>1016076060.9843247</v>
      </c>
      <c r="T106" s="50">
        <f t="shared" si="6"/>
        <v>1.1323499058996649</v>
      </c>
      <c r="U106" s="47">
        <f t="shared" si="7"/>
        <v>7.1996920499060035</v>
      </c>
      <c r="V106" s="51">
        <f t="shared" si="8"/>
        <v>2.7803210904868703</v>
      </c>
      <c r="W106" s="51">
        <f t="shared" si="9"/>
        <v>2.5688260000000001E-2</v>
      </c>
      <c r="X106" s="16" t="s">
        <v>943</v>
      </c>
    </row>
    <row r="107" spans="1:24" x14ac:dyDescent="0.35">
      <c r="A107" s="16" t="s">
        <v>493</v>
      </c>
      <c r="B107" s="44">
        <v>44854</v>
      </c>
      <c r="C107" s="45">
        <v>20</v>
      </c>
      <c r="D107" s="46">
        <v>44854.536111111112</v>
      </c>
      <c r="E107" s="47">
        <v>45.716666666732635</v>
      </c>
      <c r="F107" s="45">
        <v>-2079</v>
      </c>
      <c r="G107" s="45">
        <v>1316</v>
      </c>
      <c r="H107" s="47">
        <v>0.46412159999999997</v>
      </c>
      <c r="I107" s="48">
        <v>490069100</v>
      </c>
      <c r="J107" s="47">
        <v>0.16088459999999999</v>
      </c>
      <c r="K107" s="48">
        <v>21807930</v>
      </c>
      <c r="L107" s="47">
        <v>0.1616592</v>
      </c>
      <c r="M107" s="49">
        <v>4.4499690000000001E-2</v>
      </c>
      <c r="N107" s="49">
        <v>3.5290099999999998E-2</v>
      </c>
      <c r="O107" s="45">
        <v>-1</v>
      </c>
      <c r="P107" s="45">
        <v>21</v>
      </c>
      <c r="Q107" s="45">
        <v>18</v>
      </c>
      <c r="R107" s="48">
        <v>9.3000000000000006E-9</v>
      </c>
      <c r="S107" s="48">
        <f t="shared" si="5"/>
        <v>1055906684.7998456</v>
      </c>
      <c r="T107" s="50">
        <f t="shared" si="6"/>
        <v>1.176738515041521</v>
      </c>
      <c r="U107" s="47">
        <f t="shared" si="7"/>
        <v>7.6238027307926615</v>
      </c>
      <c r="V107" s="51">
        <f t="shared" si="8"/>
        <v>3.2025708668861341</v>
      </c>
      <c r="W107" s="51">
        <f t="shared" si="9"/>
        <v>3.5290099999999998E-2</v>
      </c>
      <c r="X107" s="16" t="s">
        <v>943</v>
      </c>
    </row>
    <row r="108" spans="1:24" x14ac:dyDescent="0.35">
      <c r="A108" s="16" t="s">
        <v>494</v>
      </c>
      <c r="B108" s="44">
        <v>44854</v>
      </c>
      <c r="C108" s="45">
        <v>20</v>
      </c>
      <c r="D108" s="46">
        <v>44854.538888888892</v>
      </c>
      <c r="E108" s="47">
        <v>45.783333333441988</v>
      </c>
      <c r="F108" s="45">
        <v>-1932</v>
      </c>
      <c r="G108" s="45">
        <v>1336</v>
      </c>
      <c r="H108" s="47">
        <v>0.49541180000000001</v>
      </c>
      <c r="I108" s="48">
        <v>493376200</v>
      </c>
      <c r="J108" s="47">
        <v>0.177624</v>
      </c>
      <c r="K108" s="48">
        <v>21940210</v>
      </c>
      <c r="L108" s="47">
        <v>0.17872669999999999</v>
      </c>
      <c r="M108" s="49">
        <v>4.4469519999999998E-2</v>
      </c>
      <c r="N108" s="49">
        <v>2.5942629999999998E-2</v>
      </c>
      <c r="O108" s="45">
        <v>-5</v>
      </c>
      <c r="P108" s="45">
        <v>18</v>
      </c>
      <c r="Q108" s="45">
        <v>32</v>
      </c>
      <c r="R108" s="48">
        <v>9.1999999999999997E-9</v>
      </c>
      <c r="S108" s="48">
        <f t="shared" si="5"/>
        <v>995891095.04456699</v>
      </c>
      <c r="T108" s="50">
        <f t="shared" si="6"/>
        <v>1.1098550896549733</v>
      </c>
      <c r="U108" s="47">
        <f t="shared" si="7"/>
        <v>6.9406516767429594</v>
      </c>
      <c r="V108" s="51">
        <f t="shared" si="8"/>
        <v>2.5224173295681496</v>
      </c>
      <c r="W108" s="51">
        <f t="shared" si="9"/>
        <v>2.5942629999999998E-2</v>
      </c>
      <c r="X108" s="16" t="s">
        <v>943</v>
      </c>
    </row>
    <row r="109" spans="1:24" x14ac:dyDescent="0.35">
      <c r="A109" s="16" t="s">
        <v>495</v>
      </c>
      <c r="B109" s="44">
        <v>44854</v>
      </c>
      <c r="C109" s="45">
        <v>20</v>
      </c>
      <c r="D109" s="46">
        <v>44854.541666666664</v>
      </c>
      <c r="E109" s="47">
        <v>45.849999999976717</v>
      </c>
      <c r="F109" s="45">
        <v>-2062</v>
      </c>
      <c r="G109" s="45">
        <v>780</v>
      </c>
      <c r="H109" s="47">
        <v>0.50158350000000007</v>
      </c>
      <c r="I109" s="48">
        <v>499264200</v>
      </c>
      <c r="J109" s="47">
        <v>0.16623650000000001</v>
      </c>
      <c r="K109" s="48">
        <v>22203180</v>
      </c>
      <c r="L109" s="47">
        <v>0.1664554</v>
      </c>
      <c r="M109" s="49">
        <v>4.4471810000000001E-2</v>
      </c>
      <c r="N109" s="49">
        <v>2.4642790000000001E-2</v>
      </c>
      <c r="O109" s="45">
        <v>-9</v>
      </c>
      <c r="P109" s="45">
        <v>19</v>
      </c>
      <c r="Q109" s="45">
        <v>34</v>
      </c>
      <c r="R109" s="48">
        <v>9.1999999999999997E-9</v>
      </c>
      <c r="S109" s="48">
        <f t="shared" si="5"/>
        <v>995376044.06843507</v>
      </c>
      <c r="T109" s="50">
        <f t="shared" si="6"/>
        <v>1.1092810992356028</v>
      </c>
      <c r="U109" s="47">
        <f t="shared" si="7"/>
        <v>6.9925050381540732</v>
      </c>
      <c r="V109" s="51">
        <f t="shared" si="8"/>
        <v>2.5740431698220156</v>
      </c>
      <c r="W109" s="51">
        <f t="shared" si="9"/>
        <v>2.4642790000000001E-2</v>
      </c>
      <c r="X109" s="16" t="s">
        <v>943</v>
      </c>
    </row>
    <row r="110" spans="1:24" x14ac:dyDescent="0.35">
      <c r="A110" s="16" t="s">
        <v>496</v>
      </c>
      <c r="B110" s="44">
        <v>44854</v>
      </c>
      <c r="C110" s="45">
        <v>20</v>
      </c>
      <c r="D110" s="46">
        <v>44854.544444444444</v>
      </c>
      <c r="E110" s="47">
        <v>45.916666666686069</v>
      </c>
      <c r="F110" s="45">
        <v>-2748</v>
      </c>
      <c r="G110" s="45">
        <v>980</v>
      </c>
      <c r="H110" s="47">
        <v>0.50483480000000003</v>
      </c>
      <c r="I110" s="48">
        <v>496892500</v>
      </c>
      <c r="J110" s="47">
        <v>0.16607569999999999</v>
      </c>
      <c r="K110" s="48">
        <v>22109110</v>
      </c>
      <c r="L110" s="47">
        <v>0.16708110000000001</v>
      </c>
      <c r="M110" s="49">
        <v>4.4495560000000003E-2</v>
      </c>
      <c r="N110" s="49">
        <v>2.4498559999999999E-2</v>
      </c>
      <c r="O110" s="45">
        <v>-14</v>
      </c>
      <c r="P110" s="45">
        <v>18</v>
      </c>
      <c r="Q110" s="45">
        <v>33</v>
      </c>
      <c r="R110" s="48">
        <v>9.1000000000000004E-9</v>
      </c>
      <c r="S110" s="48">
        <f t="shared" si="5"/>
        <v>984267526.72359347</v>
      </c>
      <c r="T110" s="50">
        <f t="shared" si="6"/>
        <v>1.0969013876636853</v>
      </c>
      <c r="U110" s="47">
        <f t="shared" si="7"/>
        <v>7.5302855331387253</v>
      </c>
      <c r="V110" s="51">
        <f t="shared" si="8"/>
        <v>3.109464002149176</v>
      </c>
      <c r="W110" s="51">
        <f t="shared" si="9"/>
        <v>2.4498559999999999E-2</v>
      </c>
      <c r="X110" s="16" t="s">
        <v>943</v>
      </c>
    </row>
    <row r="111" spans="1:24" x14ac:dyDescent="0.35">
      <c r="A111" s="16" t="s">
        <v>497</v>
      </c>
      <c r="B111" s="44">
        <v>44854</v>
      </c>
      <c r="C111" s="45">
        <v>20</v>
      </c>
      <c r="D111" s="46">
        <v>44854.547222222223</v>
      </c>
      <c r="E111" s="47">
        <v>45.983333333395422</v>
      </c>
      <c r="F111" s="45">
        <v>-2768</v>
      </c>
      <c r="G111" s="45">
        <v>894</v>
      </c>
      <c r="H111" s="47">
        <v>0.50466660000000008</v>
      </c>
      <c r="I111" s="48">
        <v>488989800</v>
      </c>
      <c r="J111" s="47">
        <v>0.2054723</v>
      </c>
      <c r="K111" s="48">
        <v>21755850</v>
      </c>
      <c r="L111" s="47">
        <v>0.2060601</v>
      </c>
      <c r="M111" s="49">
        <v>4.4491410000000002E-2</v>
      </c>
      <c r="N111" s="49">
        <v>2.469669E-2</v>
      </c>
      <c r="O111" s="45">
        <v>-15</v>
      </c>
      <c r="P111" s="45">
        <v>19</v>
      </c>
      <c r="Q111" s="45">
        <v>33</v>
      </c>
      <c r="R111" s="48">
        <v>9.1000000000000004E-9</v>
      </c>
      <c r="S111" s="48">
        <f t="shared" si="5"/>
        <v>968936323.50545871</v>
      </c>
      <c r="T111" s="50">
        <f t="shared" si="6"/>
        <v>1.0798157705647391</v>
      </c>
      <c r="U111" s="47">
        <f t="shared" si="7"/>
        <v>7.4363154676992949</v>
      </c>
      <c r="V111" s="51">
        <f t="shared" si="8"/>
        <v>3.0159062567107764</v>
      </c>
      <c r="W111" s="51">
        <f t="shared" si="9"/>
        <v>2.469669E-2</v>
      </c>
      <c r="X111" s="16" t="s">
        <v>943</v>
      </c>
    </row>
    <row r="112" spans="1:24" x14ac:dyDescent="0.35">
      <c r="A112" s="16" t="s">
        <v>498</v>
      </c>
      <c r="B112" s="44">
        <v>44854</v>
      </c>
      <c r="C112" s="45">
        <v>20</v>
      </c>
      <c r="D112" s="46">
        <v>44854.55</v>
      </c>
      <c r="E112" s="47">
        <v>46.050000000104774</v>
      </c>
      <c r="F112" s="45">
        <v>-2698</v>
      </c>
      <c r="G112" s="45">
        <v>1588</v>
      </c>
      <c r="H112" s="47">
        <v>0.49059979999999997</v>
      </c>
      <c r="I112" s="48">
        <v>520315000</v>
      </c>
      <c r="J112" s="47">
        <v>0.24176400000000001</v>
      </c>
      <c r="K112" s="48">
        <v>23137270</v>
      </c>
      <c r="L112" s="47">
        <v>0.24263499999999999</v>
      </c>
      <c r="M112" s="49">
        <v>4.4467800000000002E-2</v>
      </c>
      <c r="N112" s="49">
        <v>2.5640580000000003E-2</v>
      </c>
      <c r="O112" s="45">
        <v>-9</v>
      </c>
      <c r="P112" s="45">
        <v>17</v>
      </c>
      <c r="Q112" s="45">
        <v>25</v>
      </c>
      <c r="R112" s="48">
        <v>9.1000000000000004E-9</v>
      </c>
      <c r="S112" s="48">
        <f t="shared" si="5"/>
        <v>1060569123.7542291</v>
      </c>
      <c r="T112" s="50">
        <f t="shared" si="6"/>
        <v>1.1819344964389615</v>
      </c>
      <c r="U112" s="47">
        <f t="shared" si="7"/>
        <v>6.9017050472115482</v>
      </c>
      <c r="V112" s="51">
        <f t="shared" si="8"/>
        <v>2.4836415892903752</v>
      </c>
      <c r="W112" s="51">
        <f t="shared" si="9"/>
        <v>2.5640580000000003E-2</v>
      </c>
      <c r="X112" s="16" t="s">
        <v>943</v>
      </c>
    </row>
    <row r="113" spans="1:24" x14ac:dyDescent="0.35">
      <c r="A113" s="52" t="s">
        <v>499</v>
      </c>
      <c r="B113" s="53">
        <v>44854</v>
      </c>
      <c r="C113" s="54">
        <v>20</v>
      </c>
      <c r="D113" s="55">
        <v>44854.552777777775</v>
      </c>
      <c r="E113" s="56">
        <v>46.116666666639503</v>
      </c>
      <c r="F113" s="54">
        <v>-2264</v>
      </c>
      <c r="G113" s="54">
        <v>1440</v>
      </c>
      <c r="H113" s="56">
        <v>0.60403220000000002</v>
      </c>
      <c r="I113" s="57">
        <v>533490400</v>
      </c>
      <c r="J113" s="56">
        <v>0.17126530000000001</v>
      </c>
      <c r="K113" s="57">
        <v>23724740</v>
      </c>
      <c r="L113" s="56">
        <v>0.17137140000000001</v>
      </c>
      <c r="M113" s="58">
        <v>4.4470790000000003E-2</v>
      </c>
      <c r="N113" s="58">
        <v>2.9628599999999998E-2</v>
      </c>
      <c r="O113" s="54">
        <v>-9</v>
      </c>
      <c r="P113" s="54">
        <v>22</v>
      </c>
      <c r="Q113" s="54">
        <v>61</v>
      </c>
      <c r="R113" s="57">
        <v>9.1999999999999997E-9</v>
      </c>
      <c r="S113" s="57">
        <f t="shared" si="5"/>
        <v>883215166.34378099</v>
      </c>
      <c r="T113" s="56">
        <f t="shared" si="6"/>
        <v>0.9842851818885302</v>
      </c>
      <c r="U113" s="56">
        <f t="shared" si="7"/>
        <v>6.969408781106301</v>
      </c>
      <c r="V113" s="59">
        <f t="shared" si="8"/>
        <v>2.5510482540758161</v>
      </c>
      <c r="W113" s="59">
        <f t="shared" si="9"/>
        <v>2.9628599999999998E-2</v>
      </c>
      <c r="X113" s="52"/>
    </row>
    <row r="114" spans="1:24" x14ac:dyDescent="0.35">
      <c r="A114" s="16" t="s">
        <v>501</v>
      </c>
      <c r="B114" s="44">
        <v>44854</v>
      </c>
      <c r="C114" s="45">
        <v>20</v>
      </c>
      <c r="D114" s="46">
        <v>44854.584027777775</v>
      </c>
      <c r="E114" s="47">
        <v>46.866666666639503</v>
      </c>
      <c r="F114" s="45">
        <v>-1079</v>
      </c>
      <c r="G114" s="45">
        <v>330</v>
      </c>
      <c r="H114" s="47">
        <v>0.61367349999999998</v>
      </c>
      <c r="I114" s="48">
        <v>548398200</v>
      </c>
      <c r="J114" s="47">
        <v>9.4697370000000003E-2</v>
      </c>
      <c r="K114" s="48">
        <v>24219970</v>
      </c>
      <c r="L114" s="47">
        <v>9.5166420000000002E-2</v>
      </c>
      <c r="M114" s="49">
        <v>4.4164929999999998E-2</v>
      </c>
      <c r="N114" s="49">
        <v>2.5752050000000002E-2</v>
      </c>
      <c r="O114" s="61">
        <v>-63</v>
      </c>
      <c r="P114" s="45">
        <v>-4</v>
      </c>
      <c r="Q114" s="45">
        <v>49</v>
      </c>
      <c r="R114" s="48">
        <v>1.4999999999999999E-8</v>
      </c>
      <c r="S114" s="48">
        <f t="shared" si="5"/>
        <v>893631874.27842331</v>
      </c>
      <c r="T114" s="47">
        <f t="shared" si="6"/>
        <v>0.99589391739810396</v>
      </c>
      <c r="U114" s="47">
        <f t="shared" si="7"/>
        <v>4.3701741276658268E-2</v>
      </c>
      <c r="V114" s="51">
        <f t="shared" si="8"/>
        <v>-4.3442703048927056</v>
      </c>
      <c r="W114" s="51">
        <f t="shared" si="9"/>
        <v>2.5752050000000002E-2</v>
      </c>
    </row>
    <row r="115" spans="1:24" x14ac:dyDescent="0.35">
      <c r="A115" s="16" t="s">
        <v>502</v>
      </c>
      <c r="B115" s="44">
        <v>44854</v>
      </c>
      <c r="C115" s="45">
        <v>20</v>
      </c>
      <c r="D115" s="46">
        <v>44854.588888888888</v>
      </c>
      <c r="E115" s="47">
        <v>46.983333333337214</v>
      </c>
      <c r="F115" s="45">
        <v>-1033</v>
      </c>
      <c r="G115" s="45">
        <v>242</v>
      </c>
      <c r="H115" s="47">
        <v>0.66314309999999999</v>
      </c>
      <c r="I115" s="48">
        <v>546485300</v>
      </c>
      <c r="J115" s="47">
        <v>7.4475089999999994E-2</v>
      </c>
      <c r="K115" s="48">
        <v>24124840</v>
      </c>
      <c r="L115" s="47">
        <v>7.5699710000000003E-2</v>
      </c>
      <c r="M115" s="49">
        <v>4.4145450000000003E-2</v>
      </c>
      <c r="N115" s="49">
        <v>3.139281E-2</v>
      </c>
      <c r="O115" s="61">
        <v>-66</v>
      </c>
      <c r="P115" s="45">
        <v>-9</v>
      </c>
      <c r="Q115" s="45">
        <v>54</v>
      </c>
      <c r="R115" s="48">
        <v>1.4999999999999999E-8</v>
      </c>
      <c r="S115" s="48">
        <f t="shared" si="5"/>
        <v>824083519.83154166</v>
      </c>
      <c r="T115" s="50">
        <f t="shared" si="6"/>
        <v>0.91838685307743595</v>
      </c>
      <c r="U115" s="47">
        <f t="shared" si="7"/>
        <v>-0.39739148155693016</v>
      </c>
      <c r="V115" s="51">
        <f t="shared" si="8"/>
        <v>-4.7834281075759266</v>
      </c>
      <c r="W115" s="51">
        <f t="shared" si="9"/>
        <v>3.139281E-2</v>
      </c>
      <c r="X115" s="16" t="s">
        <v>946</v>
      </c>
    </row>
    <row r="116" spans="1:24" x14ac:dyDescent="0.35">
      <c r="A116" s="16" t="s">
        <v>503</v>
      </c>
      <c r="B116" s="44">
        <v>44854</v>
      </c>
      <c r="C116" s="45">
        <v>20</v>
      </c>
      <c r="D116" s="46">
        <v>44854.594444444447</v>
      </c>
      <c r="E116" s="47">
        <v>47.116666666755918</v>
      </c>
      <c r="F116" s="45">
        <v>-2636</v>
      </c>
      <c r="G116" s="45">
        <v>-1174</v>
      </c>
      <c r="H116" s="47">
        <v>0.68293329999999997</v>
      </c>
      <c r="I116" s="48">
        <v>514548700</v>
      </c>
      <c r="J116" s="47">
        <v>0.10132670000000001</v>
      </c>
      <c r="K116" s="48">
        <v>22715080</v>
      </c>
      <c r="L116" s="47">
        <v>0.10026640000000001</v>
      </c>
      <c r="M116" s="49">
        <v>4.414564E-2</v>
      </c>
      <c r="N116" s="49">
        <v>3.1449299999999999E-2</v>
      </c>
      <c r="O116" s="45">
        <v>12</v>
      </c>
      <c r="P116" s="45">
        <v>-7</v>
      </c>
      <c r="Q116" s="45">
        <v>25</v>
      </c>
      <c r="R116" s="48">
        <v>1.4999999999999999E-8</v>
      </c>
      <c r="S116" s="48">
        <f t="shared" si="5"/>
        <v>753439171.87813222</v>
      </c>
      <c r="T116" s="50">
        <f t="shared" si="6"/>
        <v>0.83965837611687066</v>
      </c>
      <c r="U116" s="47">
        <f t="shared" si="7"/>
        <v>-0.39308923759706627</v>
      </c>
      <c r="V116" s="51">
        <f t="shared" si="8"/>
        <v>-4.7791447409173404</v>
      </c>
      <c r="W116" s="51">
        <f t="shared" si="9"/>
        <v>3.1449299999999999E-2</v>
      </c>
      <c r="X116" s="16" t="s">
        <v>946</v>
      </c>
    </row>
    <row r="117" spans="1:24" x14ac:dyDescent="0.35">
      <c r="A117" s="16" t="s">
        <v>504</v>
      </c>
      <c r="B117" s="44">
        <v>44854</v>
      </c>
      <c r="C117" s="45">
        <v>20</v>
      </c>
      <c r="D117" s="46">
        <v>44854.598611111112</v>
      </c>
      <c r="E117" s="47">
        <v>47.216666666732635</v>
      </c>
      <c r="F117" s="45">
        <v>-2847</v>
      </c>
      <c r="G117" s="45">
        <v>-902</v>
      </c>
      <c r="H117" s="47">
        <v>0.67988380000000004</v>
      </c>
      <c r="I117" s="48">
        <v>554521800</v>
      </c>
      <c r="J117" s="47">
        <v>7.7426960000000003E-2</v>
      </c>
      <c r="K117" s="48">
        <v>24495630</v>
      </c>
      <c r="L117" s="47">
        <v>7.8114349999999999E-2</v>
      </c>
      <c r="M117" s="49">
        <v>4.4174320000000003E-2</v>
      </c>
      <c r="N117" s="49">
        <v>2.5147320000000001E-2</v>
      </c>
      <c r="O117" s="45">
        <v>11</v>
      </c>
      <c r="P117" s="45">
        <v>-5</v>
      </c>
      <c r="Q117" s="45">
        <v>14</v>
      </c>
      <c r="R117" s="48">
        <v>1.4999999999999999E-8</v>
      </c>
      <c r="S117" s="48">
        <f t="shared" si="5"/>
        <v>815612609.09584844</v>
      </c>
      <c r="T117" s="50">
        <f t="shared" si="6"/>
        <v>0.90894658050064248</v>
      </c>
      <c r="U117" s="47">
        <f t="shared" si="7"/>
        <v>0.256323166451633</v>
      </c>
      <c r="V117" s="51">
        <f t="shared" si="8"/>
        <v>-4.1325818158168826</v>
      </c>
      <c r="W117" s="51">
        <f t="shared" si="9"/>
        <v>2.5147320000000001E-2</v>
      </c>
      <c r="X117" s="16" t="s">
        <v>944</v>
      </c>
    </row>
    <row r="118" spans="1:24" x14ac:dyDescent="0.35">
      <c r="A118" s="16" t="s">
        <v>505</v>
      </c>
      <c r="B118" s="44">
        <v>44854</v>
      </c>
      <c r="C118" s="45">
        <v>20</v>
      </c>
      <c r="D118" s="46">
        <v>44854.604166666664</v>
      </c>
      <c r="E118" s="47">
        <v>47.349999999976717</v>
      </c>
      <c r="F118" s="45">
        <v>-2622</v>
      </c>
      <c r="G118" s="45">
        <v>-17</v>
      </c>
      <c r="H118" s="47">
        <v>0.5213276</v>
      </c>
      <c r="I118" s="48">
        <v>530687600</v>
      </c>
      <c r="J118" s="47">
        <v>7.8406459999999997E-2</v>
      </c>
      <c r="K118" s="48">
        <v>23423260</v>
      </c>
      <c r="L118" s="47">
        <v>7.6846330000000004E-2</v>
      </c>
      <c r="M118" s="49">
        <v>4.4137570000000001E-2</v>
      </c>
      <c r="N118" s="49">
        <v>2.548541E-2</v>
      </c>
      <c r="O118" s="45">
        <v>16</v>
      </c>
      <c r="P118" s="45">
        <v>14</v>
      </c>
      <c r="Q118" s="45">
        <v>25</v>
      </c>
      <c r="R118" s="48">
        <v>1.4999999999999999E-8</v>
      </c>
      <c r="S118" s="48">
        <f t="shared" si="5"/>
        <v>1017954161.6442329</v>
      </c>
      <c r="T118" s="50">
        <f t="shared" si="6"/>
        <v>1.1344429254945336</v>
      </c>
      <c r="U118" s="47">
        <f t="shared" si="7"/>
        <v>-0.57582138894551882</v>
      </c>
      <c r="V118" s="51">
        <f t="shared" si="8"/>
        <v>-4.9610751037333367</v>
      </c>
      <c r="W118" s="51">
        <f t="shared" si="9"/>
        <v>2.548541E-2</v>
      </c>
      <c r="X118" s="16" t="s">
        <v>943</v>
      </c>
    </row>
    <row r="119" spans="1:24" x14ac:dyDescent="0.35">
      <c r="A119" s="16" t="s">
        <v>506</v>
      </c>
      <c r="B119" s="44">
        <v>44854</v>
      </c>
      <c r="C119" s="45">
        <v>20</v>
      </c>
      <c r="D119" s="46">
        <v>44854.60833333333</v>
      </c>
      <c r="E119" s="47">
        <v>47.449999999953434</v>
      </c>
      <c r="F119" s="45">
        <v>56</v>
      </c>
      <c r="G119" s="45">
        <v>-5335</v>
      </c>
      <c r="H119" s="47">
        <v>0.56153689999999989</v>
      </c>
      <c r="I119" s="48">
        <v>517355700</v>
      </c>
      <c r="J119" s="47">
        <v>9.1729770000000002E-2</v>
      </c>
      <c r="K119" s="48">
        <v>22832640</v>
      </c>
      <c r="L119" s="47">
        <v>9.1451359999999995E-2</v>
      </c>
      <c r="M119" s="49">
        <v>4.4133350000000002E-2</v>
      </c>
      <c r="N119" s="49">
        <v>2.4101830000000001E-2</v>
      </c>
      <c r="O119" s="61">
        <v>64</v>
      </c>
      <c r="P119" s="45">
        <v>40</v>
      </c>
      <c r="Q119" s="45">
        <v>-15</v>
      </c>
      <c r="R119" s="48">
        <v>1.4999999999999999E-8</v>
      </c>
      <c r="S119" s="48">
        <f t="shared" si="5"/>
        <v>921320931.89245462</v>
      </c>
      <c r="T119" s="47">
        <f t="shared" si="6"/>
        <v>1.0267515499982902</v>
      </c>
      <c r="U119" s="47">
        <f t="shared" si="7"/>
        <v>-0.67137649163329094</v>
      </c>
      <c r="V119" s="51">
        <f t="shared" si="8"/>
        <v>-5.0562109316246717</v>
      </c>
      <c r="W119" s="51">
        <f t="shared" si="9"/>
        <v>2.4101830000000001E-2</v>
      </c>
    </row>
    <row r="120" spans="1:24" x14ac:dyDescent="0.35">
      <c r="A120" s="52" t="s">
        <v>507</v>
      </c>
      <c r="B120" s="53">
        <v>44854</v>
      </c>
      <c r="C120" s="54">
        <v>20</v>
      </c>
      <c r="D120" s="55">
        <v>44854.615972222222</v>
      </c>
      <c r="E120" s="56">
        <v>47.633333333360497</v>
      </c>
      <c r="F120" s="54">
        <v>64</v>
      </c>
      <c r="G120" s="54">
        <v>-4492</v>
      </c>
      <c r="H120" s="56">
        <v>0.51341600000000009</v>
      </c>
      <c r="I120" s="57">
        <v>528048200</v>
      </c>
      <c r="J120" s="56">
        <v>0.1134913</v>
      </c>
      <c r="K120" s="57">
        <v>23324390</v>
      </c>
      <c r="L120" s="56">
        <v>0.11389970000000001</v>
      </c>
      <c r="M120" s="58">
        <v>4.4170939999999999E-2</v>
      </c>
      <c r="N120" s="58">
        <v>2.3845870000000002E-2</v>
      </c>
      <c r="O120" s="54">
        <v>-4</v>
      </c>
      <c r="P120" s="54">
        <v>-5</v>
      </c>
      <c r="Q120" s="54">
        <v>1</v>
      </c>
      <c r="R120" s="57">
        <v>1.4999999999999999E-8</v>
      </c>
      <c r="S120" s="57">
        <f t="shared" si="5"/>
        <v>1028499696.1528271</v>
      </c>
      <c r="T120" s="60">
        <f t="shared" si="6"/>
        <v>1.1461952297431941</v>
      </c>
      <c r="U120" s="56">
        <f t="shared" si="7"/>
        <v>0.17978851074418323</v>
      </c>
      <c r="V120" s="59">
        <f t="shared" si="8"/>
        <v>-4.2087806542703277</v>
      </c>
      <c r="W120" s="59">
        <f t="shared" si="9"/>
        <v>2.3845870000000002E-2</v>
      </c>
      <c r="X120" s="52" t="s">
        <v>947</v>
      </c>
    </row>
    <row r="121" spans="1:24" x14ac:dyDescent="0.35">
      <c r="A121" s="16" t="s">
        <v>509</v>
      </c>
      <c r="B121" s="44">
        <v>44854</v>
      </c>
      <c r="C121" s="45">
        <v>20</v>
      </c>
      <c r="D121" s="46">
        <v>44854.630555555559</v>
      </c>
      <c r="E121" s="47">
        <v>47.983333333453629</v>
      </c>
      <c r="F121" s="45">
        <v>790</v>
      </c>
      <c r="G121" s="45">
        <v>352</v>
      </c>
      <c r="H121" s="47">
        <v>0.58321880000000004</v>
      </c>
      <c r="I121" s="48">
        <v>519551600</v>
      </c>
      <c r="J121" s="47">
        <v>0.19492010000000001</v>
      </c>
      <c r="K121" s="48">
        <v>22943580</v>
      </c>
      <c r="L121" s="47">
        <v>0.19537760000000001</v>
      </c>
      <c r="M121" s="49">
        <v>4.4160329999999998E-2</v>
      </c>
      <c r="N121" s="49">
        <v>2.4043780000000001E-2</v>
      </c>
      <c r="O121" s="45">
        <v>-3</v>
      </c>
      <c r="P121" s="45">
        <v>-10</v>
      </c>
      <c r="Q121" s="45">
        <v>61</v>
      </c>
      <c r="R121" s="48">
        <v>9.3999999999999998E-9</v>
      </c>
      <c r="S121" s="48">
        <f t="shared" si="5"/>
        <v>890834794.76313174</v>
      </c>
      <c r="T121" s="47">
        <f t="shared" si="6"/>
        <v>0.99277675634338325</v>
      </c>
      <c r="U121" s="47">
        <f t="shared" si="7"/>
        <v>-6.0457849330952662E-2</v>
      </c>
      <c r="V121" s="51">
        <f t="shared" si="8"/>
        <v>-4.447972866101324</v>
      </c>
      <c r="W121" s="51">
        <f t="shared" si="9"/>
        <v>2.4043780000000001E-2</v>
      </c>
    </row>
    <row r="122" spans="1:24" x14ac:dyDescent="0.35">
      <c r="A122" s="16" t="s">
        <v>510</v>
      </c>
      <c r="B122" s="44">
        <v>44854</v>
      </c>
      <c r="C122" s="45">
        <v>20</v>
      </c>
      <c r="D122" s="46">
        <v>44854.633333333331</v>
      </c>
      <c r="E122" s="47">
        <v>48.049999999988358</v>
      </c>
      <c r="F122" s="45">
        <v>828</v>
      </c>
      <c r="G122" s="45">
        <v>290</v>
      </c>
      <c r="H122" s="47">
        <v>0.5903621</v>
      </c>
      <c r="I122" s="48">
        <v>509644300</v>
      </c>
      <c r="J122" s="47">
        <v>0.19468540000000001</v>
      </c>
      <c r="K122" s="48">
        <v>22490070</v>
      </c>
      <c r="L122" s="47">
        <v>0.19612019999999999</v>
      </c>
      <c r="M122" s="49">
        <v>4.4128929999999997E-2</v>
      </c>
      <c r="N122" s="49">
        <v>3.7356310000000004E-2</v>
      </c>
      <c r="O122" s="45">
        <v>-4</v>
      </c>
      <c r="P122" s="45">
        <v>-9</v>
      </c>
      <c r="Q122" s="45">
        <v>55</v>
      </c>
      <c r="R122" s="48">
        <v>9.1000000000000004E-9</v>
      </c>
      <c r="S122" s="48">
        <f t="shared" si="5"/>
        <v>863274082.12688446</v>
      </c>
      <c r="T122" s="47">
        <f t="shared" si="6"/>
        <v>0.96206215577504672</v>
      </c>
      <c r="U122" s="47">
        <f t="shared" si="7"/>
        <v>-0.77146027217367408</v>
      </c>
      <c r="V122" s="51">
        <f t="shared" si="8"/>
        <v>-5.1558555665252026</v>
      </c>
      <c r="W122" s="51">
        <f t="shared" si="9"/>
        <v>3.7356310000000004E-2</v>
      </c>
    </row>
    <row r="123" spans="1:24" x14ac:dyDescent="0.35">
      <c r="A123" s="16" t="s">
        <v>511</v>
      </c>
      <c r="B123" s="44">
        <v>44854</v>
      </c>
      <c r="C123" s="45">
        <v>20</v>
      </c>
      <c r="D123" s="46">
        <v>44854.636111111111</v>
      </c>
      <c r="E123" s="47">
        <v>48.116666666697711</v>
      </c>
      <c r="F123" s="45">
        <v>984</v>
      </c>
      <c r="G123" s="45">
        <v>-15</v>
      </c>
      <c r="H123" s="47">
        <v>0.57790839999999999</v>
      </c>
      <c r="I123" s="48">
        <v>508335500</v>
      </c>
      <c r="J123" s="47">
        <v>0.20586850000000001</v>
      </c>
      <c r="K123" s="48">
        <v>22428060</v>
      </c>
      <c r="L123" s="47">
        <v>0.20733099999999999</v>
      </c>
      <c r="M123" s="49">
        <v>4.4120550000000001E-2</v>
      </c>
      <c r="N123" s="49">
        <v>2.7837780000000003E-2</v>
      </c>
      <c r="O123" s="45">
        <v>-4</v>
      </c>
      <c r="P123" s="45">
        <v>-10</v>
      </c>
      <c r="Q123" s="45">
        <v>57</v>
      </c>
      <c r="R123" s="48">
        <v>9.1000000000000004E-9</v>
      </c>
      <c r="S123" s="48">
        <f t="shared" si="5"/>
        <v>879612582.20160842</v>
      </c>
      <c r="T123" s="47">
        <f t="shared" si="6"/>
        <v>0.98027033893431981</v>
      </c>
      <c r="U123" s="47">
        <f t="shared" si="7"/>
        <v>-0.96121187419329068</v>
      </c>
      <c r="V123" s="51">
        <f t="shared" si="8"/>
        <v>-5.3447745802049917</v>
      </c>
      <c r="W123" s="51">
        <f t="shared" si="9"/>
        <v>2.7837780000000003E-2</v>
      </c>
    </row>
    <row r="124" spans="1:24" x14ac:dyDescent="0.35">
      <c r="A124" s="16" t="s">
        <v>512</v>
      </c>
      <c r="B124" s="44">
        <v>44854</v>
      </c>
      <c r="C124" s="45">
        <v>20</v>
      </c>
      <c r="D124" s="46">
        <v>44854.638888888891</v>
      </c>
      <c r="E124" s="47">
        <v>48.183333333407063</v>
      </c>
      <c r="F124" s="45">
        <v>1021</v>
      </c>
      <c r="G124" s="45">
        <v>380</v>
      </c>
      <c r="H124" s="47">
        <v>0.58192319999999997</v>
      </c>
      <c r="I124" s="48">
        <v>525531100</v>
      </c>
      <c r="J124" s="47">
        <v>0.18447569999999999</v>
      </c>
      <c r="K124" s="48">
        <v>23191630</v>
      </c>
      <c r="L124" s="47">
        <v>0.18585589999999999</v>
      </c>
      <c r="M124" s="49">
        <v>4.412986E-2</v>
      </c>
      <c r="N124" s="49">
        <v>2.6069690000000003E-2</v>
      </c>
      <c r="O124" s="45">
        <v>4</v>
      </c>
      <c r="P124" s="45">
        <v>-14</v>
      </c>
      <c r="Q124" s="45">
        <v>36</v>
      </c>
      <c r="R124" s="48">
        <v>8.9000000000000003E-9</v>
      </c>
      <c r="S124" s="48">
        <f t="shared" si="5"/>
        <v>903093569.7356627</v>
      </c>
      <c r="T124" s="47">
        <f t="shared" si="6"/>
        <v>1.0064383543473192</v>
      </c>
      <c r="U124" s="47">
        <f t="shared" si="7"/>
        <v>-0.75040192015940477</v>
      </c>
      <c r="V124" s="51">
        <f t="shared" si="8"/>
        <v>-5.1348896139328248</v>
      </c>
      <c r="W124" s="51">
        <f t="shared" si="9"/>
        <v>2.6069690000000003E-2</v>
      </c>
    </row>
    <row r="125" spans="1:24" x14ac:dyDescent="0.35">
      <c r="A125" s="16" t="s">
        <v>513</v>
      </c>
      <c r="B125" s="44">
        <v>44854</v>
      </c>
      <c r="C125" s="45">
        <v>20</v>
      </c>
      <c r="D125" s="46">
        <v>44854.64166666667</v>
      </c>
      <c r="E125" s="47">
        <v>48.250000000116415</v>
      </c>
      <c r="F125" s="45">
        <v>867</v>
      </c>
      <c r="G125" s="45">
        <v>559</v>
      </c>
      <c r="H125" s="47">
        <v>0.58707009999999993</v>
      </c>
      <c r="I125" s="48">
        <v>526249600</v>
      </c>
      <c r="J125" s="47">
        <v>0.1932652</v>
      </c>
      <c r="K125" s="48">
        <v>23240450</v>
      </c>
      <c r="L125" s="47">
        <v>0.1945769</v>
      </c>
      <c r="M125" s="49">
        <v>4.4162380000000001E-2</v>
      </c>
      <c r="N125" s="49">
        <v>2.3888980000000001E-2</v>
      </c>
      <c r="O125" s="45">
        <v>-1</v>
      </c>
      <c r="P125" s="45">
        <v>-11</v>
      </c>
      <c r="Q125" s="45">
        <v>54</v>
      </c>
      <c r="R125" s="48">
        <v>8.7999999999999994E-9</v>
      </c>
      <c r="S125" s="48">
        <f t="shared" si="5"/>
        <v>896399935.88499916</v>
      </c>
      <c r="T125" s="47">
        <f t="shared" si="6"/>
        <v>0.99897873990311814</v>
      </c>
      <c r="U125" s="47">
        <f t="shared" si="7"/>
        <v>-1.4038901342772192E-2</v>
      </c>
      <c r="V125" s="51">
        <f t="shared" si="8"/>
        <v>-4.4017575942583154</v>
      </c>
      <c r="W125" s="51">
        <f t="shared" si="9"/>
        <v>2.3888980000000001E-2</v>
      </c>
    </row>
    <row r="126" spans="1:24" x14ac:dyDescent="0.35">
      <c r="A126" s="16" t="s">
        <v>514</v>
      </c>
      <c r="B126" s="44">
        <v>44854</v>
      </c>
      <c r="C126" s="45">
        <v>20</v>
      </c>
      <c r="D126" s="46">
        <v>44854.644444444442</v>
      </c>
      <c r="E126" s="47">
        <v>48.316666666651145</v>
      </c>
      <c r="F126" s="45">
        <v>353</v>
      </c>
      <c r="G126" s="45">
        <v>577</v>
      </c>
      <c r="H126" s="47">
        <v>0.56465049999999994</v>
      </c>
      <c r="I126" s="48">
        <v>521852700</v>
      </c>
      <c r="J126" s="47">
        <v>0.1723604</v>
      </c>
      <c r="K126" s="48">
        <v>23028520</v>
      </c>
      <c r="L126" s="47">
        <v>0.17284240000000001</v>
      </c>
      <c r="M126" s="49">
        <v>4.4128390000000003E-2</v>
      </c>
      <c r="N126" s="49">
        <v>2.5347389999999997E-2</v>
      </c>
      <c r="O126" s="45">
        <v>-6</v>
      </c>
      <c r="P126" s="45">
        <v>-6</v>
      </c>
      <c r="Q126" s="45">
        <v>59</v>
      </c>
      <c r="R126" s="48">
        <v>8.7000000000000001E-9</v>
      </c>
      <c r="S126" s="48">
        <f t="shared" si="5"/>
        <v>924204795.70991266</v>
      </c>
      <c r="T126" s="47">
        <f t="shared" si="6"/>
        <v>1.0299654264468334</v>
      </c>
      <c r="U126" s="47">
        <f t="shared" si="7"/>
        <v>-0.78368770237524643</v>
      </c>
      <c r="V126" s="51">
        <f t="shared" si="8"/>
        <v>-5.1680293454494652</v>
      </c>
      <c r="W126" s="51">
        <f t="shared" si="9"/>
        <v>2.5347389999999997E-2</v>
      </c>
    </row>
    <row r="127" spans="1:24" x14ac:dyDescent="0.35">
      <c r="A127" s="16" t="s">
        <v>515</v>
      </c>
      <c r="B127" s="44">
        <v>44854</v>
      </c>
      <c r="C127" s="45">
        <v>20</v>
      </c>
      <c r="D127" s="46">
        <v>44854.647222222222</v>
      </c>
      <c r="E127" s="47">
        <v>48.383333333360497</v>
      </c>
      <c r="F127" s="45">
        <v>390</v>
      </c>
      <c r="G127" s="45">
        <v>579</v>
      </c>
      <c r="H127" s="47">
        <v>0.56683630000000007</v>
      </c>
      <c r="I127" s="48">
        <v>518161400</v>
      </c>
      <c r="J127" s="47">
        <v>0.20321539999999999</v>
      </c>
      <c r="K127" s="48">
        <v>22873290</v>
      </c>
      <c r="L127" s="47">
        <v>0.20409369999999999</v>
      </c>
      <c r="M127" s="49">
        <v>4.4143160000000001E-2</v>
      </c>
      <c r="N127" s="49">
        <v>2.640994E-2</v>
      </c>
      <c r="O127" s="45">
        <v>-4</v>
      </c>
      <c r="P127" s="45">
        <v>-6</v>
      </c>
      <c r="Q127" s="45">
        <v>45</v>
      </c>
      <c r="R127" s="48">
        <v>8.5E-9</v>
      </c>
      <c r="S127" s="48">
        <f t="shared" si="5"/>
        <v>914128823.43632531</v>
      </c>
      <c r="T127" s="47">
        <f t="shared" si="6"/>
        <v>1.0187364184089989</v>
      </c>
      <c r="U127" s="47">
        <f t="shared" si="7"/>
        <v>-0.44924484296804401</v>
      </c>
      <c r="V127" s="51">
        <f t="shared" si="8"/>
        <v>-4.8350539478297927</v>
      </c>
      <c r="W127" s="51">
        <f t="shared" si="9"/>
        <v>2.640994E-2</v>
      </c>
    </row>
    <row r="128" spans="1:24" x14ac:dyDescent="0.35">
      <c r="A128" s="16" t="s">
        <v>516</v>
      </c>
      <c r="B128" s="44">
        <v>44854</v>
      </c>
      <c r="C128" s="45">
        <v>20</v>
      </c>
      <c r="D128" s="46">
        <v>44854.658333333333</v>
      </c>
      <c r="E128" s="47">
        <v>48.650000000023283</v>
      </c>
      <c r="F128" s="45">
        <v>-983</v>
      </c>
      <c r="G128" s="45">
        <v>-7540</v>
      </c>
      <c r="H128" s="47">
        <v>0.43847660000000005</v>
      </c>
      <c r="I128" s="48">
        <v>484638600</v>
      </c>
      <c r="J128" s="47">
        <v>0.26214270000000001</v>
      </c>
      <c r="K128" s="48">
        <v>21414880</v>
      </c>
      <c r="L128" s="47">
        <v>0.26351629999999998</v>
      </c>
      <c r="M128" s="49">
        <v>4.4187280000000002E-2</v>
      </c>
      <c r="N128" s="49">
        <v>3.3425789999999997E-2</v>
      </c>
      <c r="O128" s="45">
        <v>2</v>
      </c>
      <c r="P128" s="45">
        <v>-19</v>
      </c>
      <c r="Q128" s="45">
        <v>45</v>
      </c>
      <c r="R128" s="48">
        <v>8.2999999999999999E-9</v>
      </c>
      <c r="S128" s="48">
        <f t="shared" si="5"/>
        <v>1105278137.9895756</v>
      </c>
      <c r="T128" s="50">
        <f t="shared" si="6"/>
        <v>1.231759750675556</v>
      </c>
      <c r="U128" s="47">
        <f t="shared" si="7"/>
        <v>0.54978149129358833</v>
      </c>
      <c r="V128" s="51">
        <f t="shared" si="8"/>
        <v>-3.8404111216293613</v>
      </c>
      <c r="W128" s="51">
        <f t="shared" si="9"/>
        <v>3.3425789999999997E-2</v>
      </c>
      <c r="X128" s="16" t="s">
        <v>943</v>
      </c>
    </row>
    <row r="129" spans="1:24" x14ac:dyDescent="0.35">
      <c r="A129" s="16" t="s">
        <v>517</v>
      </c>
      <c r="B129" s="44">
        <v>44854</v>
      </c>
      <c r="C129" s="45">
        <v>20</v>
      </c>
      <c r="D129" s="46">
        <v>44854.661805555559</v>
      </c>
      <c r="E129" s="47">
        <v>48.733333333453629</v>
      </c>
      <c r="F129" s="45">
        <v>-979</v>
      </c>
      <c r="G129" s="45">
        <v>-7568</v>
      </c>
      <c r="H129" s="47">
        <v>0.4393301</v>
      </c>
      <c r="I129" s="48">
        <v>479098900</v>
      </c>
      <c r="J129" s="47">
        <v>0.2433901</v>
      </c>
      <c r="K129" s="48">
        <v>21168540</v>
      </c>
      <c r="L129" s="47">
        <v>0.24413409999999999</v>
      </c>
      <c r="M129" s="49">
        <v>4.4184059999999997E-2</v>
      </c>
      <c r="N129" s="49">
        <v>2.5034310000000001E-2</v>
      </c>
      <c r="O129" s="45">
        <v>1</v>
      </c>
      <c r="P129" s="45">
        <v>-18</v>
      </c>
      <c r="Q129" s="45">
        <v>47</v>
      </c>
      <c r="R129" s="48">
        <v>8.2000000000000006E-9</v>
      </c>
      <c r="S129" s="48">
        <f t="shared" si="5"/>
        <v>1090521455.279299</v>
      </c>
      <c r="T129" s="50">
        <f t="shared" si="6"/>
        <v>1.2153143988756274</v>
      </c>
      <c r="U129" s="47">
        <f t="shared" si="7"/>
        <v>0.47686977786831619</v>
      </c>
      <c r="V129" s="51">
        <f t="shared" si="8"/>
        <v>-3.9130029144753831</v>
      </c>
      <c r="W129" s="51">
        <f t="shared" si="9"/>
        <v>2.5034310000000001E-2</v>
      </c>
      <c r="X129" s="16" t="s">
        <v>943</v>
      </c>
    </row>
    <row r="130" spans="1:24" x14ac:dyDescent="0.35">
      <c r="A130" s="16" t="s">
        <v>518</v>
      </c>
      <c r="B130" s="44">
        <v>44854</v>
      </c>
      <c r="C130" s="45">
        <v>20</v>
      </c>
      <c r="D130" s="46">
        <v>44854.664583333331</v>
      </c>
      <c r="E130" s="47">
        <v>48.799999999988358</v>
      </c>
      <c r="F130" s="45">
        <v>-457</v>
      </c>
      <c r="G130" s="45">
        <v>-7617</v>
      </c>
      <c r="H130" s="47">
        <v>0.28954749999999996</v>
      </c>
      <c r="I130" s="48">
        <v>425893700</v>
      </c>
      <c r="J130" s="47">
        <v>0.2533743</v>
      </c>
      <c r="K130" s="48">
        <v>18818480</v>
      </c>
      <c r="L130" s="47">
        <v>0.25495030000000002</v>
      </c>
      <c r="M130" s="49">
        <v>4.4185820000000001E-2</v>
      </c>
      <c r="N130" s="49">
        <v>3.5966079999999997E-2</v>
      </c>
      <c r="O130" s="45">
        <v>-3</v>
      </c>
      <c r="P130" s="45">
        <v>-9</v>
      </c>
      <c r="Q130" s="45">
        <v>84</v>
      </c>
      <c r="R130" s="48">
        <v>8.0000000000000005E-9</v>
      </c>
      <c r="S130" s="48">
        <f t="shared" si="5"/>
        <v>1470894067.4673414</v>
      </c>
      <c r="T130" s="50">
        <f t="shared" si="6"/>
        <v>1.6392146442969044</v>
      </c>
      <c r="U130" s="47">
        <f t="shared" si="7"/>
        <v>0.51672214297027175</v>
      </c>
      <c r="V130" s="51">
        <f t="shared" si="8"/>
        <v>-3.873325412795614</v>
      </c>
      <c r="W130" s="51">
        <f t="shared" si="9"/>
        <v>3.5966079999999997E-2</v>
      </c>
      <c r="X130" s="16" t="s">
        <v>943</v>
      </c>
    </row>
    <row r="131" spans="1:24" x14ac:dyDescent="0.35">
      <c r="A131" s="16" t="s">
        <v>519</v>
      </c>
      <c r="B131" s="44">
        <v>44854</v>
      </c>
      <c r="C131" s="45">
        <v>20</v>
      </c>
      <c r="D131" s="46">
        <v>44854.667361111111</v>
      </c>
      <c r="E131" s="47">
        <v>48.866666666697711</v>
      </c>
      <c r="F131" s="45">
        <v>872</v>
      </c>
      <c r="G131" s="45">
        <v>-7998</v>
      </c>
      <c r="H131" s="47">
        <v>0.39799419999999996</v>
      </c>
      <c r="I131" s="48">
        <v>480904900</v>
      </c>
      <c r="J131" s="47">
        <v>0.2532123</v>
      </c>
      <c r="K131" s="48">
        <v>21233340</v>
      </c>
      <c r="L131" s="47">
        <v>0.25544549999999999</v>
      </c>
      <c r="M131" s="49">
        <v>4.4152839999999999E-2</v>
      </c>
      <c r="N131" s="49">
        <v>3.2671989999999998E-2</v>
      </c>
      <c r="O131" s="61">
        <v>67</v>
      </c>
      <c r="P131" s="45">
        <v>9</v>
      </c>
      <c r="Q131" s="45">
        <v>31</v>
      </c>
      <c r="R131" s="48">
        <v>8.0999999999999997E-9</v>
      </c>
      <c r="S131" s="48">
        <f t="shared" si="5"/>
        <v>1208321377.547713</v>
      </c>
      <c r="T131" s="50">
        <f t="shared" si="6"/>
        <v>1.3465946602828336</v>
      </c>
      <c r="U131" s="47">
        <f t="shared" si="7"/>
        <v>-0.23005683490706641</v>
      </c>
      <c r="V131" s="51">
        <f t="shared" si="8"/>
        <v>-4.6168276885909521</v>
      </c>
      <c r="W131" s="51">
        <f t="shared" si="9"/>
        <v>3.2671989999999998E-2</v>
      </c>
      <c r="X131" s="16" t="s">
        <v>947</v>
      </c>
    </row>
    <row r="132" spans="1:24" x14ac:dyDescent="0.35">
      <c r="A132" s="16" t="s">
        <v>520</v>
      </c>
      <c r="B132" s="44">
        <v>44854</v>
      </c>
      <c r="C132" s="45">
        <v>20</v>
      </c>
      <c r="D132" s="46">
        <v>44854.670138888891</v>
      </c>
      <c r="E132" s="47">
        <v>48.933333333407063</v>
      </c>
      <c r="F132" s="45">
        <v>903</v>
      </c>
      <c r="G132" s="45">
        <v>-7974</v>
      </c>
      <c r="H132" s="47">
        <v>0.40678510000000001</v>
      </c>
      <c r="I132" s="48">
        <v>409423300</v>
      </c>
      <c r="J132" s="47">
        <v>0.15701029999999999</v>
      </c>
      <c r="K132" s="48">
        <v>18093700</v>
      </c>
      <c r="L132" s="47">
        <v>0.15720310000000001</v>
      </c>
      <c r="M132" s="49">
        <v>4.4193139999999999E-2</v>
      </c>
      <c r="N132" s="49">
        <v>2.7262089999999999E-2</v>
      </c>
      <c r="O132" s="61">
        <v>66</v>
      </c>
      <c r="P132" s="45">
        <v>6</v>
      </c>
      <c r="Q132" s="45">
        <v>34</v>
      </c>
      <c r="R132" s="48">
        <v>8.0000000000000005E-9</v>
      </c>
      <c r="S132" s="48">
        <f t="shared" si="5"/>
        <v>1006485488.283617</v>
      </c>
      <c r="T132" s="50">
        <f t="shared" si="6"/>
        <v>1.1216618437435211</v>
      </c>
      <c r="U132" s="47">
        <f t="shared" si="7"/>
        <v>0.68247175237190483</v>
      </c>
      <c r="V132" s="51">
        <f t="shared" si="8"/>
        <v>-3.7083030762635749</v>
      </c>
      <c r="W132" s="51">
        <f t="shared" si="9"/>
        <v>2.7262089999999999E-2</v>
      </c>
      <c r="X132" s="16" t="s">
        <v>947</v>
      </c>
    </row>
    <row r="133" spans="1:24" x14ac:dyDescent="0.35">
      <c r="A133" s="16" t="s">
        <v>521</v>
      </c>
      <c r="B133" s="44">
        <v>44854</v>
      </c>
      <c r="C133" s="45">
        <v>20</v>
      </c>
      <c r="D133" s="46">
        <v>44854.67291666667</v>
      </c>
      <c r="E133" s="47">
        <v>49.000000000116415</v>
      </c>
      <c r="F133" s="45">
        <v>966</v>
      </c>
      <c r="G133" s="45">
        <v>-7998</v>
      </c>
      <c r="H133" s="47">
        <v>0.39803099999999997</v>
      </c>
      <c r="I133" s="48">
        <v>469757900</v>
      </c>
      <c r="J133" s="47">
        <v>0.27495989999999998</v>
      </c>
      <c r="K133" s="48">
        <v>20735680</v>
      </c>
      <c r="L133" s="47">
        <v>0.276619</v>
      </c>
      <c r="M133" s="49">
        <v>4.414117E-2</v>
      </c>
      <c r="N133" s="49">
        <v>3.8030460000000002E-2</v>
      </c>
      <c r="O133" s="61">
        <v>69</v>
      </c>
      <c r="P133" s="45">
        <v>9</v>
      </c>
      <c r="Q133" s="45">
        <v>33</v>
      </c>
      <c r="R133" s="48">
        <v>8.0999999999999997E-9</v>
      </c>
      <c r="S133" s="48">
        <f t="shared" si="5"/>
        <v>1180204305.6947827</v>
      </c>
      <c r="T133" s="50">
        <f t="shared" si="6"/>
        <v>1.3152600339793694</v>
      </c>
      <c r="U133" s="47">
        <f t="shared" si="7"/>
        <v>-0.49430518760051889</v>
      </c>
      <c r="V133" s="51">
        <f t="shared" si="8"/>
        <v>-4.8799165775700315</v>
      </c>
      <c r="W133" s="51">
        <f t="shared" si="9"/>
        <v>3.8030460000000002E-2</v>
      </c>
      <c r="X133" s="16" t="s">
        <v>947</v>
      </c>
    </row>
    <row r="134" spans="1:24" x14ac:dyDescent="0.35">
      <c r="A134" s="16" t="s">
        <v>522</v>
      </c>
      <c r="B134" s="44">
        <v>44854</v>
      </c>
      <c r="C134" s="45">
        <v>20</v>
      </c>
      <c r="D134" s="46">
        <v>44854.675694444442</v>
      </c>
      <c r="E134" s="47">
        <v>49.066666666651145</v>
      </c>
      <c r="F134" s="45">
        <v>945</v>
      </c>
      <c r="G134" s="45">
        <v>-7999</v>
      </c>
      <c r="H134" s="47">
        <v>0.39044489999999998</v>
      </c>
      <c r="I134" s="48">
        <v>479464600</v>
      </c>
      <c r="J134" s="47">
        <v>0.20816009999999999</v>
      </c>
      <c r="K134" s="48">
        <v>21183510</v>
      </c>
      <c r="L134" s="47">
        <v>0.20811660000000001</v>
      </c>
      <c r="M134" s="49">
        <v>4.4181600000000001E-2</v>
      </c>
      <c r="N134" s="49">
        <v>2.9009069999999998E-2</v>
      </c>
      <c r="O134" s="61">
        <v>70</v>
      </c>
      <c r="P134" s="45">
        <v>7</v>
      </c>
      <c r="Q134" s="45">
        <v>31</v>
      </c>
      <c r="R134" s="48">
        <v>8.0000000000000005E-9</v>
      </c>
      <c r="S134" s="48">
        <f t="shared" si="5"/>
        <v>1227995550.7166312</v>
      </c>
      <c r="T134" s="50">
        <f t="shared" si="6"/>
        <v>1.3685202315977372</v>
      </c>
      <c r="U134" s="47">
        <f t="shared" si="7"/>
        <v>0.42116704028249963</v>
      </c>
      <c r="V134" s="51">
        <f>(((1+U134/1000)/(1+$D$3/1000))-1)*1000</f>
        <v>-3.9684612406869491</v>
      </c>
      <c r="W134" s="51">
        <f t="shared" si="9"/>
        <v>2.9009069999999998E-2</v>
      </c>
      <c r="X134" s="16" t="s">
        <v>947</v>
      </c>
    </row>
    <row r="138" spans="1:24" x14ac:dyDescent="0.35">
      <c r="B138" s="62" t="s">
        <v>948</v>
      </c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</row>
    <row r="139" spans="1:24" x14ac:dyDescent="0.35">
      <c r="B139" s="62" t="s">
        <v>949</v>
      </c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</row>
  </sheetData>
  <mergeCells count="3">
    <mergeCell ref="A6:A7"/>
    <mergeCell ref="B6:B7"/>
    <mergeCell ref="C6:C7"/>
  </mergeCells>
  <hyperlinks>
    <hyperlink ref="A73" r:id="rId1" xr:uid="{4CA63A2B-C072-47A9-8C5A-71A55681A38F}"/>
    <hyperlink ref="A75" r:id="rId2" display="39R1046@2" xr:uid="{BEC0042F-54F7-4361-BB06-B35A2B5B72DD}"/>
    <hyperlink ref="A77" r:id="rId3" display="39R1046@2" xr:uid="{C09B1AC7-5063-43D9-BDBC-079060EEBF8E}"/>
    <hyperlink ref="A79" r:id="rId4" display="39R1046@2" xr:uid="{D8A5221B-DF64-4F9B-B724-871A79498CB8}"/>
    <hyperlink ref="A81" r:id="rId5" display="39R1046@2" xr:uid="{0AC81FEF-0F93-4FF5-876F-DA1D0C3E68CC}"/>
    <hyperlink ref="A83" r:id="rId6" display="39R1046@2" xr:uid="{3A55C70A-E14E-47D1-88B2-290B4C78F4B8}"/>
  </hyperlinks>
  <pageMargins left="0.7" right="0.7" top="0.78740157499999996" bottom="0.78740157499999996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D1872-DF9B-4A24-9487-B74D1DD5B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Coupled LA-ICP-MS and SIMS data</vt:lpstr>
      <vt:lpstr>LA-ICP-MS data LOD</vt:lpstr>
      <vt:lpstr>Additional LA-ICP-MS data</vt:lpstr>
      <vt:lpstr>Pyrite  EPMA Data</vt:lpstr>
      <vt:lpstr>Native S Data</vt:lpstr>
      <vt:lpstr>Standards EPMA</vt:lpstr>
      <vt:lpstr>Standards LA-ICP-MS</vt:lpstr>
      <vt:lpstr>Standard LA-ICP-MS mapping</vt:lpstr>
      <vt:lpstr>SIMS raw data</vt:lpstr>
      <vt:lpstr>SIMS calibration</vt:lpstr>
      <vt:lpstr>SIMS d34S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Falk</dc:creator>
  <cp:lastModifiedBy>Falkenberg, Jan</cp:lastModifiedBy>
  <dcterms:created xsi:type="dcterms:W3CDTF">2015-06-05T18:19:34Z</dcterms:created>
  <dcterms:modified xsi:type="dcterms:W3CDTF">2023-11-23T08:42:07Z</dcterms:modified>
</cp:coreProperties>
</file>